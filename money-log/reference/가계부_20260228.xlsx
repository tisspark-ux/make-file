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7c044bb1fb0e7b/Desktop/가계부/"/>
    </mc:Choice>
  </mc:AlternateContent>
  <xr:revisionPtr revIDLastSave="0" documentId="10_ncr:8000_{A28397AA-76D9-4178-912A-149F05E16F12}" xr6:coauthVersionLast="47" xr6:coauthVersionMax="47" xr10:uidLastSave="{00000000-0000-0000-0000-000000000000}"/>
  <bookViews>
    <workbookView xWindow="4392" yWindow="4392" windowWidth="23040" windowHeight="13560" activeTab="5" xr2:uid="{029E7741-DCD9-485E-9211-2DAB39D6C476}"/>
  </bookViews>
  <sheets>
    <sheet name="요약" sheetId="5" r:id="rId1"/>
    <sheet name="수입&amp;예산" sheetId="2" r:id="rId2"/>
    <sheet name="대출" sheetId="4" r:id="rId3"/>
    <sheet name="자금전체" sheetId="41" r:id="rId4"/>
    <sheet name="이사" sheetId="42" r:id="rId5"/>
    <sheet name="자금흐름" sheetId="45" r:id="rId6"/>
    <sheet name="확인리스트(삭제용)" sheetId="46" r:id="rId7"/>
    <sheet name="202412" sheetId="17" r:id="rId8"/>
    <sheet name="202501" sheetId="18" r:id="rId9"/>
    <sheet name="202502" sheetId="30" r:id="rId10"/>
    <sheet name="202503" sheetId="31" r:id="rId11"/>
    <sheet name="202504" sheetId="32" r:id="rId12"/>
    <sheet name="202505" sheetId="34" r:id="rId13"/>
    <sheet name="202506" sheetId="35" r:id="rId14"/>
    <sheet name="202507" sheetId="36" r:id="rId15"/>
    <sheet name="202508" sheetId="37" r:id="rId16"/>
    <sheet name="202509" sheetId="38" r:id="rId17"/>
    <sheet name="202510" sheetId="40" r:id="rId18"/>
    <sheet name="202511" sheetId="43" r:id="rId19"/>
    <sheet name="202512" sheetId="44" r:id="rId20"/>
    <sheet name="Sample" sheetId="19" r:id="rId21"/>
  </sheets>
  <definedNames>
    <definedName name="_xlnm._FilterDatabase" localSheetId="7" hidden="1">'202412'!$N$2:$Y$68</definedName>
    <definedName name="_xlnm._FilterDatabase" localSheetId="8" hidden="1">'202501'!$N$2:$Y$104</definedName>
    <definedName name="_xlnm._FilterDatabase" localSheetId="9" hidden="1">'202502'!$N$2:$Y$104</definedName>
    <definedName name="_xlnm._FilterDatabase" localSheetId="10" hidden="1">'202503'!$N$2:$Y$104</definedName>
    <definedName name="_xlnm._FilterDatabase" localSheetId="11" hidden="1">'202504'!$N$2:$Y$105</definedName>
    <definedName name="_xlnm._FilterDatabase" localSheetId="12" hidden="1">'202505'!$N$2:$Y$140</definedName>
    <definedName name="_xlnm._FilterDatabase" localSheetId="13" hidden="1">'202506'!$N$2:$Y$124</definedName>
    <definedName name="_xlnm._FilterDatabase" localSheetId="14" hidden="1">'202507'!$N$2:$Y$105</definedName>
    <definedName name="_xlnm._FilterDatabase" localSheetId="15" hidden="1">'202508'!$N$2:$Y$122</definedName>
    <definedName name="_xlnm._FilterDatabase" localSheetId="16" hidden="1">'202509'!$N$2:$Y$106</definedName>
    <definedName name="_xlnm._FilterDatabase" localSheetId="17" hidden="1">'202510'!$N$2:$Y$106</definedName>
    <definedName name="_xlnm._FilterDatabase" localSheetId="18" hidden="1">'202511'!$N$2:$Y$106</definedName>
    <definedName name="_xlnm._FilterDatabase" localSheetId="19" hidden="1">'202512'!$N$2:$Y$2</definedName>
    <definedName name="_xlnm._FilterDatabase" localSheetId="20" hidden="1">Sample!$N$2:$Y$71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45" l="1"/>
  <c r="AM42" i="45"/>
  <c r="AM41" i="45"/>
  <c r="AM40" i="45"/>
  <c r="AM38" i="45"/>
  <c r="AM36" i="45"/>
  <c r="AM35" i="45"/>
  <c r="AM34" i="45"/>
  <c r="AM33" i="45"/>
  <c r="AM32" i="45"/>
  <c r="AM31" i="45"/>
  <c r="AM29" i="45"/>
  <c r="AM28" i="45"/>
  <c r="AM27" i="45"/>
  <c r="AM26" i="45"/>
  <c r="AM25" i="45"/>
  <c r="AM24" i="45"/>
  <c r="AM23" i="45"/>
  <c r="AM22" i="45"/>
  <c r="AM20" i="45"/>
  <c r="AM19" i="45"/>
  <c r="AM18" i="45"/>
  <c r="AM17" i="45"/>
  <c r="AM15" i="45"/>
  <c r="AM14" i="45"/>
  <c r="AM12" i="45"/>
  <c r="AM11" i="45"/>
  <c r="AM10" i="45"/>
  <c r="AM9" i="45"/>
  <c r="AM8" i="45"/>
  <c r="AM7" i="45"/>
  <c r="AM6" i="45"/>
  <c r="AM5" i="45"/>
  <c r="AM4" i="45"/>
  <c r="AL3" i="45"/>
  <c r="AK3" i="45"/>
  <c r="AF3" i="45"/>
  <c r="AH42" i="45"/>
  <c r="AH41" i="45"/>
  <c r="AH40" i="45"/>
  <c r="AH38" i="45"/>
  <c r="AH36" i="45"/>
  <c r="AH35" i="45"/>
  <c r="AH34" i="45"/>
  <c r="AH33" i="45"/>
  <c r="AH32" i="45"/>
  <c r="AH31" i="45"/>
  <c r="AH29" i="45"/>
  <c r="AH28" i="45"/>
  <c r="AH27" i="45"/>
  <c r="AH26" i="45"/>
  <c r="AH25" i="45"/>
  <c r="AH24" i="45"/>
  <c r="AH23" i="45"/>
  <c r="AH22" i="45"/>
  <c r="AH20" i="45"/>
  <c r="AH19" i="45"/>
  <c r="AH18" i="45"/>
  <c r="AH17" i="45"/>
  <c r="AH15" i="45"/>
  <c r="AH14" i="45"/>
  <c r="AH12" i="45"/>
  <c r="AH11" i="45"/>
  <c r="AH10" i="45"/>
  <c r="AH9" i="45"/>
  <c r="AH8" i="45"/>
  <c r="AH7" i="45"/>
  <c r="AH6" i="45"/>
  <c r="AH5" i="45"/>
  <c r="AH4" i="45"/>
  <c r="AG3" i="45"/>
  <c r="AH3" i="45"/>
  <c r="AA3" i="45"/>
  <c r="AC3" i="45" s="1"/>
  <c r="AB3" i="45"/>
  <c r="AC18" i="45"/>
  <c r="Q3" i="45"/>
  <c r="D4" i="45"/>
  <c r="L4" i="45"/>
  <c r="L3" i="45" s="1"/>
  <c r="M4" i="45"/>
  <c r="N4" i="45"/>
  <c r="V4" i="45" s="1"/>
  <c r="S4" i="45"/>
  <c r="W4" i="45"/>
  <c r="AC4" i="45"/>
  <c r="D5" i="45"/>
  <c r="I5" i="45"/>
  <c r="N5" i="45"/>
  <c r="S5" i="45"/>
  <c r="X5" i="45"/>
  <c r="AC5" i="45"/>
  <c r="B6" i="45"/>
  <c r="G6" i="45"/>
  <c r="G3" i="45" s="1"/>
  <c r="H6" i="45"/>
  <c r="H4" i="45" s="1"/>
  <c r="I4" i="45" s="1"/>
  <c r="I3" i="45" s="1"/>
  <c r="I6" i="45"/>
  <c r="N6" i="45"/>
  <c r="S6" i="45"/>
  <c r="X6" i="45"/>
  <c r="AC6" i="45"/>
  <c r="D7" i="45"/>
  <c r="I7" i="45"/>
  <c r="N7" i="45"/>
  <c r="S7" i="45"/>
  <c r="X7" i="45"/>
  <c r="AC7" i="45"/>
  <c r="D8" i="45"/>
  <c r="I8" i="45"/>
  <c r="N8" i="45"/>
  <c r="S8" i="45"/>
  <c r="X8" i="45"/>
  <c r="AC8" i="45"/>
  <c r="D9" i="45"/>
  <c r="I9" i="45"/>
  <c r="N9" i="45"/>
  <c r="S9" i="45"/>
  <c r="X9" i="45"/>
  <c r="AC9" i="45"/>
  <c r="D10" i="45"/>
  <c r="I10" i="45"/>
  <c r="N10" i="45"/>
  <c r="S10" i="45"/>
  <c r="X10" i="45"/>
  <c r="AC10" i="45"/>
  <c r="B11" i="45"/>
  <c r="D11" i="45"/>
  <c r="I11" i="45"/>
  <c r="N11" i="45"/>
  <c r="S11" i="45"/>
  <c r="X11" i="45"/>
  <c r="AC11" i="45"/>
  <c r="D12" i="45"/>
  <c r="I12" i="45"/>
  <c r="N12" i="45"/>
  <c r="S12" i="45"/>
  <c r="X12" i="45"/>
  <c r="AC12" i="45"/>
  <c r="D14" i="45"/>
  <c r="I14" i="45"/>
  <c r="N14" i="45"/>
  <c r="S14" i="45"/>
  <c r="X14" i="45"/>
  <c r="AC14" i="45"/>
  <c r="B15" i="45"/>
  <c r="D15" i="45"/>
  <c r="G15" i="45"/>
  <c r="I15" i="45"/>
  <c r="L15" i="45"/>
  <c r="N15" i="45" s="1"/>
  <c r="Q15" i="45"/>
  <c r="S15" i="45"/>
  <c r="V15" i="45"/>
  <c r="X15" i="45"/>
  <c r="AC15" i="45"/>
  <c r="D17" i="45"/>
  <c r="I17" i="45"/>
  <c r="N17" i="45"/>
  <c r="S17" i="45"/>
  <c r="X17" i="45"/>
  <c r="AC17" i="45"/>
  <c r="S18" i="45"/>
  <c r="D19" i="45"/>
  <c r="I19" i="45"/>
  <c r="N19" i="45"/>
  <c r="S19" i="45"/>
  <c r="X19" i="45"/>
  <c r="AC19" i="45"/>
  <c r="D20" i="45"/>
  <c r="I20" i="45"/>
  <c r="N20" i="45"/>
  <c r="R20" i="45"/>
  <c r="S20" i="45" s="1"/>
  <c r="X20" i="45"/>
  <c r="AC20" i="45"/>
  <c r="D22" i="45"/>
  <c r="I22" i="45"/>
  <c r="N22" i="45"/>
  <c r="S22" i="45"/>
  <c r="X22" i="45"/>
  <c r="AC22" i="45"/>
  <c r="D23" i="45"/>
  <c r="I23" i="45"/>
  <c r="N23" i="45"/>
  <c r="S23" i="45"/>
  <c r="X23" i="45"/>
  <c r="AC23" i="45"/>
  <c r="D24" i="45"/>
  <c r="I24" i="45"/>
  <c r="N24" i="45"/>
  <c r="S24" i="45"/>
  <c r="X24" i="45"/>
  <c r="AC24" i="45"/>
  <c r="D25" i="45"/>
  <c r="I25" i="45"/>
  <c r="N25" i="45"/>
  <c r="S25" i="45"/>
  <c r="X25" i="45"/>
  <c r="AC25" i="45"/>
  <c r="D26" i="45"/>
  <c r="I26" i="45"/>
  <c r="N26" i="45"/>
  <c r="R26" i="45"/>
  <c r="S26" i="45"/>
  <c r="X26" i="45"/>
  <c r="AC26" i="45"/>
  <c r="C27" i="45"/>
  <c r="D27" i="45"/>
  <c r="I27" i="45"/>
  <c r="N27" i="45"/>
  <c r="R27" i="45"/>
  <c r="S27" i="45"/>
  <c r="X27" i="45"/>
  <c r="AC27" i="45"/>
  <c r="D28" i="45"/>
  <c r="I28" i="45"/>
  <c r="N28" i="45"/>
  <c r="S28" i="45"/>
  <c r="X28" i="45"/>
  <c r="AC28" i="45"/>
  <c r="D29" i="45"/>
  <c r="I29" i="45"/>
  <c r="AC29" i="45"/>
  <c r="D31" i="45"/>
  <c r="I31" i="45"/>
  <c r="N31" i="45"/>
  <c r="S31" i="45"/>
  <c r="X31" i="45"/>
  <c r="AC31" i="45"/>
  <c r="D32" i="45"/>
  <c r="I32" i="45"/>
  <c r="N32" i="45"/>
  <c r="S32" i="45"/>
  <c r="X32" i="45"/>
  <c r="AC32" i="45"/>
  <c r="D33" i="45"/>
  <c r="I33" i="45"/>
  <c r="N33" i="45"/>
  <c r="S33" i="45"/>
  <c r="X33" i="45"/>
  <c r="AC33" i="45"/>
  <c r="D34" i="45"/>
  <c r="I34" i="45"/>
  <c r="N34" i="45"/>
  <c r="S34" i="45"/>
  <c r="X34" i="45"/>
  <c r="AC34" i="45"/>
  <c r="D35" i="45"/>
  <c r="I35" i="45"/>
  <c r="N35" i="45"/>
  <c r="S35" i="45"/>
  <c r="X35" i="45"/>
  <c r="AC35" i="45"/>
  <c r="D36" i="45"/>
  <c r="I36" i="45"/>
  <c r="N36" i="45"/>
  <c r="S36" i="45"/>
  <c r="X36" i="45"/>
  <c r="AC36" i="45"/>
  <c r="D38" i="45"/>
  <c r="I38" i="45"/>
  <c r="N38" i="45"/>
  <c r="S38" i="45"/>
  <c r="X38" i="45"/>
  <c r="AC38" i="45"/>
  <c r="AC40" i="45"/>
  <c r="AC41" i="45"/>
  <c r="AC42" i="45"/>
  <c r="E5" i="42"/>
  <c r="E4" i="42"/>
  <c r="H3" i="42"/>
  <c r="H4" i="42"/>
  <c r="C41" i="41"/>
  <c r="K12" i="42"/>
  <c r="K2" i="42" s="1"/>
  <c r="E39" i="41"/>
  <c r="D10" i="41"/>
  <c r="K5" i="42"/>
  <c r="H80" i="44"/>
  <c r="E80" i="44"/>
  <c r="A80" i="44"/>
  <c r="H79" i="44"/>
  <c r="E79" i="44"/>
  <c r="A79" i="44"/>
  <c r="H78" i="44"/>
  <c r="E78" i="44"/>
  <c r="A78" i="44"/>
  <c r="H77" i="44"/>
  <c r="E77" i="44"/>
  <c r="B77" i="44"/>
  <c r="B78" i="44" s="1"/>
  <c r="B79" i="44" s="1"/>
  <c r="B80" i="44" s="1"/>
  <c r="A77" i="44"/>
  <c r="H76" i="44"/>
  <c r="E76" i="44"/>
  <c r="B76" i="44"/>
  <c r="A76" i="44"/>
  <c r="H75" i="44"/>
  <c r="E75" i="44"/>
  <c r="A75" i="44"/>
  <c r="K53" i="44"/>
  <c r="E49" i="44"/>
  <c r="E48" i="44"/>
  <c r="E47" i="44"/>
  <c r="E46" i="44"/>
  <c r="E44" i="44"/>
  <c r="E43" i="44"/>
  <c r="E42" i="44"/>
  <c r="E41" i="44"/>
  <c r="E39" i="44"/>
  <c r="E38" i="44"/>
  <c r="E37" i="44"/>
  <c r="E36" i="44"/>
  <c r="E35" i="44"/>
  <c r="E34" i="44"/>
  <c r="E33" i="44"/>
  <c r="E32" i="44"/>
  <c r="E30" i="44"/>
  <c r="E29" i="44"/>
  <c r="E28" i="44"/>
  <c r="E31" i="44" s="1"/>
  <c r="E26" i="44"/>
  <c r="E25" i="44"/>
  <c r="E24" i="44"/>
  <c r="E23" i="44"/>
  <c r="J18" i="44"/>
  <c r="F18" i="44"/>
  <c r="E18" i="44"/>
  <c r="G18" i="44" s="1"/>
  <c r="B18" i="44"/>
  <c r="A18" i="44"/>
  <c r="J17" i="44"/>
  <c r="E17" i="44"/>
  <c r="G17" i="44" s="1"/>
  <c r="B17" i="44"/>
  <c r="A17" i="44"/>
  <c r="J16" i="44"/>
  <c r="G16" i="44"/>
  <c r="L16" i="44" s="1"/>
  <c r="E16" i="44"/>
  <c r="B16" i="44"/>
  <c r="A16" i="44"/>
  <c r="J15" i="44"/>
  <c r="E15" i="44"/>
  <c r="G15" i="44" s="1"/>
  <c r="B15" i="44"/>
  <c r="A15" i="44"/>
  <c r="J14" i="44"/>
  <c r="F14" i="44" s="1"/>
  <c r="F19" i="44" s="1"/>
  <c r="E14" i="44"/>
  <c r="G14" i="44" s="1"/>
  <c r="B14" i="44"/>
  <c r="A14" i="44"/>
  <c r="J13" i="44"/>
  <c r="F13" i="44"/>
  <c r="E13" i="44"/>
  <c r="G13" i="44" s="1"/>
  <c r="B13" i="44"/>
  <c r="A13" i="44"/>
  <c r="J12" i="44"/>
  <c r="E12" i="44"/>
  <c r="G12" i="44" s="1"/>
  <c r="B12" i="44"/>
  <c r="A12" i="44"/>
  <c r="J11" i="44"/>
  <c r="E11" i="44"/>
  <c r="G11" i="44" s="1"/>
  <c r="B11" i="44"/>
  <c r="A11" i="44"/>
  <c r="J10" i="44"/>
  <c r="G10" i="44"/>
  <c r="E10" i="44"/>
  <c r="B10" i="44"/>
  <c r="A10" i="44"/>
  <c r="J9" i="44"/>
  <c r="E9" i="44"/>
  <c r="G9" i="44" s="1"/>
  <c r="B9" i="44"/>
  <c r="A9" i="44"/>
  <c r="J8" i="44"/>
  <c r="E8" i="44"/>
  <c r="G8" i="44" s="1"/>
  <c r="B8" i="44"/>
  <c r="A8" i="44"/>
  <c r="J7" i="44"/>
  <c r="E7" i="44"/>
  <c r="G7" i="44" s="1"/>
  <c r="B7" i="44"/>
  <c r="A7" i="44"/>
  <c r="J6" i="44"/>
  <c r="E6" i="44"/>
  <c r="G6" i="44" s="1"/>
  <c r="B6" i="44"/>
  <c r="A6" i="44"/>
  <c r="J5" i="44"/>
  <c r="E5" i="44"/>
  <c r="G5" i="44" s="1"/>
  <c r="B5" i="44"/>
  <c r="A5" i="44"/>
  <c r="J4" i="44"/>
  <c r="E4" i="44"/>
  <c r="G4" i="44" s="1"/>
  <c r="B4" i="44"/>
  <c r="A4" i="44"/>
  <c r="E3" i="44"/>
  <c r="G3" i="44" s="1"/>
  <c r="B3" i="44"/>
  <c r="A3" i="44"/>
  <c r="J3" i="44" s="1"/>
  <c r="O1" i="44"/>
  <c r="H80" i="43"/>
  <c r="E80" i="43"/>
  <c r="A80" i="43"/>
  <c r="H79" i="43"/>
  <c r="E79" i="43"/>
  <c r="A79" i="43"/>
  <c r="H78" i="43"/>
  <c r="E78" i="43"/>
  <c r="A78" i="43"/>
  <c r="H77" i="43"/>
  <c r="E77" i="43"/>
  <c r="A77" i="43"/>
  <c r="H76" i="43"/>
  <c r="E76" i="43"/>
  <c r="B76" i="43"/>
  <c r="B77" i="43" s="1"/>
  <c r="B78" i="43" s="1"/>
  <c r="B79" i="43" s="1"/>
  <c r="B80" i="43" s="1"/>
  <c r="A76" i="43"/>
  <c r="H75" i="43"/>
  <c r="E75" i="43"/>
  <c r="A75" i="43"/>
  <c r="K53" i="43"/>
  <c r="E49" i="43"/>
  <c r="E48" i="43"/>
  <c r="E47" i="43"/>
  <c r="E46" i="43"/>
  <c r="E44" i="43"/>
  <c r="E43" i="43"/>
  <c r="E42" i="43"/>
  <c r="E41" i="43"/>
  <c r="E39" i="43"/>
  <c r="E38" i="43"/>
  <c r="E37" i="43"/>
  <c r="E36" i="43"/>
  <c r="E35" i="43"/>
  <c r="E34" i="43"/>
  <c r="E33" i="43"/>
  <c r="E32" i="43"/>
  <c r="E30" i="43"/>
  <c r="E29" i="43"/>
  <c r="E28" i="43"/>
  <c r="E31" i="43" s="1"/>
  <c r="E26" i="43"/>
  <c r="E25" i="43"/>
  <c r="E24" i="43"/>
  <c r="E23" i="43"/>
  <c r="J18" i="43"/>
  <c r="F18" i="43" s="1"/>
  <c r="B18" i="43"/>
  <c r="A18" i="43"/>
  <c r="J17" i="43"/>
  <c r="E17" i="43"/>
  <c r="G17" i="43" s="1"/>
  <c r="B17" i="43"/>
  <c r="A17" i="43"/>
  <c r="J16" i="43"/>
  <c r="E16" i="43"/>
  <c r="G16" i="43" s="1"/>
  <c r="L16" i="43" s="1"/>
  <c r="B16" i="43"/>
  <c r="A16" i="43"/>
  <c r="J15" i="43"/>
  <c r="E15" i="43"/>
  <c r="G15" i="43" s="1"/>
  <c r="B15" i="43"/>
  <c r="A15" i="43"/>
  <c r="J14" i="43"/>
  <c r="F14" i="43"/>
  <c r="E14" i="43"/>
  <c r="B14" i="43"/>
  <c r="A14" i="43"/>
  <c r="J13" i="43"/>
  <c r="F13" i="43" s="1"/>
  <c r="E13" i="43"/>
  <c r="B13" i="43"/>
  <c r="A13" i="43"/>
  <c r="J12" i="43"/>
  <c r="B12" i="43"/>
  <c r="A12" i="43"/>
  <c r="J11" i="43"/>
  <c r="B11" i="43"/>
  <c r="A11" i="43"/>
  <c r="J10" i="43"/>
  <c r="B10" i="43"/>
  <c r="A10" i="43"/>
  <c r="J9" i="43"/>
  <c r="B9" i="43"/>
  <c r="A9" i="43"/>
  <c r="J8" i="43"/>
  <c r="B8" i="43"/>
  <c r="A8" i="43"/>
  <c r="J7" i="43"/>
  <c r="B7" i="43"/>
  <c r="A7" i="43"/>
  <c r="J6" i="43"/>
  <c r="B6" i="43"/>
  <c r="A6" i="43"/>
  <c r="J5" i="43"/>
  <c r="B5" i="43"/>
  <c r="A5" i="43"/>
  <c r="J4" i="43"/>
  <c r="B4" i="43"/>
  <c r="A4" i="43"/>
  <c r="G3" i="43"/>
  <c r="E3" i="43"/>
  <c r="B3" i="43"/>
  <c r="A3" i="43"/>
  <c r="J3" i="43" s="1"/>
  <c r="O1" i="43"/>
  <c r="H20" i="42"/>
  <c r="H19" i="42"/>
  <c r="H17" i="42"/>
  <c r="H18" i="42"/>
  <c r="D23" i="41"/>
  <c r="B4" i="42"/>
  <c r="B2" i="42" s="1"/>
  <c r="C21" i="41"/>
  <c r="D15" i="41"/>
  <c r="C15" i="41"/>
  <c r="C23" i="41"/>
  <c r="D22" i="41"/>
  <c r="C22" i="41"/>
  <c r="C27" i="41" s="1"/>
  <c r="D21" i="41"/>
  <c r="F39" i="41"/>
  <c r="D9" i="41"/>
  <c r="C9" i="41"/>
  <c r="D4" i="41"/>
  <c r="D11" i="41" s="1"/>
  <c r="D17" i="41" s="1"/>
  <c r="C4" i="41"/>
  <c r="K53" i="40"/>
  <c r="H80" i="40"/>
  <c r="E80" i="40"/>
  <c r="A80" i="40"/>
  <c r="H79" i="40"/>
  <c r="E79" i="40"/>
  <c r="A79" i="40"/>
  <c r="H78" i="40"/>
  <c r="E78" i="40"/>
  <c r="A78" i="40"/>
  <c r="H77" i="40"/>
  <c r="E77" i="40"/>
  <c r="B77" i="40"/>
  <c r="B78" i="40" s="1"/>
  <c r="B79" i="40" s="1"/>
  <c r="B80" i="40" s="1"/>
  <c r="A77" i="40"/>
  <c r="H76" i="40"/>
  <c r="B76" i="40"/>
  <c r="A76" i="40"/>
  <c r="H75" i="40"/>
  <c r="E75" i="40"/>
  <c r="A75" i="40"/>
  <c r="E49" i="40"/>
  <c r="E48" i="40"/>
  <c r="E47" i="40"/>
  <c r="E46" i="40"/>
  <c r="E44" i="40"/>
  <c r="E43" i="40"/>
  <c r="E42" i="40"/>
  <c r="E41" i="40"/>
  <c r="E45" i="40" s="1"/>
  <c r="E39" i="40"/>
  <c r="E38" i="40"/>
  <c r="E37" i="40"/>
  <c r="E36" i="40"/>
  <c r="E35" i="40"/>
  <c r="E34" i="40"/>
  <c r="E33" i="40"/>
  <c r="E32" i="40"/>
  <c r="E30" i="40"/>
  <c r="E29" i="40"/>
  <c r="E28" i="40"/>
  <c r="E26" i="40"/>
  <c r="E25" i="40"/>
  <c r="E24" i="40"/>
  <c r="E23" i="40"/>
  <c r="E27" i="40" s="1"/>
  <c r="J18" i="40"/>
  <c r="F18" i="40"/>
  <c r="B18" i="40"/>
  <c r="A18" i="40"/>
  <c r="J17" i="40"/>
  <c r="E17" i="40"/>
  <c r="G17" i="40" s="1"/>
  <c r="B17" i="40"/>
  <c r="A17" i="40"/>
  <c r="J16" i="40"/>
  <c r="E16" i="40"/>
  <c r="G16" i="40" s="1"/>
  <c r="B16" i="40"/>
  <c r="A16" i="40"/>
  <c r="J15" i="40"/>
  <c r="E15" i="40"/>
  <c r="G15" i="40" s="1"/>
  <c r="B15" i="40"/>
  <c r="A15" i="40"/>
  <c r="J14" i="40"/>
  <c r="F14" i="40" s="1"/>
  <c r="E14" i="40"/>
  <c r="B14" i="40"/>
  <c r="A14" i="40"/>
  <c r="J13" i="40"/>
  <c r="F13" i="40" s="1"/>
  <c r="E13" i="40"/>
  <c r="B13" i="40"/>
  <c r="A13" i="40"/>
  <c r="J12" i="40"/>
  <c r="B12" i="40"/>
  <c r="A12" i="40"/>
  <c r="J11" i="40"/>
  <c r="B11" i="40"/>
  <c r="A11" i="40"/>
  <c r="J10" i="40"/>
  <c r="B10" i="40"/>
  <c r="A10" i="40"/>
  <c r="J9" i="40"/>
  <c r="B9" i="40"/>
  <c r="A9" i="40"/>
  <c r="J8" i="40"/>
  <c r="B8" i="40"/>
  <c r="A8" i="40"/>
  <c r="J7" i="40"/>
  <c r="B7" i="40"/>
  <c r="A7" i="40"/>
  <c r="J6" i="40"/>
  <c r="B6" i="40"/>
  <c r="A6" i="40"/>
  <c r="J5" i="40"/>
  <c r="B5" i="40"/>
  <c r="A5" i="40"/>
  <c r="J4" i="40"/>
  <c r="B4" i="40"/>
  <c r="A4" i="40"/>
  <c r="J3" i="40"/>
  <c r="E3" i="40"/>
  <c r="B3" i="40"/>
  <c r="A3" i="40"/>
  <c r="O1" i="40"/>
  <c r="F71" i="38"/>
  <c r="J53" i="38" s="1"/>
  <c r="F67" i="38"/>
  <c r="H80" i="38"/>
  <c r="E80" i="38"/>
  <c r="A80" i="38"/>
  <c r="H79" i="38"/>
  <c r="E79" i="38"/>
  <c r="A79" i="38"/>
  <c r="H78" i="38"/>
  <c r="E78" i="38"/>
  <c r="A78" i="38"/>
  <c r="H77" i="38"/>
  <c r="E77" i="38"/>
  <c r="B77" i="38"/>
  <c r="B78" i="38" s="1"/>
  <c r="B79" i="38" s="1"/>
  <c r="B80" i="38" s="1"/>
  <c r="A77" i="38"/>
  <c r="H76" i="38"/>
  <c r="E76" i="38"/>
  <c r="B76" i="38"/>
  <c r="A76" i="38"/>
  <c r="H75" i="38"/>
  <c r="E75" i="38"/>
  <c r="A75" i="38"/>
  <c r="E49" i="38"/>
  <c r="E48" i="38"/>
  <c r="E47" i="38"/>
  <c r="E46" i="38"/>
  <c r="E44" i="38"/>
  <c r="E43" i="38"/>
  <c r="E42" i="38"/>
  <c r="E41" i="38"/>
  <c r="E39" i="38"/>
  <c r="E38" i="38"/>
  <c r="E37" i="38"/>
  <c r="E36" i="38"/>
  <c r="E35" i="38"/>
  <c r="E34" i="38"/>
  <c r="E33" i="38"/>
  <c r="E32" i="38"/>
  <c r="E30" i="38"/>
  <c r="E29" i="38"/>
  <c r="E28" i="38"/>
  <c r="E26" i="38"/>
  <c r="E25" i="38"/>
  <c r="E24" i="38"/>
  <c r="E23" i="38"/>
  <c r="J18" i="38"/>
  <c r="B18" i="38"/>
  <c r="A18" i="38"/>
  <c r="J17" i="38"/>
  <c r="E17" i="38"/>
  <c r="G17" i="38" s="1"/>
  <c r="L17" i="38" s="1"/>
  <c r="B17" i="38"/>
  <c r="A17" i="38"/>
  <c r="J16" i="38"/>
  <c r="E16" i="38"/>
  <c r="G16" i="38" s="1"/>
  <c r="B16" i="38"/>
  <c r="A16" i="38"/>
  <c r="J15" i="38"/>
  <c r="E15" i="38"/>
  <c r="G15" i="38" s="1"/>
  <c r="B15" i="38"/>
  <c r="A15" i="38"/>
  <c r="J14" i="38"/>
  <c r="E14" i="38"/>
  <c r="B14" i="38"/>
  <c r="A14" i="38"/>
  <c r="J13" i="38"/>
  <c r="E13" i="38"/>
  <c r="B13" i="38"/>
  <c r="A13" i="38"/>
  <c r="J12" i="38"/>
  <c r="B12" i="38"/>
  <c r="A12" i="38"/>
  <c r="J11" i="38"/>
  <c r="B11" i="38"/>
  <c r="A11" i="38"/>
  <c r="J10" i="38"/>
  <c r="B10" i="38"/>
  <c r="A10" i="38"/>
  <c r="J9" i="38"/>
  <c r="B9" i="38"/>
  <c r="A9" i="38"/>
  <c r="J8" i="38"/>
  <c r="B8" i="38"/>
  <c r="A8" i="38"/>
  <c r="J7" i="38"/>
  <c r="B7" i="38"/>
  <c r="A7" i="38"/>
  <c r="J6" i="38"/>
  <c r="B6" i="38"/>
  <c r="A6" i="38"/>
  <c r="J5" i="38"/>
  <c r="B5" i="38"/>
  <c r="A5" i="38"/>
  <c r="J4" i="38"/>
  <c r="B4" i="38"/>
  <c r="A4" i="38"/>
  <c r="E3" i="38"/>
  <c r="G3" i="38" s="1"/>
  <c r="B3" i="38"/>
  <c r="A3" i="38"/>
  <c r="J3" i="38" s="1"/>
  <c r="O1" i="38"/>
  <c r="H79" i="37"/>
  <c r="E79" i="37"/>
  <c r="A79" i="37"/>
  <c r="H78" i="37"/>
  <c r="E78" i="37"/>
  <c r="A78" i="37"/>
  <c r="H77" i="37"/>
  <c r="E77" i="37"/>
  <c r="A77" i="37"/>
  <c r="H76" i="37"/>
  <c r="E76" i="37"/>
  <c r="A76" i="37"/>
  <c r="H75" i="37"/>
  <c r="E75" i="37"/>
  <c r="B75" i="37"/>
  <c r="B76" i="37" s="1"/>
  <c r="B77" i="37" s="1"/>
  <c r="B78" i="37" s="1"/>
  <c r="B79" i="37" s="1"/>
  <c r="A75" i="37"/>
  <c r="H74" i="37"/>
  <c r="E74" i="37"/>
  <c r="A74" i="37"/>
  <c r="F69" i="37"/>
  <c r="I53" i="37" s="1"/>
  <c r="E49" i="37"/>
  <c r="E48" i="37"/>
  <c r="E47" i="37"/>
  <c r="E46" i="37"/>
  <c r="E44" i="37"/>
  <c r="E43" i="37"/>
  <c r="E42" i="37"/>
  <c r="E41" i="37"/>
  <c r="E39" i="37"/>
  <c r="E38" i="37"/>
  <c r="E37" i="37"/>
  <c r="E36" i="37"/>
  <c r="E35" i="37"/>
  <c r="E34" i="37"/>
  <c r="E33" i="37"/>
  <c r="E32" i="37"/>
  <c r="E30" i="37"/>
  <c r="E29" i="37"/>
  <c r="E28" i="37"/>
  <c r="E26" i="37"/>
  <c r="E25" i="37"/>
  <c r="E24" i="37"/>
  <c r="E23" i="37"/>
  <c r="J18" i="37"/>
  <c r="B18" i="37"/>
  <c r="A18" i="37"/>
  <c r="J17" i="37"/>
  <c r="E17" i="37"/>
  <c r="G17" i="37" s="1"/>
  <c r="L17" i="37" s="1"/>
  <c r="B17" i="37"/>
  <c r="A17" i="37"/>
  <c r="J16" i="37"/>
  <c r="E16" i="37"/>
  <c r="G16" i="37" s="1"/>
  <c r="B16" i="37"/>
  <c r="A16" i="37"/>
  <c r="J15" i="37"/>
  <c r="E15" i="37"/>
  <c r="G15" i="37" s="1"/>
  <c r="B15" i="37"/>
  <c r="A15" i="37"/>
  <c r="J14" i="37"/>
  <c r="E14" i="37"/>
  <c r="B14" i="37"/>
  <c r="A14" i="37"/>
  <c r="J13" i="37"/>
  <c r="F13" i="37" s="1"/>
  <c r="E13" i="37"/>
  <c r="B13" i="37"/>
  <c r="A13" i="37"/>
  <c r="J12" i="37"/>
  <c r="B12" i="37"/>
  <c r="A12" i="37"/>
  <c r="J11" i="37"/>
  <c r="B11" i="37"/>
  <c r="A11" i="37"/>
  <c r="J10" i="37"/>
  <c r="B10" i="37"/>
  <c r="A10" i="37"/>
  <c r="J9" i="37"/>
  <c r="B9" i="37"/>
  <c r="A9" i="37"/>
  <c r="J8" i="37"/>
  <c r="B8" i="37"/>
  <c r="A8" i="37"/>
  <c r="J7" i="37"/>
  <c r="B7" i="37"/>
  <c r="A7" i="37"/>
  <c r="J6" i="37"/>
  <c r="B6" i="37"/>
  <c r="A6" i="37"/>
  <c r="J5" i="37"/>
  <c r="B5" i="37"/>
  <c r="A5" i="37"/>
  <c r="J4" i="37"/>
  <c r="B4" i="37"/>
  <c r="A4" i="37"/>
  <c r="E3" i="37"/>
  <c r="G3" i="37" s="1"/>
  <c r="B3" i="37"/>
  <c r="A3" i="37"/>
  <c r="J3" i="37" s="1"/>
  <c r="O1" i="37"/>
  <c r="H79" i="36"/>
  <c r="E79" i="36"/>
  <c r="A79" i="36"/>
  <c r="H78" i="36"/>
  <c r="E78" i="36"/>
  <c r="A78" i="36"/>
  <c r="H77" i="36"/>
  <c r="E77" i="36"/>
  <c r="A77" i="36"/>
  <c r="H76" i="36"/>
  <c r="E76" i="36"/>
  <c r="A76" i="36"/>
  <c r="H75" i="36"/>
  <c r="B75" i="36"/>
  <c r="B76" i="36" s="1"/>
  <c r="B77" i="36" s="1"/>
  <c r="B78" i="36" s="1"/>
  <c r="B79" i="36" s="1"/>
  <c r="A75" i="36"/>
  <c r="H74" i="36"/>
  <c r="E74" i="36"/>
  <c r="A74" i="36"/>
  <c r="F69" i="36"/>
  <c r="I53" i="36" s="1"/>
  <c r="E49" i="36"/>
  <c r="E48" i="36"/>
  <c r="E47" i="36"/>
  <c r="E46" i="36"/>
  <c r="E44" i="36"/>
  <c r="E43" i="36"/>
  <c r="E42" i="36"/>
  <c r="E41" i="36"/>
  <c r="E39" i="36"/>
  <c r="E38" i="36"/>
  <c r="E37" i="36"/>
  <c r="E36" i="36"/>
  <c r="E35" i="36"/>
  <c r="E34" i="36"/>
  <c r="E33" i="36"/>
  <c r="E32" i="36"/>
  <c r="E30" i="36"/>
  <c r="E29" i="36"/>
  <c r="E28" i="36"/>
  <c r="E26" i="36"/>
  <c r="E25" i="36"/>
  <c r="E24" i="36"/>
  <c r="E23" i="36"/>
  <c r="J18" i="36"/>
  <c r="F18" i="36" s="1"/>
  <c r="B18" i="36"/>
  <c r="A18" i="36"/>
  <c r="J17" i="36"/>
  <c r="E17" i="36"/>
  <c r="G17" i="36" s="1"/>
  <c r="B17" i="36"/>
  <c r="A17" i="36"/>
  <c r="J16" i="36"/>
  <c r="E16" i="36"/>
  <c r="G16" i="36" s="1"/>
  <c r="B16" i="36"/>
  <c r="A16" i="36"/>
  <c r="J15" i="36"/>
  <c r="E15" i="36"/>
  <c r="G15" i="36" s="1"/>
  <c r="B15" i="36"/>
  <c r="A15" i="36"/>
  <c r="J14" i="36"/>
  <c r="F14" i="36" s="1"/>
  <c r="E14" i="36"/>
  <c r="B14" i="36"/>
  <c r="A14" i="36"/>
  <c r="J13" i="36"/>
  <c r="F13" i="36" s="1"/>
  <c r="E13" i="36"/>
  <c r="B13" i="36"/>
  <c r="A13" i="36"/>
  <c r="J12" i="36"/>
  <c r="B12" i="36"/>
  <c r="A12" i="36"/>
  <c r="J11" i="36"/>
  <c r="B11" i="36"/>
  <c r="A11" i="36"/>
  <c r="J10" i="36"/>
  <c r="B10" i="36"/>
  <c r="A10" i="36"/>
  <c r="J9" i="36"/>
  <c r="B9" i="36"/>
  <c r="A9" i="36"/>
  <c r="J8" i="36"/>
  <c r="B8" i="36"/>
  <c r="A8" i="36"/>
  <c r="J7" i="36"/>
  <c r="B7" i="36"/>
  <c r="A7" i="36"/>
  <c r="J6" i="36"/>
  <c r="B6" i="36"/>
  <c r="A6" i="36"/>
  <c r="J5" i="36"/>
  <c r="B5" i="36"/>
  <c r="A5" i="36"/>
  <c r="J4" i="36"/>
  <c r="B4" i="36"/>
  <c r="A4" i="36"/>
  <c r="E3" i="36"/>
  <c r="G3" i="36" s="1"/>
  <c r="B3" i="36"/>
  <c r="A3" i="36"/>
  <c r="J3" i="36" s="1"/>
  <c r="O1" i="36"/>
  <c r="H79" i="35"/>
  <c r="E79" i="35"/>
  <c r="A79" i="35"/>
  <c r="H78" i="35"/>
  <c r="E78" i="35"/>
  <c r="A78" i="35"/>
  <c r="H77" i="35"/>
  <c r="E77" i="35"/>
  <c r="A77" i="35"/>
  <c r="H76" i="35"/>
  <c r="E76" i="35"/>
  <c r="A76" i="35"/>
  <c r="H75" i="35"/>
  <c r="E75" i="35"/>
  <c r="B75" i="35"/>
  <c r="B76" i="35" s="1"/>
  <c r="B77" i="35" s="1"/>
  <c r="B78" i="35" s="1"/>
  <c r="B79" i="35" s="1"/>
  <c r="A75" i="35"/>
  <c r="H74" i="35"/>
  <c r="E74" i="35"/>
  <c r="A74" i="35"/>
  <c r="F69" i="35"/>
  <c r="I53" i="35" s="1"/>
  <c r="E49" i="35"/>
  <c r="E48" i="35"/>
  <c r="E47" i="35"/>
  <c r="E46" i="35"/>
  <c r="E44" i="35"/>
  <c r="E43" i="35"/>
  <c r="E42" i="35"/>
  <c r="E41" i="35"/>
  <c r="E39" i="35"/>
  <c r="E38" i="35"/>
  <c r="E37" i="35"/>
  <c r="E36" i="35"/>
  <c r="E35" i="35"/>
  <c r="E34" i="35"/>
  <c r="E33" i="35"/>
  <c r="E32" i="35"/>
  <c r="E30" i="35"/>
  <c r="E29" i="35"/>
  <c r="E28" i="35"/>
  <c r="E26" i="35"/>
  <c r="E25" i="35"/>
  <c r="E24" i="35"/>
  <c r="E23" i="35"/>
  <c r="J18" i="35"/>
  <c r="F18" i="35" s="1"/>
  <c r="B18" i="35"/>
  <c r="A18" i="35"/>
  <c r="J17" i="35"/>
  <c r="E17" i="35"/>
  <c r="G17" i="35" s="1"/>
  <c r="B17" i="35"/>
  <c r="A17" i="35"/>
  <c r="J16" i="35"/>
  <c r="E16" i="35"/>
  <c r="G16" i="35" s="1"/>
  <c r="L16" i="35" s="1"/>
  <c r="B16" i="35"/>
  <c r="A16" i="35"/>
  <c r="J15" i="35"/>
  <c r="E15" i="35"/>
  <c r="G15" i="35" s="1"/>
  <c r="B15" i="35"/>
  <c r="A15" i="35"/>
  <c r="J14" i="35"/>
  <c r="F14" i="35" s="1"/>
  <c r="E14" i="35"/>
  <c r="B14" i="35"/>
  <c r="A14" i="35"/>
  <c r="J13" i="35"/>
  <c r="F13" i="35" s="1"/>
  <c r="E13" i="35"/>
  <c r="B13" i="35"/>
  <c r="A13" i="35"/>
  <c r="J12" i="35"/>
  <c r="B12" i="35"/>
  <c r="A12" i="35"/>
  <c r="J11" i="35"/>
  <c r="B11" i="35"/>
  <c r="A11" i="35"/>
  <c r="J10" i="35"/>
  <c r="B10" i="35"/>
  <c r="A10" i="35"/>
  <c r="J9" i="35"/>
  <c r="B9" i="35"/>
  <c r="A9" i="35"/>
  <c r="J8" i="35"/>
  <c r="B8" i="35"/>
  <c r="A8" i="35"/>
  <c r="J7" i="35"/>
  <c r="B7" i="35"/>
  <c r="A7" i="35"/>
  <c r="J6" i="35"/>
  <c r="B6" i="35"/>
  <c r="A6" i="35"/>
  <c r="J5" i="35"/>
  <c r="B5" i="35"/>
  <c r="A5" i="35"/>
  <c r="J4" i="35"/>
  <c r="B4" i="35"/>
  <c r="A4" i="35"/>
  <c r="J3" i="35"/>
  <c r="E3" i="35"/>
  <c r="B3" i="35"/>
  <c r="A3" i="35"/>
  <c r="O1" i="35"/>
  <c r="H79" i="34"/>
  <c r="E79" i="34"/>
  <c r="A79" i="34"/>
  <c r="H78" i="34"/>
  <c r="E78" i="34"/>
  <c r="A78" i="34"/>
  <c r="H77" i="34"/>
  <c r="E77" i="34"/>
  <c r="A77" i="34"/>
  <c r="H76" i="34"/>
  <c r="E76" i="34"/>
  <c r="A76" i="34"/>
  <c r="H75" i="34"/>
  <c r="E75" i="34"/>
  <c r="B75" i="34"/>
  <c r="B76" i="34" s="1"/>
  <c r="B77" i="34" s="1"/>
  <c r="B78" i="34" s="1"/>
  <c r="B79" i="34" s="1"/>
  <c r="A75" i="34"/>
  <c r="H74" i="34"/>
  <c r="E74" i="34"/>
  <c r="A74" i="34"/>
  <c r="F69" i="34"/>
  <c r="I53" i="34" s="1"/>
  <c r="E49" i="34"/>
  <c r="E48" i="34"/>
  <c r="E47" i="34"/>
  <c r="E46" i="34"/>
  <c r="E44" i="34"/>
  <c r="E43" i="34"/>
  <c r="E42" i="34"/>
  <c r="E41" i="34"/>
  <c r="E39" i="34"/>
  <c r="E38" i="34"/>
  <c r="E37" i="34"/>
  <c r="E36" i="34"/>
  <c r="E35" i="34"/>
  <c r="E34" i="34"/>
  <c r="E33" i="34"/>
  <c r="E32" i="34"/>
  <c r="E30" i="34"/>
  <c r="E29" i="34"/>
  <c r="E28" i="34"/>
  <c r="E26" i="34"/>
  <c r="E25" i="34"/>
  <c r="E24" i="34"/>
  <c r="E23" i="34"/>
  <c r="J18" i="34"/>
  <c r="F18" i="34" s="1"/>
  <c r="B18" i="34"/>
  <c r="A18" i="34"/>
  <c r="J17" i="34"/>
  <c r="E17" i="34"/>
  <c r="G17" i="34" s="1"/>
  <c r="B17" i="34"/>
  <c r="A17" i="34"/>
  <c r="J16" i="34"/>
  <c r="E16" i="34"/>
  <c r="G16" i="34" s="1"/>
  <c r="B16" i="34"/>
  <c r="A16" i="34"/>
  <c r="J15" i="34"/>
  <c r="E15" i="34"/>
  <c r="G15" i="34" s="1"/>
  <c r="B15" i="34"/>
  <c r="A15" i="34"/>
  <c r="J14" i="34"/>
  <c r="F14" i="34" s="1"/>
  <c r="E14" i="34"/>
  <c r="B14" i="34"/>
  <c r="A14" i="34"/>
  <c r="J13" i="34"/>
  <c r="F13" i="34" s="1"/>
  <c r="E13" i="34"/>
  <c r="B13" i="34"/>
  <c r="A13" i="34"/>
  <c r="J12" i="34"/>
  <c r="B12" i="34"/>
  <c r="A12" i="34"/>
  <c r="J11" i="34"/>
  <c r="B11" i="34"/>
  <c r="A11" i="34"/>
  <c r="J10" i="34"/>
  <c r="B10" i="34"/>
  <c r="A10" i="34"/>
  <c r="J9" i="34"/>
  <c r="B9" i="34"/>
  <c r="A9" i="34"/>
  <c r="J8" i="34"/>
  <c r="B8" i="34"/>
  <c r="A8" i="34"/>
  <c r="J7" i="34"/>
  <c r="B7" i="34"/>
  <c r="A7" i="34"/>
  <c r="J6" i="34"/>
  <c r="B6" i="34"/>
  <c r="A6" i="34"/>
  <c r="J5" i="34"/>
  <c r="B5" i="34"/>
  <c r="A5" i="34"/>
  <c r="J4" i="34"/>
  <c r="B4" i="34"/>
  <c r="A4" i="34"/>
  <c r="E3" i="34"/>
  <c r="G3" i="34" s="1"/>
  <c r="B3" i="34"/>
  <c r="A3" i="34"/>
  <c r="J3" i="34" s="1"/>
  <c r="O1" i="34"/>
  <c r="H79" i="32"/>
  <c r="E79" i="32"/>
  <c r="A79" i="32"/>
  <c r="H78" i="32"/>
  <c r="E78" i="32"/>
  <c r="A78" i="32"/>
  <c r="H77" i="32"/>
  <c r="E77" i="32"/>
  <c r="A77" i="32"/>
  <c r="H76" i="32"/>
  <c r="E76" i="32"/>
  <c r="A76" i="32"/>
  <c r="H75" i="32"/>
  <c r="E75" i="32"/>
  <c r="B75" i="32"/>
  <c r="B76" i="32" s="1"/>
  <c r="B77" i="32" s="1"/>
  <c r="B78" i="32" s="1"/>
  <c r="B79" i="32" s="1"/>
  <c r="A75" i="32"/>
  <c r="H74" i="32"/>
  <c r="E74" i="32"/>
  <c r="E80" i="32" s="1"/>
  <c r="A74" i="32"/>
  <c r="I53" i="32"/>
  <c r="E49" i="32"/>
  <c r="E48" i="32"/>
  <c r="E47" i="32"/>
  <c r="E46" i="32"/>
  <c r="E44" i="32"/>
  <c r="E43" i="32"/>
  <c r="E42" i="32"/>
  <c r="E41" i="32"/>
  <c r="E39" i="32"/>
  <c r="E38" i="32"/>
  <c r="E37" i="32"/>
  <c r="E36" i="32"/>
  <c r="E35" i="32"/>
  <c r="E34" i="32"/>
  <c r="E33" i="32"/>
  <c r="E32" i="32"/>
  <c r="E30" i="32"/>
  <c r="E29" i="32"/>
  <c r="E28" i="32"/>
  <c r="E26" i="32"/>
  <c r="E25" i="32"/>
  <c r="E24" i="32"/>
  <c r="E23" i="32"/>
  <c r="J18" i="32"/>
  <c r="F18" i="32" s="1"/>
  <c r="B18" i="32"/>
  <c r="A18" i="32"/>
  <c r="J17" i="32"/>
  <c r="E17" i="32"/>
  <c r="G17" i="32" s="1"/>
  <c r="B17" i="32"/>
  <c r="A17" i="32"/>
  <c r="J16" i="32"/>
  <c r="E16" i="32"/>
  <c r="G16" i="32" s="1"/>
  <c r="L16" i="32" s="1"/>
  <c r="B16" i="32"/>
  <c r="A16" i="32"/>
  <c r="J15" i="32"/>
  <c r="E15" i="32"/>
  <c r="G15" i="32" s="1"/>
  <c r="B15" i="32"/>
  <c r="A15" i="32"/>
  <c r="J14" i="32"/>
  <c r="E14" i="32"/>
  <c r="B14" i="32"/>
  <c r="A14" i="32"/>
  <c r="J13" i="32"/>
  <c r="F13" i="32" s="1"/>
  <c r="E13" i="32"/>
  <c r="B13" i="32"/>
  <c r="A13" i="32"/>
  <c r="J12" i="32"/>
  <c r="B12" i="32"/>
  <c r="A12" i="32"/>
  <c r="J11" i="32"/>
  <c r="B11" i="32"/>
  <c r="A11" i="32"/>
  <c r="J10" i="32"/>
  <c r="B10" i="32"/>
  <c r="A10" i="32"/>
  <c r="J9" i="32"/>
  <c r="B9" i="32"/>
  <c r="A9" i="32"/>
  <c r="J8" i="32"/>
  <c r="B8" i="32"/>
  <c r="A8" i="32"/>
  <c r="J7" i="32"/>
  <c r="B7" i="32"/>
  <c r="A7" i="32"/>
  <c r="J6" i="32"/>
  <c r="B6" i="32"/>
  <c r="A6" i="32"/>
  <c r="J5" i="32"/>
  <c r="B5" i="32"/>
  <c r="A5" i="32"/>
  <c r="J4" i="32"/>
  <c r="B4" i="32"/>
  <c r="A4" i="32"/>
  <c r="E3" i="32"/>
  <c r="B3" i="32"/>
  <c r="A3" i="32"/>
  <c r="J3" i="32" s="1"/>
  <c r="O1" i="32"/>
  <c r="H78" i="31"/>
  <c r="E78" i="31"/>
  <c r="A78" i="31"/>
  <c r="H77" i="31"/>
  <c r="E77" i="31"/>
  <c r="A77" i="31"/>
  <c r="H76" i="31"/>
  <c r="E76" i="31"/>
  <c r="A76" i="31"/>
  <c r="H75" i="31"/>
  <c r="E75" i="31"/>
  <c r="B75" i="31"/>
  <c r="B76" i="31" s="1"/>
  <c r="B77" i="31" s="1"/>
  <c r="B78" i="31" s="1"/>
  <c r="A75" i="31"/>
  <c r="H74" i="31"/>
  <c r="E74" i="31"/>
  <c r="A74" i="31"/>
  <c r="F69" i="31"/>
  <c r="I53" i="31" s="1"/>
  <c r="E49" i="31"/>
  <c r="E48" i="31"/>
  <c r="E47" i="31"/>
  <c r="E46" i="31"/>
  <c r="E44" i="31"/>
  <c r="E43" i="31"/>
  <c r="E42" i="31"/>
  <c r="E41" i="31"/>
  <c r="E39" i="31"/>
  <c r="E38" i="31"/>
  <c r="E37" i="31"/>
  <c r="E36" i="31"/>
  <c r="E35" i="31"/>
  <c r="E34" i="31"/>
  <c r="E33" i="31"/>
  <c r="E32" i="31"/>
  <c r="E30" i="31"/>
  <c r="E29" i="31"/>
  <c r="E28" i="31"/>
  <c r="E26" i="31"/>
  <c r="E25" i="31"/>
  <c r="E24" i="31"/>
  <c r="E23" i="31"/>
  <c r="J18" i="31"/>
  <c r="F18" i="31" s="1"/>
  <c r="B18" i="31"/>
  <c r="A18" i="31"/>
  <c r="J17" i="31"/>
  <c r="E17" i="31"/>
  <c r="G17" i="31" s="1"/>
  <c r="B17" i="31"/>
  <c r="A17" i="31"/>
  <c r="J16" i="31"/>
  <c r="E16" i="31"/>
  <c r="G16" i="31" s="1"/>
  <c r="B16" i="31"/>
  <c r="A16" i="31"/>
  <c r="J15" i="31"/>
  <c r="E15" i="31"/>
  <c r="G15" i="31" s="1"/>
  <c r="B15" i="31"/>
  <c r="A15" i="31"/>
  <c r="J14" i="31"/>
  <c r="F14" i="31" s="1"/>
  <c r="E14" i="31"/>
  <c r="B14" i="31"/>
  <c r="A14" i="31"/>
  <c r="J13" i="31"/>
  <c r="F13" i="31" s="1"/>
  <c r="E13" i="31"/>
  <c r="B13" i="31"/>
  <c r="A13" i="31"/>
  <c r="J12" i="31"/>
  <c r="B12" i="31"/>
  <c r="A12" i="31"/>
  <c r="J11" i="31"/>
  <c r="B11" i="31"/>
  <c r="A11" i="31"/>
  <c r="J10" i="31"/>
  <c r="B10" i="31"/>
  <c r="A10" i="31"/>
  <c r="J9" i="31"/>
  <c r="B9" i="31"/>
  <c r="A9" i="31"/>
  <c r="J8" i="31"/>
  <c r="B8" i="31"/>
  <c r="A8" i="31"/>
  <c r="J7" i="31"/>
  <c r="B7" i="31"/>
  <c r="A7" i="31"/>
  <c r="J6" i="31"/>
  <c r="B6" i="31"/>
  <c r="A6" i="31"/>
  <c r="J5" i="31"/>
  <c r="B5" i="31"/>
  <c r="A5" i="31"/>
  <c r="J4" i="31"/>
  <c r="B4" i="31"/>
  <c r="A4" i="31"/>
  <c r="E3" i="31"/>
  <c r="B3" i="31"/>
  <c r="A3" i="31"/>
  <c r="J3" i="31" s="1"/>
  <c r="O1" i="31"/>
  <c r="F69" i="30"/>
  <c r="C7" i="2"/>
  <c r="H78" i="30"/>
  <c r="E78" i="30"/>
  <c r="A78" i="30"/>
  <c r="H77" i="30"/>
  <c r="E77" i="30"/>
  <c r="A77" i="30"/>
  <c r="H76" i="30"/>
  <c r="E76" i="30"/>
  <c r="A76" i="30"/>
  <c r="H75" i="30"/>
  <c r="E75" i="30"/>
  <c r="B75" i="30"/>
  <c r="B76" i="30" s="1"/>
  <c r="B77" i="30" s="1"/>
  <c r="B78" i="30" s="1"/>
  <c r="A75" i="30"/>
  <c r="H74" i="30"/>
  <c r="E74" i="30"/>
  <c r="A74" i="30"/>
  <c r="I53" i="30"/>
  <c r="E49" i="30"/>
  <c r="E48" i="30"/>
  <c r="E47" i="30"/>
  <c r="E46" i="30"/>
  <c r="E44" i="30"/>
  <c r="E43" i="30"/>
  <c r="E42" i="30"/>
  <c r="E41" i="30"/>
  <c r="E39" i="30"/>
  <c r="E38" i="30"/>
  <c r="E37" i="30"/>
  <c r="E36" i="30"/>
  <c r="E35" i="30"/>
  <c r="E34" i="30"/>
  <c r="E33" i="30"/>
  <c r="E32" i="30"/>
  <c r="E30" i="30"/>
  <c r="E29" i="30"/>
  <c r="E28" i="30"/>
  <c r="E26" i="30"/>
  <c r="E25" i="30"/>
  <c r="E24" i="30"/>
  <c r="E23" i="30"/>
  <c r="J18" i="30"/>
  <c r="F18" i="30" s="1"/>
  <c r="B18" i="30"/>
  <c r="A18" i="30"/>
  <c r="J17" i="30"/>
  <c r="E17" i="30"/>
  <c r="G17" i="30" s="1"/>
  <c r="B17" i="30"/>
  <c r="A17" i="30"/>
  <c r="J16" i="30"/>
  <c r="E16" i="30"/>
  <c r="G16" i="30" s="1"/>
  <c r="L16" i="30" s="1"/>
  <c r="B16" i="30"/>
  <c r="A16" i="30"/>
  <c r="J15" i="30"/>
  <c r="E15" i="30"/>
  <c r="G15" i="30" s="1"/>
  <c r="B15" i="30"/>
  <c r="A15" i="30"/>
  <c r="J14" i="30"/>
  <c r="F14" i="30" s="1"/>
  <c r="E14" i="30"/>
  <c r="B14" i="30"/>
  <c r="A14" i="30"/>
  <c r="J13" i="30"/>
  <c r="F13" i="30" s="1"/>
  <c r="E13" i="30"/>
  <c r="B13" i="30"/>
  <c r="A13" i="30"/>
  <c r="J12" i="30"/>
  <c r="B12" i="30"/>
  <c r="A12" i="30"/>
  <c r="J11" i="30"/>
  <c r="B11" i="30"/>
  <c r="A11" i="30"/>
  <c r="J10" i="30"/>
  <c r="B10" i="30"/>
  <c r="A10" i="30"/>
  <c r="J9" i="30"/>
  <c r="B9" i="30"/>
  <c r="A9" i="30"/>
  <c r="J8" i="30"/>
  <c r="B8" i="30"/>
  <c r="A8" i="30"/>
  <c r="J7" i="30"/>
  <c r="B7" i="30"/>
  <c r="A7" i="30"/>
  <c r="J6" i="30"/>
  <c r="B6" i="30"/>
  <c r="A6" i="30"/>
  <c r="J5" i="30"/>
  <c r="B5" i="30"/>
  <c r="A5" i="30"/>
  <c r="J4" i="30"/>
  <c r="B4" i="30"/>
  <c r="A4" i="30"/>
  <c r="E3" i="30"/>
  <c r="B3" i="30"/>
  <c r="A3" i="30"/>
  <c r="J3" i="30" s="1"/>
  <c r="O1" i="30"/>
  <c r="H78" i="19"/>
  <c r="E78" i="19"/>
  <c r="A78" i="19"/>
  <c r="H77" i="19"/>
  <c r="E77" i="19"/>
  <c r="A77" i="19"/>
  <c r="H76" i="19"/>
  <c r="E76" i="19"/>
  <c r="A76" i="19"/>
  <c r="H75" i="19"/>
  <c r="B75" i="19"/>
  <c r="B76" i="19" s="1"/>
  <c r="B77" i="19" s="1"/>
  <c r="B78" i="19" s="1"/>
  <c r="A75" i="19"/>
  <c r="H74" i="19"/>
  <c r="E74" i="19"/>
  <c r="A74" i="19"/>
  <c r="I53" i="19"/>
  <c r="E49" i="19"/>
  <c r="E48" i="19"/>
  <c r="E47" i="19"/>
  <c r="E46" i="19"/>
  <c r="E44" i="19"/>
  <c r="E43" i="19"/>
  <c r="E42" i="19"/>
  <c r="E41" i="19"/>
  <c r="E39" i="19"/>
  <c r="E38" i="19"/>
  <c r="E37" i="19"/>
  <c r="E36" i="19"/>
  <c r="E35" i="19"/>
  <c r="E34" i="19"/>
  <c r="E33" i="19"/>
  <c r="E32" i="19"/>
  <c r="E30" i="19"/>
  <c r="E29" i="19"/>
  <c r="E28" i="19"/>
  <c r="E31" i="19" s="1"/>
  <c r="E26" i="19"/>
  <c r="E25" i="19"/>
  <c r="E24" i="19"/>
  <c r="E23" i="19"/>
  <c r="J18" i="19"/>
  <c r="F18" i="19" s="1"/>
  <c r="B18" i="19"/>
  <c r="A18" i="19"/>
  <c r="J17" i="19"/>
  <c r="E17" i="19"/>
  <c r="G17" i="19" s="1"/>
  <c r="L17" i="19" s="1"/>
  <c r="B17" i="19"/>
  <c r="A17" i="19"/>
  <c r="J16" i="19"/>
  <c r="E16" i="19"/>
  <c r="G16" i="19" s="1"/>
  <c r="B16" i="19"/>
  <c r="A16" i="19"/>
  <c r="J15" i="19"/>
  <c r="E15" i="19"/>
  <c r="G15" i="19" s="1"/>
  <c r="L15" i="19" s="1"/>
  <c r="B15" i="19"/>
  <c r="A15" i="19"/>
  <c r="J14" i="19"/>
  <c r="E14" i="19"/>
  <c r="B14" i="19"/>
  <c r="A14" i="19"/>
  <c r="J13" i="19"/>
  <c r="E13" i="19"/>
  <c r="B13" i="19"/>
  <c r="A13" i="19"/>
  <c r="J12" i="19"/>
  <c r="B12" i="19"/>
  <c r="A12" i="19"/>
  <c r="J11" i="19"/>
  <c r="B11" i="19"/>
  <c r="A11" i="19"/>
  <c r="J10" i="19"/>
  <c r="B10" i="19"/>
  <c r="A10" i="19"/>
  <c r="J9" i="19"/>
  <c r="B9" i="19"/>
  <c r="A9" i="19"/>
  <c r="J8" i="19"/>
  <c r="B8" i="19"/>
  <c r="A8" i="19"/>
  <c r="J7" i="19"/>
  <c r="B7" i="19"/>
  <c r="A7" i="19"/>
  <c r="J6" i="19"/>
  <c r="B6" i="19"/>
  <c r="A6" i="19"/>
  <c r="J5" i="19"/>
  <c r="B5" i="19"/>
  <c r="A5" i="19"/>
  <c r="J4" i="19"/>
  <c r="B4" i="19"/>
  <c r="A4" i="19"/>
  <c r="E3" i="19"/>
  <c r="G3" i="19" s="1"/>
  <c r="B3" i="19"/>
  <c r="A3" i="19"/>
  <c r="J3" i="19" s="1"/>
  <c r="O1" i="19"/>
  <c r="D16" i="2"/>
  <c r="C6" i="2"/>
  <c r="E75" i="19" s="1"/>
  <c r="H74" i="17"/>
  <c r="E75" i="18"/>
  <c r="H78" i="17"/>
  <c r="E78" i="17"/>
  <c r="A78" i="17"/>
  <c r="H77" i="17"/>
  <c r="E77" i="17"/>
  <c r="A77" i="17"/>
  <c r="H76" i="17"/>
  <c r="E76" i="17"/>
  <c r="A76" i="17"/>
  <c r="H75" i="17"/>
  <c r="E75" i="17"/>
  <c r="B75" i="17"/>
  <c r="B76" i="17" s="1"/>
  <c r="B77" i="17" s="1"/>
  <c r="B78" i="17" s="1"/>
  <c r="A75" i="17"/>
  <c r="E74" i="17"/>
  <c r="A74" i="17"/>
  <c r="I53" i="17"/>
  <c r="E49" i="17"/>
  <c r="E48" i="17"/>
  <c r="E47" i="17"/>
  <c r="E46" i="17"/>
  <c r="E44" i="17"/>
  <c r="E43" i="17"/>
  <c r="E42" i="17"/>
  <c r="E41" i="17"/>
  <c r="E39" i="17"/>
  <c r="E38" i="17"/>
  <c r="E37" i="17"/>
  <c r="E36" i="17"/>
  <c r="E35" i="17"/>
  <c r="E34" i="17"/>
  <c r="E33" i="17"/>
  <c r="E32" i="17"/>
  <c r="E40" i="17" s="1"/>
  <c r="E30" i="17"/>
  <c r="E29" i="17"/>
  <c r="E28" i="17"/>
  <c r="E26" i="17"/>
  <c r="E25" i="17"/>
  <c r="E24" i="17"/>
  <c r="E23" i="17"/>
  <c r="J18" i="17"/>
  <c r="F18" i="17"/>
  <c r="B18" i="17"/>
  <c r="A18" i="17"/>
  <c r="J17" i="17"/>
  <c r="E17" i="17"/>
  <c r="G17" i="17" s="1"/>
  <c r="L17" i="17" s="1"/>
  <c r="B17" i="17"/>
  <c r="A17" i="17"/>
  <c r="J16" i="17"/>
  <c r="E16" i="17"/>
  <c r="G16" i="17" s="1"/>
  <c r="B16" i="17"/>
  <c r="A16" i="17"/>
  <c r="J15" i="17"/>
  <c r="E15" i="17"/>
  <c r="G15" i="17" s="1"/>
  <c r="L15" i="17" s="1"/>
  <c r="B15" i="17"/>
  <c r="A15" i="17"/>
  <c r="J14" i="17"/>
  <c r="E14" i="17"/>
  <c r="B14" i="17"/>
  <c r="A14" i="17"/>
  <c r="J13" i="17"/>
  <c r="E13" i="17"/>
  <c r="B13" i="17"/>
  <c r="A13" i="17"/>
  <c r="J12" i="17"/>
  <c r="B12" i="17"/>
  <c r="A12" i="17"/>
  <c r="J11" i="17"/>
  <c r="B11" i="17"/>
  <c r="A11" i="17"/>
  <c r="J10" i="17"/>
  <c r="B10" i="17"/>
  <c r="A10" i="17"/>
  <c r="J9" i="17"/>
  <c r="B9" i="17"/>
  <c r="A9" i="17"/>
  <c r="J8" i="17"/>
  <c r="B8" i="17"/>
  <c r="A8" i="17"/>
  <c r="J7" i="17"/>
  <c r="B7" i="17"/>
  <c r="A7" i="17"/>
  <c r="J6" i="17"/>
  <c r="B6" i="17"/>
  <c r="A6" i="17"/>
  <c r="J5" i="17"/>
  <c r="B5" i="17"/>
  <c r="A5" i="17"/>
  <c r="J4" i="17"/>
  <c r="B4" i="17"/>
  <c r="A4" i="17"/>
  <c r="J3" i="17"/>
  <c r="E3" i="17"/>
  <c r="G3" i="17" s="1"/>
  <c r="B3" i="17"/>
  <c r="A3" i="17"/>
  <c r="O1" i="17"/>
  <c r="H16" i="43"/>
  <c r="H8" i="44"/>
  <c r="F77" i="44"/>
  <c r="F76" i="43"/>
  <c r="F75" i="43"/>
  <c r="H15" i="43"/>
  <c r="G55" i="40"/>
  <c r="F79" i="44"/>
  <c r="G54" i="40"/>
  <c r="H15" i="44"/>
  <c r="H7" i="44"/>
  <c r="F80" i="43"/>
  <c r="F78" i="44"/>
  <c r="H3" i="43"/>
  <c r="G70" i="40"/>
  <c r="H3" i="44"/>
  <c r="H8" i="43"/>
  <c r="K52" i="40"/>
  <c r="G68" i="40"/>
  <c r="H13" i="44"/>
  <c r="G56" i="40"/>
  <c r="F79" i="43"/>
  <c r="H6" i="44"/>
  <c r="H7" i="43"/>
  <c r="F80" i="44"/>
  <c r="H12" i="44"/>
  <c r="G61" i="40"/>
  <c r="H5" i="44"/>
  <c r="J52" i="38"/>
  <c r="H16" i="44"/>
  <c r="F75" i="44"/>
  <c r="G58" i="40"/>
  <c r="H14" i="44"/>
  <c r="G67" i="40"/>
  <c r="H9" i="43"/>
  <c r="F78" i="43"/>
  <c r="H18" i="44"/>
  <c r="G69" i="40"/>
  <c r="F77" i="43"/>
  <c r="H6" i="43"/>
  <c r="F76" i="44"/>
  <c r="H4" i="43"/>
  <c r="H13" i="43"/>
  <c r="H10" i="43"/>
  <c r="H14" i="43"/>
  <c r="H11" i="43"/>
  <c r="G64" i="40"/>
  <c r="H4" i="44"/>
  <c r="H5" i="43"/>
  <c r="H18" i="43"/>
  <c r="H17" i="43"/>
  <c r="G59" i="40"/>
  <c r="G63" i="40"/>
  <c r="G60" i="40"/>
  <c r="K52" i="43"/>
  <c r="G62" i="40"/>
  <c r="H17" i="44"/>
  <c r="H10" i="44"/>
  <c r="K52" i="44"/>
  <c r="H9" i="44"/>
  <c r="H11" i="44"/>
  <c r="G66" i="40"/>
  <c r="H12" i="43"/>
  <c r="AM3" i="45" l="1"/>
  <c r="V3" i="45"/>
  <c r="X4" i="45"/>
  <c r="X3" i="45" s="1"/>
  <c r="B3" i="45"/>
  <c r="N3" i="45"/>
  <c r="R3" i="45"/>
  <c r="S3" i="45" s="1"/>
  <c r="D6" i="45"/>
  <c r="D3" i="45" s="1"/>
  <c r="E27" i="44"/>
  <c r="J19" i="44"/>
  <c r="E40" i="44"/>
  <c r="E45" i="44"/>
  <c r="K10" i="44"/>
  <c r="E50" i="44"/>
  <c r="I79" i="44"/>
  <c r="I78" i="44"/>
  <c r="E81" i="44"/>
  <c r="I75" i="44"/>
  <c r="I77" i="44"/>
  <c r="I76" i="44"/>
  <c r="I80" i="44"/>
  <c r="I9" i="44"/>
  <c r="I15" i="44"/>
  <c r="I10" i="44"/>
  <c r="H19" i="44"/>
  <c r="I3" i="44"/>
  <c r="I17" i="44"/>
  <c r="G77" i="44"/>
  <c r="I12" i="44"/>
  <c r="G76" i="44"/>
  <c r="G75" i="44"/>
  <c r="F81" i="44"/>
  <c r="I6" i="44"/>
  <c r="G79" i="44"/>
  <c r="I16" i="44"/>
  <c r="G78" i="44"/>
  <c r="I11" i="44"/>
  <c r="I4" i="44"/>
  <c r="I5" i="44"/>
  <c r="I18" i="44"/>
  <c r="I13" i="44"/>
  <c r="I8" i="44"/>
  <c r="I14" i="44"/>
  <c r="G80" i="44"/>
  <c r="K14" i="44"/>
  <c r="L14" i="44"/>
  <c r="K18" i="44"/>
  <c r="L18" i="44"/>
  <c r="L3" i="44"/>
  <c r="K3" i="44"/>
  <c r="G19" i="44"/>
  <c r="L19" i="44" s="1"/>
  <c r="K5" i="44"/>
  <c r="L5" i="44"/>
  <c r="L7" i="44"/>
  <c r="K7" i="44"/>
  <c r="L9" i="44"/>
  <c r="K9" i="44"/>
  <c r="I7" i="44"/>
  <c r="L11" i="44"/>
  <c r="K11" i="44"/>
  <c r="L13" i="44"/>
  <c r="K13" i="44"/>
  <c r="K54" i="44"/>
  <c r="L15" i="44"/>
  <c r="K15" i="44"/>
  <c r="K17" i="44"/>
  <c r="L17" i="44"/>
  <c r="L4" i="44"/>
  <c r="K4" i="44"/>
  <c r="K6" i="44"/>
  <c r="L6" i="44"/>
  <c r="L8" i="44"/>
  <c r="K8" i="44"/>
  <c r="L12" i="44"/>
  <c r="K12" i="44"/>
  <c r="E19" i="44"/>
  <c r="K16" i="44"/>
  <c r="L10" i="44"/>
  <c r="H81" i="44"/>
  <c r="G13" i="40"/>
  <c r="K16" i="43"/>
  <c r="E27" i="17"/>
  <c r="E40" i="19"/>
  <c r="E45" i="19" s="1"/>
  <c r="E50" i="19" s="1"/>
  <c r="E27" i="19"/>
  <c r="E31" i="17"/>
  <c r="L3" i="17"/>
  <c r="I74" i="19"/>
  <c r="E27" i="36"/>
  <c r="C11" i="41"/>
  <c r="C17" i="41" s="1"/>
  <c r="C29" i="41" s="1"/>
  <c r="C30" i="41" s="1"/>
  <c r="D27" i="41"/>
  <c r="D29" i="41" s="1"/>
  <c r="D30" i="41" s="1"/>
  <c r="K54" i="40"/>
  <c r="G14" i="43"/>
  <c r="F19" i="43"/>
  <c r="E50" i="43"/>
  <c r="G13" i="43"/>
  <c r="L13" i="43" s="1"/>
  <c r="E40" i="43"/>
  <c r="E45" i="43"/>
  <c r="E27" i="43"/>
  <c r="I78" i="43"/>
  <c r="I76" i="43"/>
  <c r="I79" i="43"/>
  <c r="E81" i="43"/>
  <c r="I77" i="43"/>
  <c r="I75" i="43"/>
  <c r="I80" i="43"/>
  <c r="I6" i="43"/>
  <c r="I10" i="43"/>
  <c r="I16" i="43"/>
  <c r="G76" i="43"/>
  <c r="H19" i="43"/>
  <c r="F81" i="43"/>
  <c r="I12" i="43"/>
  <c r="I13" i="43"/>
  <c r="I14" i="43"/>
  <c r="I4" i="43"/>
  <c r="I11" i="43"/>
  <c r="I8" i="43"/>
  <c r="L15" i="43"/>
  <c r="K15" i="43"/>
  <c r="I3" i="43"/>
  <c r="I15" i="43"/>
  <c r="I18" i="43"/>
  <c r="K54" i="43"/>
  <c r="I5" i="43"/>
  <c r="I7" i="43"/>
  <c r="I9" i="43"/>
  <c r="L14" i="43"/>
  <c r="K14" i="43"/>
  <c r="K17" i="43"/>
  <c r="L17" i="43"/>
  <c r="I17" i="43"/>
  <c r="L3" i="43"/>
  <c r="J19" i="43"/>
  <c r="G80" i="43"/>
  <c r="G79" i="43"/>
  <c r="K3" i="43"/>
  <c r="G78" i="43"/>
  <c r="G77" i="43"/>
  <c r="G75" i="43"/>
  <c r="H81" i="43"/>
  <c r="H16" i="42"/>
  <c r="E2" i="42"/>
  <c r="H2" i="42"/>
  <c r="C42" i="41"/>
  <c r="C43" i="41" s="1"/>
  <c r="H70" i="40"/>
  <c r="H69" i="40"/>
  <c r="H68" i="40"/>
  <c r="H67" i="40"/>
  <c r="H66" i="40"/>
  <c r="H64" i="40"/>
  <c r="H63" i="40"/>
  <c r="H62" i="40"/>
  <c r="H61" i="40"/>
  <c r="H60" i="40"/>
  <c r="H59" i="40"/>
  <c r="H58" i="40"/>
  <c r="H56" i="40"/>
  <c r="H55" i="40"/>
  <c r="H54" i="40"/>
  <c r="I78" i="40"/>
  <c r="I79" i="40"/>
  <c r="I75" i="40"/>
  <c r="I81" i="40" s="1"/>
  <c r="I77" i="40"/>
  <c r="I80" i="40"/>
  <c r="E31" i="40"/>
  <c r="J19" i="40"/>
  <c r="E40" i="40"/>
  <c r="E50" i="40"/>
  <c r="G14" i="40"/>
  <c r="L14" i="40" s="1"/>
  <c r="K16" i="40"/>
  <c r="L16" i="40"/>
  <c r="L13" i="40"/>
  <c r="K13" i="40"/>
  <c r="L15" i="40"/>
  <c r="K15" i="40"/>
  <c r="L17" i="40"/>
  <c r="K17" i="40"/>
  <c r="F19" i="40"/>
  <c r="H81" i="40"/>
  <c r="G3" i="40"/>
  <c r="E31" i="38"/>
  <c r="G14" i="31"/>
  <c r="E45" i="17"/>
  <c r="I75" i="32"/>
  <c r="E40" i="36"/>
  <c r="E45" i="36"/>
  <c r="H79" i="19"/>
  <c r="E45" i="32"/>
  <c r="E50" i="38"/>
  <c r="K16" i="30"/>
  <c r="E79" i="31"/>
  <c r="E27" i="32"/>
  <c r="E50" i="17"/>
  <c r="H79" i="17"/>
  <c r="H79" i="30"/>
  <c r="I79" i="32"/>
  <c r="E45" i="38"/>
  <c r="E27" i="38"/>
  <c r="J19" i="38"/>
  <c r="E40" i="38"/>
  <c r="E31" i="37"/>
  <c r="E45" i="37"/>
  <c r="J19" i="37"/>
  <c r="E50" i="37"/>
  <c r="G13" i="37"/>
  <c r="L13" i="37" s="1"/>
  <c r="E27" i="37"/>
  <c r="E40" i="37"/>
  <c r="I78" i="38"/>
  <c r="I76" i="38"/>
  <c r="I79" i="38"/>
  <c r="I75" i="38"/>
  <c r="E81" i="38"/>
  <c r="L3" i="38"/>
  <c r="I77" i="38"/>
  <c r="I80" i="38"/>
  <c r="K16" i="38"/>
  <c r="L16" i="38"/>
  <c r="L15" i="38"/>
  <c r="K15" i="38"/>
  <c r="F18" i="38"/>
  <c r="F13" i="38"/>
  <c r="K3" i="38"/>
  <c r="F14" i="38"/>
  <c r="G14" i="38" s="1"/>
  <c r="K17" i="38"/>
  <c r="H81" i="38"/>
  <c r="F19" i="36"/>
  <c r="G13" i="36"/>
  <c r="L13" i="36" s="1"/>
  <c r="E31" i="36"/>
  <c r="H80" i="36"/>
  <c r="J19" i="36"/>
  <c r="G14" i="36"/>
  <c r="L14" i="36" s="1"/>
  <c r="E50" i="36"/>
  <c r="I77" i="37"/>
  <c r="I75" i="37"/>
  <c r="I78" i="37"/>
  <c r="L3" i="37"/>
  <c r="E80" i="37"/>
  <c r="I74" i="37"/>
  <c r="I76" i="37"/>
  <c r="I79" i="37"/>
  <c r="K16" i="37"/>
  <c r="L16" i="37"/>
  <c r="K15" i="37"/>
  <c r="L15" i="37"/>
  <c r="F18" i="37"/>
  <c r="K3" i="37"/>
  <c r="F14" i="37"/>
  <c r="G14" i="37" s="1"/>
  <c r="K17" i="37"/>
  <c r="H80" i="37"/>
  <c r="E80" i="35"/>
  <c r="E45" i="35"/>
  <c r="G3" i="35"/>
  <c r="E27" i="35"/>
  <c r="E31" i="35"/>
  <c r="G13" i="35"/>
  <c r="L13" i="35" s="1"/>
  <c r="J19" i="35"/>
  <c r="H80" i="35"/>
  <c r="K15" i="35"/>
  <c r="E50" i="35"/>
  <c r="F19" i="35"/>
  <c r="E40" i="35"/>
  <c r="G14" i="35"/>
  <c r="L14" i="35" s="1"/>
  <c r="I76" i="36"/>
  <c r="I77" i="36"/>
  <c r="I78" i="36"/>
  <c r="L3" i="36"/>
  <c r="I79" i="36"/>
  <c r="L15" i="36"/>
  <c r="K15" i="36"/>
  <c r="K14" i="36"/>
  <c r="K16" i="36"/>
  <c r="L16" i="36"/>
  <c r="L17" i="36"/>
  <c r="K17" i="36"/>
  <c r="I74" i="36"/>
  <c r="K3" i="36"/>
  <c r="E45" i="34"/>
  <c r="I74" i="34"/>
  <c r="G14" i="34"/>
  <c r="L14" i="34" s="1"/>
  <c r="E27" i="34"/>
  <c r="L15" i="35"/>
  <c r="I75" i="35"/>
  <c r="I76" i="35"/>
  <c r="I77" i="35"/>
  <c r="L3" i="35"/>
  <c r="I78" i="35"/>
  <c r="I79" i="35"/>
  <c r="K13" i="35"/>
  <c r="L17" i="35"/>
  <c r="K17" i="35"/>
  <c r="K16" i="35"/>
  <c r="I74" i="35"/>
  <c r="K3" i="35"/>
  <c r="H80" i="32"/>
  <c r="E31" i="32"/>
  <c r="E31" i="34"/>
  <c r="F19" i="34"/>
  <c r="E50" i="34"/>
  <c r="G13" i="34"/>
  <c r="L13" i="34" s="1"/>
  <c r="I75" i="34"/>
  <c r="I76" i="34"/>
  <c r="I79" i="34"/>
  <c r="L17" i="34"/>
  <c r="K17" i="34"/>
  <c r="L3" i="34"/>
  <c r="K3" i="34"/>
  <c r="I78" i="34"/>
  <c r="L16" i="34"/>
  <c r="K16" i="34"/>
  <c r="E40" i="34"/>
  <c r="J19" i="34"/>
  <c r="L15" i="34"/>
  <c r="K15" i="34"/>
  <c r="E80" i="34"/>
  <c r="I77" i="34"/>
  <c r="H80" i="34"/>
  <c r="G79" i="32"/>
  <c r="K17" i="32"/>
  <c r="L17" i="32"/>
  <c r="G3" i="32"/>
  <c r="E40" i="32"/>
  <c r="G13" i="32"/>
  <c r="L13" i="32" s="1"/>
  <c r="E50" i="32"/>
  <c r="J19" i="32"/>
  <c r="I78" i="32"/>
  <c r="I76" i="32"/>
  <c r="I77" i="32"/>
  <c r="I77" i="31"/>
  <c r="I75" i="31"/>
  <c r="I78" i="31"/>
  <c r="I76" i="31"/>
  <c r="E27" i="31"/>
  <c r="E50" i="31"/>
  <c r="L15" i="32"/>
  <c r="K15" i="32"/>
  <c r="F14" i="32"/>
  <c r="F19" i="32" s="1"/>
  <c r="K16" i="32"/>
  <c r="I74" i="32"/>
  <c r="H79" i="31"/>
  <c r="E31" i="31"/>
  <c r="G13" i="31"/>
  <c r="L13" i="31" s="1"/>
  <c r="E40" i="31"/>
  <c r="E45" i="31"/>
  <c r="L15" i="31"/>
  <c r="K15" i="31"/>
  <c r="L17" i="31"/>
  <c r="K17" i="31"/>
  <c r="J19" i="31"/>
  <c r="K14" i="31"/>
  <c r="L14" i="31"/>
  <c r="L16" i="31"/>
  <c r="K16" i="31"/>
  <c r="F19" i="31"/>
  <c r="I74" i="31"/>
  <c r="G3" i="31"/>
  <c r="I76" i="30"/>
  <c r="E31" i="30"/>
  <c r="E50" i="30"/>
  <c r="G13" i="30"/>
  <c r="L13" i="30" s="1"/>
  <c r="E27" i="30"/>
  <c r="E40" i="30"/>
  <c r="E45" i="30"/>
  <c r="J19" i="30"/>
  <c r="E79" i="30"/>
  <c r="I77" i="30"/>
  <c r="I75" i="30"/>
  <c r="I78" i="30"/>
  <c r="G14" i="30"/>
  <c r="F19" i="30"/>
  <c r="L15" i="30"/>
  <c r="K15" i="30"/>
  <c r="L17" i="30"/>
  <c r="K17" i="30"/>
  <c r="G3" i="30"/>
  <c r="I74" i="30"/>
  <c r="J19" i="17"/>
  <c r="I76" i="19"/>
  <c r="I77" i="19"/>
  <c r="I75" i="19"/>
  <c r="I78" i="19"/>
  <c r="L3" i="19"/>
  <c r="L16" i="19"/>
  <c r="K16" i="19"/>
  <c r="J19" i="19"/>
  <c r="F13" i="19"/>
  <c r="G13" i="19" s="1"/>
  <c r="K15" i="19"/>
  <c r="E79" i="19"/>
  <c r="F14" i="19"/>
  <c r="G14" i="19" s="1"/>
  <c r="K17" i="19"/>
  <c r="K3" i="19"/>
  <c r="I74" i="17"/>
  <c r="I77" i="17"/>
  <c r="I75" i="17"/>
  <c r="I78" i="17"/>
  <c r="I76" i="17"/>
  <c r="L16" i="17"/>
  <c r="K16" i="17"/>
  <c r="F13" i="17"/>
  <c r="K15" i="17"/>
  <c r="E79" i="17"/>
  <c r="K3" i="17"/>
  <c r="F14" i="17"/>
  <c r="G14" i="17" s="1"/>
  <c r="K17" i="17"/>
  <c r="E49" i="18"/>
  <c r="E48" i="18"/>
  <c r="E47" i="18"/>
  <c r="E46" i="18"/>
  <c r="E44" i="18"/>
  <c r="E43" i="18"/>
  <c r="E42" i="18"/>
  <c r="E41" i="18"/>
  <c r="E39" i="18"/>
  <c r="E38" i="18"/>
  <c r="E37" i="18"/>
  <c r="E36" i="18"/>
  <c r="E35" i="18"/>
  <c r="E34" i="18"/>
  <c r="E33" i="18"/>
  <c r="E32" i="18"/>
  <c r="E30" i="18"/>
  <c r="E29" i="18"/>
  <c r="E28" i="18"/>
  <c r="E26" i="18"/>
  <c r="E25" i="18"/>
  <c r="E24" i="18"/>
  <c r="J16" i="18"/>
  <c r="E16" i="18"/>
  <c r="G16" i="18" s="1"/>
  <c r="B16" i="18"/>
  <c r="A16" i="18"/>
  <c r="J17" i="18"/>
  <c r="E17" i="18"/>
  <c r="G17" i="18" s="1"/>
  <c r="J18" i="18"/>
  <c r="B18" i="18"/>
  <c r="A18" i="18"/>
  <c r="I53" i="18"/>
  <c r="G27" i="2"/>
  <c r="M4" i="2"/>
  <c r="C20" i="2"/>
  <c r="D17" i="2"/>
  <c r="C9" i="2"/>
  <c r="E75" i="36" s="1"/>
  <c r="E80" i="36" s="1"/>
  <c r="C8" i="2"/>
  <c r="E76" i="40" s="1"/>
  <c r="I76" i="40" s="1"/>
  <c r="I7" i="2"/>
  <c r="C10" i="2"/>
  <c r="I10" i="2" s="1"/>
  <c r="E78" i="18"/>
  <c r="E77" i="18"/>
  <c r="E76" i="18"/>
  <c r="E74" i="18"/>
  <c r="I6" i="2"/>
  <c r="I11" i="2"/>
  <c r="I5" i="2"/>
  <c r="I4" i="2"/>
  <c r="B28" i="5"/>
  <c r="B27" i="5"/>
  <c r="M5" i="2"/>
  <c r="N34" i="2"/>
  <c r="M34" i="2"/>
  <c r="L34" i="2"/>
  <c r="L4" i="2"/>
  <c r="H16" i="32"/>
  <c r="F77" i="17"/>
  <c r="H13" i="31"/>
  <c r="H11" i="35"/>
  <c r="H18" i="37"/>
  <c r="F74" i="19"/>
  <c r="H8" i="32"/>
  <c r="F77" i="31"/>
  <c r="H10" i="40"/>
  <c r="H16" i="19"/>
  <c r="H9" i="37"/>
  <c r="F75" i="19"/>
  <c r="I52" i="37"/>
  <c r="H15" i="35"/>
  <c r="H7" i="19"/>
  <c r="H6" i="34"/>
  <c r="H15" i="37"/>
  <c r="H11" i="31"/>
  <c r="H12" i="37"/>
  <c r="H11" i="40"/>
  <c r="H18" i="34"/>
  <c r="H12" i="31"/>
  <c r="H12" i="34"/>
  <c r="H14" i="38"/>
  <c r="F78" i="38"/>
  <c r="H5" i="17"/>
  <c r="H3" i="34"/>
  <c r="F76" i="40"/>
  <c r="H8" i="31"/>
  <c r="H4" i="34"/>
  <c r="H14" i="36"/>
  <c r="H18" i="36"/>
  <c r="F77" i="35"/>
  <c r="H12" i="19"/>
  <c r="H10" i="34"/>
  <c r="H18" i="38"/>
  <c r="H16" i="18"/>
  <c r="H7" i="36"/>
  <c r="H14" i="34"/>
  <c r="H18" i="18"/>
  <c r="F76" i="36"/>
  <c r="F77" i="34"/>
  <c r="H7" i="32"/>
  <c r="H6" i="40"/>
  <c r="H14" i="17"/>
  <c r="H16" i="35"/>
  <c r="F78" i="34"/>
  <c r="H3" i="17"/>
  <c r="H4" i="17"/>
  <c r="H4" i="35"/>
  <c r="H10" i="35"/>
  <c r="F75" i="35"/>
  <c r="H13" i="32"/>
  <c r="F77" i="38"/>
  <c r="H15" i="32"/>
  <c r="H10" i="37"/>
  <c r="H4" i="31"/>
  <c r="H11" i="34"/>
  <c r="H11" i="38"/>
  <c r="H15" i="34"/>
  <c r="H17" i="19"/>
  <c r="H15" i="36"/>
  <c r="H10" i="32"/>
  <c r="H9" i="31"/>
  <c r="H5" i="40"/>
  <c r="H14" i="31"/>
  <c r="F76" i="35"/>
  <c r="H13" i="38"/>
  <c r="F80" i="40"/>
  <c r="H17" i="31"/>
  <c r="H7" i="40"/>
  <c r="H6" i="36"/>
  <c r="H14" i="19"/>
  <c r="H5" i="19"/>
  <c r="H17" i="18"/>
  <c r="I52" i="35"/>
  <c r="H16" i="38"/>
  <c r="H16" i="40"/>
  <c r="H6" i="35"/>
  <c r="I52" i="19"/>
  <c r="H4" i="36"/>
  <c r="H17" i="34"/>
  <c r="H13" i="34"/>
  <c r="H16" i="17"/>
  <c r="H12" i="35"/>
  <c r="H8" i="40"/>
  <c r="H14" i="37"/>
  <c r="F75" i="40"/>
  <c r="H10" i="19"/>
  <c r="F77" i="32"/>
  <c r="F77" i="37"/>
  <c r="F78" i="36"/>
  <c r="H9" i="40"/>
  <c r="H15" i="19"/>
  <c r="H5" i="36"/>
  <c r="H18" i="30"/>
  <c r="F74" i="17"/>
  <c r="H6" i="31"/>
  <c r="F75" i="38"/>
  <c r="H11" i="32"/>
  <c r="F76" i="31"/>
  <c r="H11" i="37"/>
  <c r="F78" i="31"/>
  <c r="H14" i="40"/>
  <c r="H11" i="36"/>
  <c r="H8" i="19"/>
  <c r="I52" i="34"/>
  <c r="H5" i="37"/>
  <c r="F78" i="32"/>
  <c r="H15" i="31"/>
  <c r="H10" i="31"/>
  <c r="H6" i="37"/>
  <c r="H8" i="36"/>
  <c r="F76" i="17"/>
  <c r="H5" i="35"/>
  <c r="H18" i="31"/>
  <c r="H16" i="31"/>
  <c r="H10" i="38"/>
  <c r="H3" i="37"/>
  <c r="H15" i="40"/>
  <c r="F80" i="38"/>
  <c r="H5" i="34"/>
  <c r="F75" i="17"/>
  <c r="H9" i="35"/>
  <c r="F75" i="32"/>
  <c r="H17" i="40"/>
  <c r="I52" i="36"/>
  <c r="F76" i="34"/>
  <c r="H16" i="36"/>
  <c r="H13" i="36"/>
  <c r="H4" i="37"/>
  <c r="I52" i="17"/>
  <c r="H11" i="17"/>
  <c r="H17" i="36"/>
  <c r="H9" i="19"/>
  <c r="H13" i="19"/>
  <c r="H18" i="32"/>
  <c r="H16" i="34"/>
  <c r="H8" i="17"/>
  <c r="H17" i="35"/>
  <c r="F79" i="36"/>
  <c r="H3" i="31"/>
  <c r="H3" i="19"/>
  <c r="H18" i="19"/>
  <c r="H8" i="38"/>
  <c r="H4" i="40"/>
  <c r="H3" i="36"/>
  <c r="H3" i="35"/>
  <c r="I52" i="32"/>
  <c r="H6" i="32"/>
  <c r="F78" i="35"/>
  <c r="H18" i="35"/>
  <c r="H3" i="40"/>
  <c r="H3" i="32"/>
  <c r="H18" i="40"/>
  <c r="H12" i="40"/>
  <c r="H18" i="17"/>
  <c r="H7" i="31"/>
  <c r="F78" i="37"/>
  <c r="H4" i="38"/>
  <c r="F76" i="37"/>
  <c r="H7" i="34"/>
  <c r="H17" i="30"/>
  <c r="I52" i="31"/>
  <c r="F79" i="40"/>
  <c r="F74" i="36"/>
  <c r="H13" i="17"/>
  <c r="H17" i="17"/>
  <c r="H5" i="32"/>
  <c r="F75" i="34"/>
  <c r="F79" i="34"/>
  <c r="H9" i="32"/>
  <c r="H13" i="40"/>
  <c r="F78" i="40"/>
  <c r="F77" i="19"/>
  <c r="H12" i="32"/>
  <c r="H12" i="17"/>
  <c r="H15" i="17"/>
  <c r="H16" i="37"/>
  <c r="H10" i="36"/>
  <c r="H16" i="30"/>
  <c r="H12" i="36"/>
  <c r="F79" i="35"/>
  <c r="F74" i="34"/>
  <c r="H8" i="34"/>
  <c r="F78" i="17"/>
  <c r="H4" i="32"/>
  <c r="H11" i="19"/>
  <c r="F77" i="40"/>
  <c r="F76" i="19"/>
  <c r="H8" i="35"/>
  <c r="H9" i="34"/>
  <c r="H17" i="38"/>
  <c r="H12" i="38"/>
  <c r="H17" i="37"/>
  <c r="H9" i="17"/>
  <c r="H13" i="37"/>
  <c r="F78" i="19"/>
  <c r="H13" i="35"/>
  <c r="H14" i="35"/>
  <c r="F74" i="31"/>
  <c r="H7" i="17"/>
  <c r="F79" i="38"/>
  <c r="F75" i="36"/>
  <c r="F75" i="37"/>
  <c r="H5" i="38"/>
  <c r="H9" i="36"/>
  <c r="H6" i="38"/>
  <c r="H15" i="38"/>
  <c r="F74" i="37"/>
  <c r="H8" i="37"/>
  <c r="H14" i="32"/>
  <c r="F76" i="38"/>
  <c r="H3" i="38"/>
  <c r="F76" i="32"/>
  <c r="H7" i="38"/>
  <c r="I52" i="30"/>
  <c r="F74" i="32"/>
  <c r="F75" i="31"/>
  <c r="H9" i="38"/>
  <c r="H10" i="17"/>
  <c r="F74" i="35"/>
  <c r="F79" i="37"/>
  <c r="H6" i="19"/>
  <c r="H7" i="37"/>
  <c r="F77" i="36"/>
  <c r="I52" i="18"/>
  <c r="H4" i="19"/>
  <c r="H17" i="32"/>
  <c r="H7" i="35"/>
  <c r="H5" i="31"/>
  <c r="H6" i="17"/>
  <c r="I81" i="44" l="1"/>
  <c r="L20" i="44"/>
  <c r="K20" i="44"/>
  <c r="K19" i="44"/>
  <c r="I19" i="44"/>
  <c r="G81" i="44"/>
  <c r="K14" i="34"/>
  <c r="K13" i="43"/>
  <c r="K13" i="31"/>
  <c r="E81" i="40"/>
  <c r="M2" i="42"/>
  <c r="E18" i="43"/>
  <c r="G18" i="43" s="1"/>
  <c r="E18" i="40"/>
  <c r="G18" i="40" s="1"/>
  <c r="F19" i="17"/>
  <c r="K13" i="36"/>
  <c r="I81" i="43"/>
  <c r="G81" i="43"/>
  <c r="I19" i="43"/>
  <c r="L18" i="43"/>
  <c r="I8" i="35"/>
  <c r="I15" i="19"/>
  <c r="I7" i="19"/>
  <c r="I54" i="36"/>
  <c r="I14" i="36"/>
  <c r="G75" i="34"/>
  <c r="I16" i="32"/>
  <c r="I16" i="38"/>
  <c r="I17" i="35"/>
  <c r="I9" i="34"/>
  <c r="I13" i="37"/>
  <c r="I12" i="38"/>
  <c r="I7" i="32"/>
  <c r="I13" i="31"/>
  <c r="I9" i="38"/>
  <c r="G79" i="38"/>
  <c r="G75" i="38"/>
  <c r="F81" i="38"/>
  <c r="I18" i="38"/>
  <c r="G76" i="34"/>
  <c r="I5" i="31"/>
  <c r="I16" i="34"/>
  <c r="I10" i="37"/>
  <c r="I14" i="35"/>
  <c r="I9" i="19"/>
  <c r="F80" i="35"/>
  <c r="G74" i="35"/>
  <c r="G78" i="31"/>
  <c r="G77" i="36"/>
  <c r="G75" i="19"/>
  <c r="I10" i="31"/>
  <c r="I15" i="35"/>
  <c r="I17" i="36"/>
  <c r="I10" i="38"/>
  <c r="F80" i="36"/>
  <c r="G74" i="36"/>
  <c r="G75" i="37"/>
  <c r="I12" i="36"/>
  <c r="I14" i="34"/>
  <c r="H19" i="34"/>
  <c r="I3" i="34"/>
  <c r="G75" i="31"/>
  <c r="I13" i="38"/>
  <c r="G79" i="35"/>
  <c r="G74" i="32"/>
  <c r="F80" i="32"/>
  <c r="I16" i="17"/>
  <c r="I6" i="35"/>
  <c r="I11" i="32"/>
  <c r="I17" i="19"/>
  <c r="I15" i="34"/>
  <c r="G77" i="40"/>
  <c r="H19" i="31"/>
  <c r="I3" i="31"/>
  <c r="I14" i="37"/>
  <c r="I6" i="36"/>
  <c r="I12" i="34"/>
  <c r="I54" i="37"/>
  <c r="I12" i="35"/>
  <c r="I18" i="34"/>
  <c r="I17" i="31"/>
  <c r="G74" i="17"/>
  <c r="F79" i="17"/>
  <c r="I13" i="40"/>
  <c r="I15" i="32"/>
  <c r="I17" i="17"/>
  <c r="G74" i="19"/>
  <c r="F79" i="19"/>
  <c r="I10" i="19"/>
  <c r="I4" i="32"/>
  <c r="I8" i="19"/>
  <c r="G77" i="34"/>
  <c r="I10" i="17"/>
  <c r="I18" i="35"/>
  <c r="I14" i="40"/>
  <c r="G78" i="38"/>
  <c r="I13" i="35"/>
  <c r="I14" i="17"/>
  <c r="I13" i="19"/>
  <c r="I12" i="32"/>
  <c r="G79" i="34"/>
  <c r="I7" i="36"/>
  <c r="G76" i="31"/>
  <c r="G77" i="38"/>
  <c r="J54" i="38"/>
  <c r="I6" i="19"/>
  <c r="I4" i="36"/>
  <c r="I13" i="17"/>
  <c r="I11" i="31"/>
  <c r="I11" i="34"/>
  <c r="I7" i="37"/>
  <c r="I4" i="31"/>
  <c r="I54" i="17"/>
  <c r="I11" i="38"/>
  <c r="I7" i="31"/>
  <c r="I7" i="17"/>
  <c r="I5" i="37"/>
  <c r="I12" i="17"/>
  <c r="I18" i="40"/>
  <c r="I7" i="40"/>
  <c r="I10" i="40"/>
  <c r="I16" i="40"/>
  <c r="G80" i="40"/>
  <c r="I9" i="40"/>
  <c r="I15" i="40"/>
  <c r="G76" i="40"/>
  <c r="G75" i="40"/>
  <c r="F81" i="40"/>
  <c r="G75" i="17"/>
  <c r="I10" i="36"/>
  <c r="I6" i="38"/>
  <c r="G79" i="36"/>
  <c r="G79" i="37"/>
  <c r="G76" i="36"/>
  <c r="I9" i="36"/>
  <c r="G74" i="34"/>
  <c r="F80" i="34"/>
  <c r="I12" i="37"/>
  <c r="I11" i="36"/>
  <c r="I16" i="35"/>
  <c r="I6" i="34"/>
  <c r="I5" i="19"/>
  <c r="G78" i="19"/>
  <c r="I12" i="19"/>
  <c r="I3" i="19"/>
  <c r="H19" i="19"/>
  <c r="I11" i="19"/>
  <c r="H19" i="40"/>
  <c r="I3" i="40"/>
  <c r="I5" i="36"/>
  <c r="I3" i="17"/>
  <c r="H19" i="17"/>
  <c r="I5" i="32"/>
  <c r="I13" i="36"/>
  <c r="G76" i="37"/>
  <c r="I8" i="38"/>
  <c r="I7" i="35"/>
  <c r="H19" i="35"/>
  <c r="I3" i="35"/>
  <c r="G77" i="17"/>
  <c r="I18" i="36"/>
  <c r="I4" i="37"/>
  <c r="I4" i="38"/>
  <c r="I8" i="31"/>
  <c r="I15" i="37"/>
  <c r="I9" i="32"/>
  <c r="G78" i="37"/>
  <c r="I18" i="17"/>
  <c r="I10" i="35"/>
  <c r="G78" i="17"/>
  <c r="I8" i="32"/>
  <c r="I7" i="34"/>
  <c r="I5" i="17"/>
  <c r="G77" i="19"/>
  <c r="I16" i="31"/>
  <c r="I16" i="36"/>
  <c r="I11" i="40"/>
  <c r="I17" i="40"/>
  <c r="I8" i="37"/>
  <c r="I54" i="34"/>
  <c r="I17" i="32"/>
  <c r="G74" i="37"/>
  <c r="F80" i="37"/>
  <c r="I10" i="32"/>
  <c r="I9" i="37"/>
  <c r="I17" i="34"/>
  <c r="I18" i="32"/>
  <c r="I15" i="36"/>
  <c r="G78" i="36"/>
  <c r="G76" i="19"/>
  <c r="G77" i="35"/>
  <c r="G76" i="17"/>
  <c r="I5" i="35"/>
  <c r="I14" i="32"/>
  <c r="I7" i="38"/>
  <c r="I6" i="17"/>
  <c r="I9" i="17"/>
  <c r="I4" i="19"/>
  <c r="G78" i="34"/>
  <c r="I16" i="19"/>
  <c r="G74" i="31"/>
  <c r="F79" i="31"/>
  <c r="G77" i="32"/>
  <c r="I4" i="34"/>
  <c r="I12" i="40"/>
  <c r="G79" i="40"/>
  <c r="I15" i="31"/>
  <c r="I6" i="32"/>
  <c r="I9" i="35"/>
  <c r="G80" i="38"/>
  <c r="I18" i="37"/>
  <c r="I13" i="32"/>
  <c r="I54" i="35"/>
  <c r="G78" i="35"/>
  <c r="I8" i="36"/>
  <c r="I13" i="34"/>
  <c r="I17" i="38"/>
  <c r="G75" i="36"/>
  <c r="I10" i="34"/>
  <c r="I54" i="19"/>
  <c r="I11" i="37"/>
  <c r="I11" i="17"/>
  <c r="I54" i="31"/>
  <c r="I17" i="37"/>
  <c r="G75" i="32"/>
  <c r="I5" i="38"/>
  <c r="H19" i="38"/>
  <c r="I3" i="38"/>
  <c r="H19" i="32"/>
  <c r="I3" i="32"/>
  <c r="I9" i="31"/>
  <c r="I14" i="31"/>
  <c r="G78" i="32"/>
  <c r="G78" i="40"/>
  <c r="I4" i="40"/>
  <c r="I6" i="37"/>
  <c r="I11" i="35"/>
  <c r="I14" i="38"/>
  <c r="I14" i="19"/>
  <c r="I18" i="19"/>
  <c r="I54" i="32"/>
  <c r="G76" i="32"/>
  <c r="I5" i="34"/>
  <c r="G77" i="37"/>
  <c r="I4" i="17"/>
  <c r="I18" i="31"/>
  <c r="I8" i="17"/>
  <c r="H19" i="37"/>
  <c r="I3" i="37"/>
  <c r="I4" i="35"/>
  <c r="G76" i="35"/>
  <c r="G75" i="35"/>
  <c r="I15" i="17"/>
  <c r="I16" i="37"/>
  <c r="I15" i="38"/>
  <c r="I8" i="34"/>
  <c r="I6" i="31"/>
  <c r="H19" i="36"/>
  <c r="I3" i="36"/>
  <c r="G77" i="31"/>
  <c r="G76" i="38"/>
  <c r="I12" i="31"/>
  <c r="I5" i="40"/>
  <c r="I6" i="40"/>
  <c r="I8" i="40"/>
  <c r="K14" i="40"/>
  <c r="L3" i="40"/>
  <c r="K3" i="40"/>
  <c r="I18" i="30"/>
  <c r="I17" i="30"/>
  <c r="I54" i="30"/>
  <c r="I16" i="30"/>
  <c r="I75" i="36"/>
  <c r="I80" i="36" s="1"/>
  <c r="K3" i="32"/>
  <c r="L3" i="32"/>
  <c r="E18" i="18"/>
  <c r="E18" i="36"/>
  <c r="G18" i="36" s="1"/>
  <c r="E18" i="34"/>
  <c r="G18" i="34" s="1"/>
  <c r="L18" i="34" s="1"/>
  <c r="E18" i="38"/>
  <c r="G18" i="38" s="1"/>
  <c r="L18" i="38" s="1"/>
  <c r="E18" i="35"/>
  <c r="G18" i="35" s="1"/>
  <c r="E18" i="30"/>
  <c r="G18" i="30" s="1"/>
  <c r="E18" i="37"/>
  <c r="G18" i="37" s="1"/>
  <c r="K18" i="37" s="1"/>
  <c r="E18" i="32"/>
  <c r="G18" i="32" s="1"/>
  <c r="K18" i="32" s="1"/>
  <c r="E18" i="31"/>
  <c r="G18" i="31" s="1"/>
  <c r="I79" i="31"/>
  <c r="I8" i="2"/>
  <c r="G13" i="17"/>
  <c r="L13" i="17" s="1"/>
  <c r="I81" i="38"/>
  <c r="K13" i="37"/>
  <c r="I80" i="37"/>
  <c r="L14" i="38"/>
  <c r="K14" i="38"/>
  <c r="G13" i="38"/>
  <c r="F19" i="38"/>
  <c r="L14" i="37"/>
  <c r="K14" i="37"/>
  <c r="F19" i="37"/>
  <c r="K14" i="35"/>
  <c r="I80" i="35"/>
  <c r="K13" i="34"/>
  <c r="I80" i="32"/>
  <c r="L18" i="32"/>
  <c r="I80" i="34"/>
  <c r="K18" i="34"/>
  <c r="K13" i="32"/>
  <c r="G14" i="32"/>
  <c r="L3" i="31"/>
  <c r="K3" i="31"/>
  <c r="I79" i="30"/>
  <c r="K13" i="30"/>
  <c r="L14" i="30"/>
  <c r="K14" i="30"/>
  <c r="L3" i="30"/>
  <c r="K3" i="30"/>
  <c r="E40" i="18"/>
  <c r="E45" i="18"/>
  <c r="E50" i="18"/>
  <c r="E31" i="18"/>
  <c r="I79" i="19"/>
  <c r="E18" i="17"/>
  <c r="G18" i="17" s="1"/>
  <c r="E18" i="19"/>
  <c r="G18" i="19" s="1"/>
  <c r="F19" i="19"/>
  <c r="K13" i="19"/>
  <c r="L13" i="19"/>
  <c r="L14" i="19"/>
  <c r="K14" i="19"/>
  <c r="I79" i="17"/>
  <c r="K13" i="17"/>
  <c r="L14" i="17"/>
  <c r="K14" i="17"/>
  <c r="I54" i="18"/>
  <c r="L16" i="18"/>
  <c r="K16" i="18"/>
  <c r="I16" i="18"/>
  <c r="L17" i="18"/>
  <c r="K17" i="18"/>
  <c r="I17" i="18"/>
  <c r="I18" i="18"/>
  <c r="F18" i="18"/>
  <c r="M6" i="2"/>
  <c r="I9" i="2"/>
  <c r="K18" i="40" l="1"/>
  <c r="L18" i="40"/>
  <c r="K18" i="43"/>
  <c r="G80" i="37"/>
  <c r="G79" i="31"/>
  <c r="G80" i="35"/>
  <c r="G80" i="36"/>
  <c r="I19" i="36"/>
  <c r="I19" i="40"/>
  <c r="G81" i="38"/>
  <c r="I19" i="34"/>
  <c r="I19" i="32"/>
  <c r="I19" i="38"/>
  <c r="I19" i="35"/>
  <c r="G81" i="40"/>
  <c r="I19" i="37"/>
  <c r="G80" i="32"/>
  <c r="I19" i="19"/>
  <c r="I19" i="17"/>
  <c r="G79" i="17"/>
  <c r="I19" i="31"/>
  <c r="G80" i="34"/>
  <c r="G79" i="19"/>
  <c r="K18" i="38"/>
  <c r="K18" i="36"/>
  <c r="L18" i="36"/>
  <c r="G18" i="18"/>
  <c r="L18" i="18" s="1"/>
  <c r="L18" i="37"/>
  <c r="L18" i="35"/>
  <c r="K18" i="35"/>
  <c r="K18" i="31"/>
  <c r="L18" i="31"/>
  <c r="K18" i="30"/>
  <c r="L18" i="30"/>
  <c r="K13" i="38"/>
  <c r="L13" i="38"/>
  <c r="K14" i="32"/>
  <c r="L14" i="32"/>
  <c r="L18" i="19"/>
  <c r="K18" i="19"/>
  <c r="K18" i="17"/>
  <c r="L18" i="17"/>
  <c r="K18" i="18"/>
  <c r="H78" i="18" l="1"/>
  <c r="A78" i="18"/>
  <c r="H77" i="18"/>
  <c r="A77" i="18"/>
  <c r="H76" i="18"/>
  <c r="A76" i="18"/>
  <c r="H75" i="18"/>
  <c r="B75" i="18"/>
  <c r="B76" i="18" s="1"/>
  <c r="B77" i="18" s="1"/>
  <c r="B78" i="18" s="1"/>
  <c r="A75" i="18"/>
  <c r="H74" i="18"/>
  <c r="A74" i="18"/>
  <c r="E23" i="18"/>
  <c r="E27" i="18" s="1"/>
  <c r="B17" i="18"/>
  <c r="A17" i="18"/>
  <c r="J15" i="18"/>
  <c r="E15" i="18"/>
  <c r="G15" i="18" s="1"/>
  <c r="L15" i="18" s="1"/>
  <c r="B15" i="18"/>
  <c r="A15" i="18"/>
  <c r="J14" i="18"/>
  <c r="E14" i="18"/>
  <c r="B14" i="18"/>
  <c r="A14" i="18"/>
  <c r="J13" i="18"/>
  <c r="E13" i="18"/>
  <c r="B13" i="18"/>
  <c r="A13" i="18"/>
  <c r="J12" i="18"/>
  <c r="B12" i="18"/>
  <c r="A12" i="18"/>
  <c r="J11" i="18"/>
  <c r="B11" i="18"/>
  <c r="A11" i="18"/>
  <c r="J10" i="18"/>
  <c r="B10" i="18"/>
  <c r="A10" i="18"/>
  <c r="J9" i="18"/>
  <c r="B9" i="18"/>
  <c r="A9" i="18"/>
  <c r="J8" i="18"/>
  <c r="B8" i="18"/>
  <c r="A8" i="18"/>
  <c r="J7" i="18"/>
  <c r="B7" i="18"/>
  <c r="A7" i="18"/>
  <c r="J6" i="18"/>
  <c r="B6" i="18"/>
  <c r="A6" i="18"/>
  <c r="J5" i="18"/>
  <c r="B5" i="18"/>
  <c r="A5" i="18"/>
  <c r="J4" i="18"/>
  <c r="B4" i="18"/>
  <c r="A4" i="18"/>
  <c r="E3" i="18"/>
  <c r="G3" i="18" s="1"/>
  <c r="B3" i="18"/>
  <c r="A3" i="18"/>
  <c r="J3" i="18" s="1"/>
  <c r="O1" i="18"/>
  <c r="L32" i="2"/>
  <c r="L36" i="2" s="1"/>
  <c r="C28" i="5" s="1"/>
  <c r="H9" i="18"/>
  <c r="H11" i="30"/>
  <c r="H10" i="18"/>
  <c r="F75" i="18"/>
  <c r="H15" i="30"/>
  <c r="F78" i="30"/>
  <c r="F77" i="18"/>
  <c r="H3" i="18"/>
  <c r="H12" i="30"/>
  <c r="H14" i="30"/>
  <c r="F76" i="30"/>
  <c r="H8" i="18"/>
  <c r="F75" i="30"/>
  <c r="H13" i="18"/>
  <c r="H8" i="30"/>
  <c r="H10" i="30"/>
  <c r="H13" i="30"/>
  <c r="F78" i="18"/>
  <c r="F74" i="18"/>
  <c r="H11" i="18"/>
  <c r="H4" i="30"/>
  <c r="H7" i="18"/>
  <c r="H6" i="18"/>
  <c r="H9" i="30"/>
  <c r="H6" i="30"/>
  <c r="H4" i="18"/>
  <c r="H5" i="30"/>
  <c r="F76" i="18"/>
  <c r="H15" i="18"/>
  <c r="H12" i="18"/>
  <c r="F74" i="30"/>
  <c r="F77" i="30"/>
  <c r="H7" i="30"/>
  <c r="H14" i="18"/>
  <c r="H3" i="30"/>
  <c r="H5" i="18"/>
  <c r="I11" i="30" l="1"/>
  <c r="G76" i="30"/>
  <c r="I12" i="30"/>
  <c r="G77" i="30"/>
  <c r="G74" i="30"/>
  <c r="F79" i="30"/>
  <c r="I10" i="30"/>
  <c r="G78" i="30"/>
  <c r="I3" i="30"/>
  <c r="H19" i="30"/>
  <c r="I5" i="30"/>
  <c r="I6" i="30"/>
  <c r="I9" i="30"/>
  <c r="I4" i="30"/>
  <c r="I14" i="30"/>
  <c r="I7" i="30"/>
  <c r="I8" i="30"/>
  <c r="I13" i="30"/>
  <c r="I15" i="30"/>
  <c r="G75" i="30"/>
  <c r="J19" i="18"/>
  <c r="H19" i="18"/>
  <c r="F13" i="18"/>
  <c r="F14" i="18"/>
  <c r="G14" i="18" s="1"/>
  <c r="L5" i="2"/>
  <c r="L6" i="2" s="1"/>
  <c r="N6" i="2" s="1"/>
  <c r="I75" i="18"/>
  <c r="I76" i="18"/>
  <c r="I77" i="18"/>
  <c r="I78" i="18"/>
  <c r="H79" i="18"/>
  <c r="G78" i="18"/>
  <c r="I8" i="18"/>
  <c r="I15" i="18"/>
  <c r="G76" i="18"/>
  <c r="G75" i="18"/>
  <c r="I10" i="18"/>
  <c r="F79" i="18"/>
  <c r="G74" i="18"/>
  <c r="I6" i="18"/>
  <c r="I11" i="18"/>
  <c r="I3" i="18"/>
  <c r="I9" i="18"/>
  <c r="K3" i="18"/>
  <c r="L3" i="18"/>
  <c r="I12" i="18"/>
  <c r="I4" i="18"/>
  <c r="I5" i="18"/>
  <c r="I13" i="18"/>
  <c r="I7" i="18"/>
  <c r="I14" i="18"/>
  <c r="G77" i="18"/>
  <c r="K15" i="18"/>
  <c r="N4" i="2"/>
  <c r="G79" i="30" l="1"/>
  <c r="I19" i="30"/>
  <c r="G13" i="18"/>
  <c r="K13" i="18" s="1"/>
  <c r="F19" i="18"/>
  <c r="I19" i="18"/>
  <c r="L14" i="18"/>
  <c r="K14" i="18"/>
  <c r="N5" i="2"/>
  <c r="E79" i="18"/>
  <c r="I74" i="18"/>
  <c r="I79" i="18" s="1"/>
  <c r="G79" i="18"/>
  <c r="L13" i="18" l="1"/>
  <c r="L27" i="2"/>
  <c r="C31" i="5" l="1"/>
  <c r="B31" i="5"/>
  <c r="B22" i="5"/>
  <c r="B35" i="5"/>
  <c r="B34" i="5"/>
  <c r="B33" i="5"/>
  <c r="B32" i="5"/>
  <c r="B26" i="5"/>
  <c r="B25" i="5"/>
  <c r="B24" i="5"/>
  <c r="B23" i="5"/>
  <c r="F22" i="5"/>
  <c r="E22" i="5"/>
  <c r="D22" i="5"/>
  <c r="C22" i="5"/>
  <c r="B19" i="5"/>
  <c r="B18" i="5"/>
  <c r="F17" i="5"/>
  <c r="E17" i="5"/>
  <c r="D17" i="5"/>
  <c r="C17" i="5"/>
  <c r="B17" i="5"/>
  <c r="B14" i="5"/>
  <c r="B13" i="5"/>
  <c r="B12" i="5"/>
  <c r="B11" i="5"/>
  <c r="B10" i="5"/>
  <c r="B9" i="5"/>
  <c r="F8" i="5"/>
  <c r="E8" i="5"/>
  <c r="D8" i="5"/>
  <c r="C8" i="5"/>
  <c r="B8" i="5"/>
  <c r="B5" i="5"/>
  <c r="B4" i="5"/>
  <c r="B3" i="5"/>
  <c r="E2" i="5"/>
  <c r="D2" i="5"/>
  <c r="C2" i="5"/>
  <c r="B2" i="5"/>
  <c r="N32" i="2"/>
  <c r="N31" i="2"/>
  <c r="M32" i="2"/>
  <c r="C24" i="5"/>
  <c r="L31" i="2"/>
  <c r="G25" i="2"/>
  <c r="G26" i="2"/>
  <c r="N28" i="2"/>
  <c r="E19" i="5" s="1"/>
  <c r="M28" i="2"/>
  <c r="D19" i="5" s="1"/>
  <c r="L28" i="2"/>
  <c r="C19" i="5" s="1"/>
  <c r="C18" i="5"/>
  <c r="N33" i="2"/>
  <c r="E25" i="5" s="1"/>
  <c r="M33" i="2"/>
  <c r="D25" i="5" s="1"/>
  <c r="L33" i="2"/>
  <c r="C25" i="5" s="1"/>
  <c r="M31" i="2"/>
  <c r="N20" i="2"/>
  <c r="E14" i="5" s="1"/>
  <c r="M20" i="2"/>
  <c r="D14" i="5" s="1"/>
  <c r="L20" i="2"/>
  <c r="C14" i="5" s="1"/>
  <c r="N19" i="2"/>
  <c r="E13" i="5" s="1"/>
  <c r="M19" i="2"/>
  <c r="D13" i="5" s="1"/>
  <c r="L19" i="2"/>
  <c r="C13" i="5" s="1"/>
  <c r="N18" i="2"/>
  <c r="E12" i="5" s="1"/>
  <c r="M18" i="2"/>
  <c r="D12" i="5" s="1"/>
  <c r="L18" i="2"/>
  <c r="C12" i="5" s="1"/>
  <c r="N17" i="2"/>
  <c r="E11" i="5" s="1"/>
  <c r="M17" i="2"/>
  <c r="D11" i="5" s="1"/>
  <c r="L17" i="2"/>
  <c r="C11" i="5" s="1"/>
  <c r="N27" i="2"/>
  <c r="E18" i="5" s="1"/>
  <c r="M27" i="2"/>
  <c r="D18" i="5" s="1"/>
  <c r="N16" i="2"/>
  <c r="E10" i="5" s="1"/>
  <c r="M16" i="2"/>
  <c r="D10" i="5" s="1"/>
  <c r="L16" i="2"/>
  <c r="C10" i="5" s="1"/>
  <c r="N15" i="2"/>
  <c r="E9" i="5" s="1"/>
  <c r="M15" i="2"/>
  <c r="D9" i="5" s="1"/>
  <c r="L15" i="2"/>
  <c r="C9" i="5" s="1"/>
  <c r="G24" i="2"/>
  <c r="G23" i="2"/>
  <c r="G21" i="2"/>
  <c r="G22" i="2"/>
  <c r="G20" i="2"/>
  <c r="G19" i="2"/>
  <c r="G18" i="2"/>
  <c r="G17" i="2"/>
  <c r="G16" i="2"/>
  <c r="G15" i="2"/>
  <c r="D4" i="5"/>
  <c r="D3" i="5"/>
  <c r="C3" i="5"/>
  <c r="E5" i="40" l="1"/>
  <c r="G5" i="40" s="1"/>
  <c r="E5" i="43"/>
  <c r="G5" i="43" s="1"/>
  <c r="E12" i="43"/>
  <c r="G12" i="43" s="1"/>
  <c r="E12" i="40"/>
  <c r="G12" i="40" s="1"/>
  <c r="E9" i="40"/>
  <c r="G9" i="40" s="1"/>
  <c r="E9" i="43"/>
  <c r="G9" i="43" s="1"/>
  <c r="E8" i="40"/>
  <c r="G8" i="40" s="1"/>
  <c r="E8" i="43"/>
  <c r="G8" i="43" s="1"/>
  <c r="E6" i="40"/>
  <c r="G6" i="40" s="1"/>
  <c r="E6" i="43"/>
  <c r="G6" i="43" s="1"/>
  <c r="E4" i="40"/>
  <c r="E4" i="43"/>
  <c r="E7" i="40"/>
  <c r="G7" i="40" s="1"/>
  <c r="E7" i="43"/>
  <c r="G7" i="43" s="1"/>
  <c r="E11" i="43"/>
  <c r="G11" i="43" s="1"/>
  <c r="E11" i="40"/>
  <c r="G11" i="40" s="1"/>
  <c r="E10" i="40"/>
  <c r="G10" i="40" s="1"/>
  <c r="E10" i="43"/>
  <c r="G10" i="43" s="1"/>
  <c r="E11" i="37"/>
  <c r="G11" i="37" s="1"/>
  <c r="E11" i="31"/>
  <c r="G11" i="31" s="1"/>
  <c r="E11" i="34"/>
  <c r="G11" i="34" s="1"/>
  <c r="E11" i="32"/>
  <c r="G11" i="32" s="1"/>
  <c r="E11" i="35"/>
  <c r="G11" i="35" s="1"/>
  <c r="E11" i="38"/>
  <c r="G11" i="38" s="1"/>
  <c r="E11" i="36"/>
  <c r="G11" i="36" s="1"/>
  <c r="E11" i="30"/>
  <c r="G11" i="30" s="1"/>
  <c r="E6" i="38"/>
  <c r="G6" i="38" s="1"/>
  <c r="E6" i="34"/>
  <c r="G6" i="34" s="1"/>
  <c r="E6" i="31"/>
  <c r="G6" i="31" s="1"/>
  <c r="E6" i="30"/>
  <c r="G6" i="30" s="1"/>
  <c r="E6" i="35"/>
  <c r="G6" i="35" s="1"/>
  <c r="E6" i="36"/>
  <c r="G6" i="36" s="1"/>
  <c r="E6" i="37"/>
  <c r="G6" i="37" s="1"/>
  <c r="E6" i="32"/>
  <c r="G6" i="32" s="1"/>
  <c r="E4" i="38"/>
  <c r="E4" i="34"/>
  <c r="E4" i="31"/>
  <c r="E4" i="30"/>
  <c r="E4" i="35"/>
  <c r="E4" i="36"/>
  <c r="E4" i="37"/>
  <c r="E4" i="32"/>
  <c r="E5" i="36"/>
  <c r="G5" i="36" s="1"/>
  <c r="E5" i="37"/>
  <c r="G5" i="37" s="1"/>
  <c r="E5" i="38"/>
  <c r="G5" i="38" s="1"/>
  <c r="E5" i="34"/>
  <c r="G5" i="34" s="1"/>
  <c r="E5" i="31"/>
  <c r="G5" i="31" s="1"/>
  <c r="E5" i="30"/>
  <c r="G5" i="30" s="1"/>
  <c r="E5" i="32"/>
  <c r="G5" i="32" s="1"/>
  <c r="E5" i="35"/>
  <c r="G5" i="35" s="1"/>
  <c r="E12" i="34"/>
  <c r="G12" i="34" s="1"/>
  <c r="E12" i="35"/>
  <c r="G12" i="35" s="1"/>
  <c r="E12" i="38"/>
  <c r="G12" i="38" s="1"/>
  <c r="E12" i="36"/>
  <c r="G12" i="36" s="1"/>
  <c r="E12" i="37"/>
  <c r="G12" i="37" s="1"/>
  <c r="E12" i="30"/>
  <c r="G12" i="30" s="1"/>
  <c r="E12" i="32"/>
  <c r="G12" i="32" s="1"/>
  <c r="E12" i="31"/>
  <c r="G12" i="31" s="1"/>
  <c r="E9" i="38"/>
  <c r="G9" i="38" s="1"/>
  <c r="E9" i="37"/>
  <c r="G9" i="37" s="1"/>
  <c r="E9" i="31"/>
  <c r="G9" i="31" s="1"/>
  <c r="E9" i="30"/>
  <c r="G9" i="30" s="1"/>
  <c r="E9" i="34"/>
  <c r="G9" i="34" s="1"/>
  <c r="E9" i="32"/>
  <c r="G9" i="32" s="1"/>
  <c r="E9" i="36"/>
  <c r="G9" i="36" s="1"/>
  <c r="E9" i="35"/>
  <c r="G9" i="35" s="1"/>
  <c r="E8" i="34"/>
  <c r="G8" i="34" s="1"/>
  <c r="E8" i="30"/>
  <c r="G8" i="30" s="1"/>
  <c r="E8" i="36"/>
  <c r="G8" i="36" s="1"/>
  <c r="E8" i="35"/>
  <c r="G8" i="35" s="1"/>
  <c r="E8" i="31"/>
  <c r="G8" i="31" s="1"/>
  <c r="E8" i="38"/>
  <c r="G8" i="38" s="1"/>
  <c r="E8" i="37"/>
  <c r="G8" i="37" s="1"/>
  <c r="E8" i="32"/>
  <c r="G8" i="32" s="1"/>
  <c r="E7" i="37"/>
  <c r="G7" i="37" s="1"/>
  <c r="E7" i="34"/>
  <c r="G7" i="34" s="1"/>
  <c r="E7" i="31"/>
  <c r="G7" i="31" s="1"/>
  <c r="E7" i="30"/>
  <c r="G7" i="30" s="1"/>
  <c r="E7" i="32"/>
  <c r="G7" i="32" s="1"/>
  <c r="E7" i="38"/>
  <c r="G7" i="38" s="1"/>
  <c r="E7" i="35"/>
  <c r="G7" i="35" s="1"/>
  <c r="E7" i="36"/>
  <c r="G7" i="36" s="1"/>
  <c r="E10" i="34"/>
  <c r="G10" i="34" s="1"/>
  <c r="E10" i="38"/>
  <c r="G10" i="38" s="1"/>
  <c r="E10" i="35"/>
  <c r="G10" i="35" s="1"/>
  <c r="E10" i="36"/>
  <c r="G10" i="36" s="1"/>
  <c r="E10" i="32"/>
  <c r="G10" i="32" s="1"/>
  <c r="E10" i="31"/>
  <c r="G10" i="31" s="1"/>
  <c r="E10" i="37"/>
  <c r="G10" i="37" s="1"/>
  <c r="E10" i="30"/>
  <c r="G10" i="30" s="1"/>
  <c r="E11" i="19"/>
  <c r="G11" i="19" s="1"/>
  <c r="E11" i="17"/>
  <c r="G11" i="17" s="1"/>
  <c r="E12" i="17"/>
  <c r="G12" i="17" s="1"/>
  <c r="E12" i="19"/>
  <c r="G12" i="19" s="1"/>
  <c r="E8" i="17"/>
  <c r="G8" i="17" s="1"/>
  <c r="E8" i="19"/>
  <c r="G8" i="19" s="1"/>
  <c r="E6" i="17"/>
  <c r="G6" i="17" s="1"/>
  <c r="E6" i="19"/>
  <c r="G6" i="19" s="1"/>
  <c r="E4" i="17"/>
  <c r="G4" i="17" s="1"/>
  <c r="E4" i="19"/>
  <c r="G4" i="19" s="1"/>
  <c r="E9" i="19"/>
  <c r="G9" i="19" s="1"/>
  <c r="E7" i="19"/>
  <c r="G7" i="19" s="1"/>
  <c r="E7" i="17"/>
  <c r="G7" i="17" s="1"/>
  <c r="E10" i="17"/>
  <c r="G10" i="17" s="1"/>
  <c r="E10" i="19"/>
  <c r="G10" i="19" s="1"/>
  <c r="E5" i="17"/>
  <c r="G5" i="17" s="1"/>
  <c r="E5" i="19"/>
  <c r="E9" i="17"/>
  <c r="C23" i="5"/>
  <c r="L35" i="2"/>
  <c r="C27" i="5" s="1"/>
  <c r="E23" i="5"/>
  <c r="N35" i="2"/>
  <c r="E27" i="5" s="1"/>
  <c r="D23" i="5"/>
  <c r="M35" i="2"/>
  <c r="D27" i="5" s="1"/>
  <c r="E24" i="5"/>
  <c r="N36" i="2"/>
  <c r="E28" i="5" s="1"/>
  <c r="E6" i="18"/>
  <c r="G6" i="18" s="1"/>
  <c r="E4" i="18"/>
  <c r="E5" i="18"/>
  <c r="G5" i="18" s="1"/>
  <c r="E12" i="18"/>
  <c r="G12" i="18" s="1"/>
  <c r="E9" i="18"/>
  <c r="G9" i="18" s="1"/>
  <c r="E8" i="18"/>
  <c r="G8" i="18" s="1"/>
  <c r="D24" i="5"/>
  <c r="M36" i="2"/>
  <c r="E10" i="18"/>
  <c r="G10" i="18" s="1"/>
  <c r="E7" i="18"/>
  <c r="G7" i="18" s="1"/>
  <c r="E11" i="18"/>
  <c r="G11" i="18" s="1"/>
  <c r="E4" i="5"/>
  <c r="C4" i="5"/>
  <c r="C26" i="5"/>
  <c r="E26" i="5"/>
  <c r="D26" i="5"/>
  <c r="O32" i="2"/>
  <c r="L39" i="2" s="1"/>
  <c r="O20" i="2"/>
  <c r="F14" i="5" s="1"/>
  <c r="O19" i="2"/>
  <c r="F13" i="5" s="1"/>
  <c r="O31" i="2"/>
  <c r="O33" i="2"/>
  <c r="F25" i="5" s="1"/>
  <c r="O28" i="2"/>
  <c r="F19" i="5" s="1"/>
  <c r="O16" i="2"/>
  <c r="F10" i="5" s="1"/>
  <c r="O15" i="2"/>
  <c r="F9" i="5" s="1"/>
  <c r="O17" i="2"/>
  <c r="F11" i="5" s="1"/>
  <c r="O18" i="2"/>
  <c r="F12" i="5" s="1"/>
  <c r="O27" i="2"/>
  <c r="F18" i="5" s="1"/>
  <c r="C5" i="5"/>
  <c r="L8" i="43" l="1"/>
  <c r="K8" i="43"/>
  <c r="K7" i="40"/>
  <c r="L7" i="40"/>
  <c r="G4" i="43"/>
  <c r="E19" i="43"/>
  <c r="L12" i="40"/>
  <c r="K12" i="40"/>
  <c r="G4" i="40"/>
  <c r="E19" i="40"/>
  <c r="K12" i="43"/>
  <c r="L12" i="43"/>
  <c r="L11" i="40"/>
  <c r="K11" i="40"/>
  <c r="K8" i="40"/>
  <c r="L8" i="40"/>
  <c r="K9" i="43"/>
  <c r="L9" i="43"/>
  <c r="K9" i="40"/>
  <c r="L9" i="40"/>
  <c r="L10" i="43"/>
  <c r="K10" i="43"/>
  <c r="K6" i="43"/>
  <c r="L6" i="43"/>
  <c r="K5" i="43"/>
  <c r="L5" i="43"/>
  <c r="K11" i="43"/>
  <c r="L11" i="43"/>
  <c r="K7" i="43"/>
  <c r="L7" i="43"/>
  <c r="L10" i="40"/>
  <c r="K10" i="40"/>
  <c r="L6" i="40"/>
  <c r="K6" i="40"/>
  <c r="L5" i="40"/>
  <c r="K5" i="40"/>
  <c r="L10" i="37"/>
  <c r="K10" i="37"/>
  <c r="L7" i="37"/>
  <c r="K7" i="37"/>
  <c r="L9" i="31"/>
  <c r="K9" i="31"/>
  <c r="L5" i="31"/>
  <c r="K5" i="31"/>
  <c r="L6" i="37"/>
  <c r="K6" i="37"/>
  <c r="K7" i="36"/>
  <c r="L7" i="36"/>
  <c r="K8" i="34"/>
  <c r="L8" i="34"/>
  <c r="K12" i="35"/>
  <c r="L12" i="35"/>
  <c r="G4" i="35"/>
  <c r="E19" i="35"/>
  <c r="K11" i="38"/>
  <c r="L11" i="38"/>
  <c r="K7" i="35"/>
  <c r="L7" i="35"/>
  <c r="L9" i="35"/>
  <c r="K9" i="35"/>
  <c r="G4" i="30"/>
  <c r="E19" i="30"/>
  <c r="K11" i="35"/>
  <c r="L11" i="35"/>
  <c r="L7" i="38"/>
  <c r="K7" i="38"/>
  <c r="L12" i="34"/>
  <c r="K12" i="34"/>
  <c r="G4" i="31"/>
  <c r="E19" i="31"/>
  <c r="K11" i="32"/>
  <c r="L11" i="32"/>
  <c r="K7" i="32"/>
  <c r="L7" i="32"/>
  <c r="K9" i="36"/>
  <c r="L9" i="36"/>
  <c r="L12" i="32"/>
  <c r="K12" i="32"/>
  <c r="K5" i="36"/>
  <c r="L5" i="36"/>
  <c r="K6" i="31"/>
  <c r="L6" i="31"/>
  <c r="K7" i="30"/>
  <c r="L7" i="30"/>
  <c r="K9" i="32"/>
  <c r="L9" i="32"/>
  <c r="K5" i="32"/>
  <c r="L5" i="32"/>
  <c r="E19" i="38"/>
  <c r="G4" i="38"/>
  <c r="K11" i="34"/>
  <c r="L11" i="34"/>
  <c r="L8" i="35"/>
  <c r="K8" i="35"/>
  <c r="K9" i="34"/>
  <c r="L9" i="34"/>
  <c r="L8" i="30"/>
  <c r="K8" i="30"/>
  <c r="K12" i="38"/>
  <c r="L12" i="38"/>
  <c r="K11" i="36"/>
  <c r="L11" i="36"/>
  <c r="L10" i="31"/>
  <c r="K10" i="31"/>
  <c r="L8" i="32"/>
  <c r="K8" i="32"/>
  <c r="L9" i="37"/>
  <c r="K9" i="37"/>
  <c r="L5" i="34"/>
  <c r="K5" i="34"/>
  <c r="K6" i="36"/>
  <c r="L6" i="36"/>
  <c r="L10" i="32"/>
  <c r="K10" i="32"/>
  <c r="K8" i="37"/>
  <c r="L8" i="37"/>
  <c r="K9" i="38"/>
  <c r="L9" i="38"/>
  <c r="L5" i="38"/>
  <c r="K5" i="38"/>
  <c r="L6" i="35"/>
  <c r="K6" i="35"/>
  <c r="K10" i="36"/>
  <c r="L10" i="36"/>
  <c r="L8" i="38"/>
  <c r="K8" i="38"/>
  <c r="K12" i="31"/>
  <c r="L12" i="31"/>
  <c r="K5" i="37"/>
  <c r="L5" i="37"/>
  <c r="K6" i="30"/>
  <c r="L6" i="30"/>
  <c r="K10" i="35"/>
  <c r="L10" i="35"/>
  <c r="K8" i="31"/>
  <c r="L8" i="31"/>
  <c r="K5" i="35"/>
  <c r="L5" i="35"/>
  <c r="G4" i="34"/>
  <c r="E19" i="34"/>
  <c r="K10" i="38"/>
  <c r="L10" i="38"/>
  <c r="K12" i="30"/>
  <c r="L12" i="30"/>
  <c r="G4" i="32"/>
  <c r="E19" i="32"/>
  <c r="L6" i="34"/>
  <c r="K6" i="34"/>
  <c r="L7" i="31"/>
  <c r="K7" i="31"/>
  <c r="K12" i="37"/>
  <c r="L12" i="37"/>
  <c r="G4" i="37"/>
  <c r="E19" i="37"/>
  <c r="L6" i="38"/>
  <c r="K6" i="38"/>
  <c r="L11" i="31"/>
  <c r="K11" i="31"/>
  <c r="L10" i="30"/>
  <c r="K10" i="30"/>
  <c r="L10" i="34"/>
  <c r="K10" i="34"/>
  <c r="K7" i="34"/>
  <c r="L7" i="34"/>
  <c r="L8" i="36"/>
  <c r="K8" i="36"/>
  <c r="L9" i="30"/>
  <c r="K9" i="30"/>
  <c r="K12" i="36"/>
  <c r="L12" i="36"/>
  <c r="L5" i="30"/>
  <c r="K5" i="30"/>
  <c r="G4" i="36"/>
  <c r="E19" i="36"/>
  <c r="K6" i="32"/>
  <c r="L6" i="32"/>
  <c r="L11" i="30"/>
  <c r="K11" i="30"/>
  <c r="L11" i="37"/>
  <c r="K11" i="37"/>
  <c r="L9" i="19"/>
  <c r="K9" i="19"/>
  <c r="L10" i="17"/>
  <c r="K10" i="17"/>
  <c r="K4" i="17"/>
  <c r="L4" i="17"/>
  <c r="L12" i="17"/>
  <c r="K12" i="17"/>
  <c r="L8" i="17"/>
  <c r="K8" i="17"/>
  <c r="K12" i="19"/>
  <c r="L12" i="19"/>
  <c r="L6" i="19"/>
  <c r="K6" i="19"/>
  <c r="K4" i="19"/>
  <c r="L4" i="19"/>
  <c r="K7" i="17"/>
  <c r="L7" i="17"/>
  <c r="L11" i="17"/>
  <c r="K11" i="17"/>
  <c r="K10" i="19"/>
  <c r="L10" i="19"/>
  <c r="K7" i="19"/>
  <c r="L7" i="19"/>
  <c r="K6" i="17"/>
  <c r="L6" i="17"/>
  <c r="L8" i="19"/>
  <c r="K8" i="19"/>
  <c r="L11" i="19"/>
  <c r="K11" i="19"/>
  <c r="E19" i="18"/>
  <c r="G5" i="19"/>
  <c r="E19" i="19"/>
  <c r="K5" i="17"/>
  <c r="L5" i="17"/>
  <c r="G9" i="17"/>
  <c r="E19" i="17"/>
  <c r="O36" i="2"/>
  <c r="D28" i="5"/>
  <c r="F23" i="5"/>
  <c r="O35" i="2"/>
  <c r="L40" i="2"/>
  <c r="C33" i="5" s="1"/>
  <c r="K10" i="18"/>
  <c r="L10" i="18"/>
  <c r="K9" i="18"/>
  <c r="L9" i="18"/>
  <c r="G4" i="18"/>
  <c r="G19" i="18" s="1"/>
  <c r="L11" i="18"/>
  <c r="K11" i="18"/>
  <c r="L6" i="18"/>
  <c r="K6" i="18"/>
  <c r="L12" i="18"/>
  <c r="K12" i="18"/>
  <c r="L7" i="18"/>
  <c r="K7" i="18"/>
  <c r="K8" i="18"/>
  <c r="L8" i="18"/>
  <c r="K5" i="18"/>
  <c r="L5" i="18"/>
  <c r="E3" i="5"/>
  <c r="F33" i="5" s="1"/>
  <c r="C32" i="5"/>
  <c r="F24" i="5"/>
  <c r="E5" i="5"/>
  <c r="D5" i="5"/>
  <c r="O34" i="2"/>
  <c r="K20" i="43" l="1"/>
  <c r="L20" i="43"/>
  <c r="K4" i="43"/>
  <c r="K19" i="43" s="1"/>
  <c r="L4" i="43"/>
  <c r="G19" i="43"/>
  <c r="L19" i="43" s="1"/>
  <c r="K20" i="40"/>
  <c r="L20" i="40"/>
  <c r="K4" i="40"/>
  <c r="K19" i="40" s="1"/>
  <c r="L4" i="40"/>
  <c r="G19" i="40"/>
  <c r="L19" i="40" s="1"/>
  <c r="K20" i="37"/>
  <c r="L20" i="37"/>
  <c r="K20" i="31"/>
  <c r="L20" i="31"/>
  <c r="L4" i="37"/>
  <c r="K4" i="37"/>
  <c r="K19" i="37" s="1"/>
  <c r="G19" i="37"/>
  <c r="L19" i="37" s="1"/>
  <c r="K4" i="31"/>
  <c r="K19" i="31" s="1"/>
  <c r="L4" i="31"/>
  <c r="G19" i="31"/>
  <c r="L19" i="31" s="1"/>
  <c r="K20" i="36"/>
  <c r="L20" i="36"/>
  <c r="K20" i="32"/>
  <c r="L20" i="32"/>
  <c r="L20" i="30"/>
  <c r="K20" i="30"/>
  <c r="L4" i="36"/>
  <c r="K4" i="36"/>
  <c r="K19" i="36" s="1"/>
  <c r="G19" i="36"/>
  <c r="L19" i="36" s="1"/>
  <c r="K4" i="32"/>
  <c r="K19" i="32" s="1"/>
  <c r="L4" i="32"/>
  <c r="G19" i="32"/>
  <c r="L19" i="32" s="1"/>
  <c r="L4" i="30"/>
  <c r="K4" i="30"/>
  <c r="K19" i="30" s="1"/>
  <c r="G19" i="30"/>
  <c r="L19" i="30" s="1"/>
  <c r="L20" i="34"/>
  <c r="K20" i="34"/>
  <c r="L4" i="38"/>
  <c r="K4" i="38"/>
  <c r="K19" i="38" s="1"/>
  <c r="G19" i="38"/>
  <c r="L19" i="38" s="1"/>
  <c r="L20" i="35"/>
  <c r="K20" i="35"/>
  <c r="G19" i="34"/>
  <c r="L19" i="34" s="1"/>
  <c r="L4" i="34"/>
  <c r="K4" i="34"/>
  <c r="K19" i="34" s="1"/>
  <c r="K20" i="38"/>
  <c r="L20" i="38"/>
  <c r="L4" i="35"/>
  <c r="K4" i="35"/>
  <c r="K19" i="35" s="1"/>
  <c r="G19" i="35"/>
  <c r="L19" i="35" s="1"/>
  <c r="K20" i="19"/>
  <c r="L20" i="19"/>
  <c r="L5" i="19"/>
  <c r="K5" i="19"/>
  <c r="K19" i="19" s="1"/>
  <c r="G19" i="19"/>
  <c r="L19" i="19" s="1"/>
  <c r="L9" i="17"/>
  <c r="K9" i="17"/>
  <c r="K19" i="17" s="1"/>
  <c r="G19" i="17"/>
  <c r="L19" i="17" s="1"/>
  <c r="L20" i="17"/>
  <c r="K20" i="17"/>
  <c r="F28" i="5"/>
  <c r="L41" i="2"/>
  <c r="F27" i="5"/>
  <c r="L42" i="2"/>
  <c r="C35" i="5" s="1"/>
  <c r="L19" i="18"/>
  <c r="K4" i="18"/>
  <c r="K19" i="18" s="1"/>
  <c r="L4" i="18"/>
  <c r="L20" i="18"/>
  <c r="K20" i="18"/>
  <c r="F26" i="5"/>
  <c r="F34" i="5"/>
  <c r="F35" i="5"/>
  <c r="F32" i="5"/>
  <c r="G35" i="5"/>
  <c r="G33" i="5"/>
  <c r="G34" i="5"/>
  <c r="G32" i="5"/>
  <c r="C34" i="5" l="1"/>
</calcChain>
</file>

<file path=xl/sharedStrings.xml><?xml version="1.0" encoding="utf-8"?>
<sst xmlns="http://schemas.openxmlformats.org/spreadsheetml/2006/main" count="13674" uniqueCount="2240">
  <si>
    <t>수입</t>
    <phoneticPr fontId="2" type="noConversion"/>
  </si>
  <si>
    <t>Tiss</t>
    <phoneticPr fontId="2" type="noConversion"/>
  </si>
  <si>
    <t>JM</t>
    <phoneticPr fontId="2" type="noConversion"/>
  </si>
  <si>
    <t>총합</t>
    <phoneticPr fontId="2" type="noConversion"/>
  </si>
  <si>
    <t>월급</t>
    <phoneticPr fontId="2" type="noConversion"/>
  </si>
  <si>
    <t>기타</t>
    <phoneticPr fontId="2" type="noConversion"/>
  </si>
  <si>
    <t>M</t>
    <phoneticPr fontId="2" type="noConversion"/>
  </si>
  <si>
    <t>Y</t>
    <phoneticPr fontId="2" type="noConversion"/>
  </si>
  <si>
    <t>수입(계)</t>
    <phoneticPr fontId="2" type="noConversion"/>
  </si>
  <si>
    <t>고정비</t>
    <phoneticPr fontId="2" type="noConversion"/>
  </si>
  <si>
    <t>휴대폰</t>
    <phoneticPr fontId="2" type="noConversion"/>
  </si>
  <si>
    <t>보험금</t>
    <phoneticPr fontId="2" type="noConversion"/>
  </si>
  <si>
    <t>교통비</t>
    <phoneticPr fontId="2" type="noConversion"/>
  </si>
  <si>
    <t>주기</t>
    <phoneticPr fontId="2" type="noConversion"/>
  </si>
  <si>
    <t>합계</t>
    <phoneticPr fontId="2" type="noConversion"/>
  </si>
  <si>
    <t>대출상환</t>
    <phoneticPr fontId="2" type="noConversion"/>
  </si>
  <si>
    <t>아파트관리비</t>
    <phoneticPr fontId="2" type="noConversion"/>
  </si>
  <si>
    <t>주거</t>
    <phoneticPr fontId="2" type="noConversion"/>
  </si>
  <si>
    <t>용돈</t>
    <phoneticPr fontId="2" type="noConversion"/>
  </si>
  <si>
    <t>생활비</t>
    <phoneticPr fontId="2" type="noConversion"/>
  </si>
  <si>
    <t>세금</t>
    <phoneticPr fontId="2" type="noConversion"/>
  </si>
  <si>
    <t>대분류</t>
  </si>
  <si>
    <t>대분류</t>
    <phoneticPr fontId="2" type="noConversion"/>
  </si>
  <si>
    <t>중분류</t>
    <phoneticPr fontId="2" type="noConversion"/>
  </si>
  <si>
    <t>재산세(주택)</t>
    <phoneticPr fontId="2" type="noConversion"/>
  </si>
  <si>
    <t>주민세</t>
    <phoneticPr fontId="2" type="noConversion"/>
  </si>
  <si>
    <t>공동</t>
    <phoneticPr fontId="2" type="noConversion"/>
  </si>
  <si>
    <t>월간 수입</t>
    <phoneticPr fontId="2" type="noConversion"/>
  </si>
  <si>
    <t>연 총 수입</t>
    <phoneticPr fontId="2" type="noConversion"/>
  </si>
  <si>
    <t>연간 수입</t>
    <phoneticPr fontId="2" type="noConversion"/>
  </si>
  <si>
    <t>저축</t>
    <phoneticPr fontId="2" type="noConversion"/>
  </si>
  <si>
    <t>납부월</t>
    <phoneticPr fontId="2" type="noConversion"/>
  </si>
  <si>
    <t>월 순수 저축액</t>
    <phoneticPr fontId="2" type="noConversion"/>
  </si>
  <si>
    <t>연 순수 저축액</t>
    <phoneticPr fontId="2" type="noConversion"/>
  </si>
  <si>
    <t>월 대출상환+저축액</t>
    <phoneticPr fontId="2" type="noConversion"/>
  </si>
  <si>
    <t>연 대출상환+저축액</t>
    <phoneticPr fontId="2" type="noConversion"/>
  </si>
  <si>
    <t>No.</t>
  </si>
  <si>
    <t>상환예정일자</t>
  </si>
  <si>
    <t>상환예정금액</t>
  </si>
  <si>
    <t>구간별 이자계산일자</t>
  </si>
  <si>
    <t>영업일자</t>
  </si>
  <si>
    <t>원리금</t>
  </si>
  <si>
    <t>원금</t>
  </si>
  <si>
    <t>이자</t>
  </si>
  <si>
    <t>시작일자</t>
  </si>
  <si>
    <t>종료일자</t>
  </si>
  <si>
    <t>2018-08-25</t>
  </si>
  <si>
    <t>2018-08-27</t>
  </si>
  <si>
    <t>2018-07-04</t>
  </si>
  <si>
    <t>2018-08-24</t>
  </si>
  <si>
    <t>2018-09-25</t>
  </si>
  <si>
    <t>2018-09-27</t>
  </si>
  <si>
    <t>2018-09-24</t>
  </si>
  <si>
    <t>2018-10-25</t>
  </si>
  <si>
    <t>2018-10-24</t>
  </si>
  <si>
    <t>2018-11-25</t>
  </si>
  <si>
    <t>2018-11-26</t>
  </si>
  <si>
    <t>2018-11-24</t>
  </si>
  <si>
    <t>2018-12-25</t>
  </si>
  <si>
    <t>2018-12-26</t>
  </si>
  <si>
    <t>2018-12-24</t>
  </si>
  <si>
    <t>2019-01-25</t>
  </si>
  <si>
    <t>2019-01-24</t>
  </si>
  <si>
    <t>2019-02-25</t>
  </si>
  <si>
    <t>2019-02-24</t>
  </si>
  <si>
    <t>2019-03-25</t>
  </si>
  <si>
    <t>2019-03-24</t>
  </si>
  <si>
    <t>2019-04-25</t>
  </si>
  <si>
    <t>2019-04-24</t>
  </si>
  <si>
    <t>2019-05-25</t>
  </si>
  <si>
    <t>2019-05-27</t>
  </si>
  <si>
    <t>2019-05-24</t>
  </si>
  <si>
    <t>2019-06-25</t>
  </si>
  <si>
    <t>2019-06-24</t>
  </si>
  <si>
    <t>2019-07-25</t>
  </si>
  <si>
    <t>2019-07-24</t>
  </si>
  <si>
    <t>2019-08-25</t>
  </si>
  <si>
    <t>2019-08-26</t>
  </si>
  <si>
    <t>2019-08-24</t>
  </si>
  <si>
    <t>2019-09-25</t>
  </si>
  <si>
    <t>2019-09-24</t>
  </si>
  <si>
    <t>2019-10-25</t>
  </si>
  <si>
    <t>2019-10-24</t>
  </si>
  <si>
    <t>2019-11-25</t>
  </si>
  <si>
    <t>2019-11-24</t>
  </si>
  <si>
    <t>2019-12-25</t>
  </si>
  <si>
    <t>2019-12-26</t>
  </si>
  <si>
    <t>2019-12-24</t>
  </si>
  <si>
    <t>2020-01-25</t>
  </si>
  <si>
    <t>2020-01-28</t>
  </si>
  <si>
    <t>2020-01-24</t>
  </si>
  <si>
    <t>2020-02-25</t>
  </si>
  <si>
    <t>2020-02-24</t>
  </si>
  <si>
    <t>2020-03-25</t>
  </si>
  <si>
    <t>2020-03-24</t>
  </si>
  <si>
    <t>2020-04-25</t>
  </si>
  <si>
    <t>2020-04-27</t>
  </si>
  <si>
    <t>2020-04-24</t>
  </si>
  <si>
    <t>2020-05-25</t>
  </si>
  <si>
    <t>2020-05-24</t>
  </si>
  <si>
    <t>2020-06-25</t>
  </si>
  <si>
    <t>2020-06-24</t>
  </si>
  <si>
    <t>2020-07-25</t>
  </si>
  <si>
    <t>2020-07-27</t>
  </si>
  <si>
    <t>2020-07-24</t>
  </si>
  <si>
    <t>2020-08-25</t>
  </si>
  <si>
    <t>2020-08-24</t>
  </si>
  <si>
    <t>2020-09-25</t>
  </si>
  <si>
    <t>2020-09-24</t>
  </si>
  <si>
    <t>2020-10-25</t>
  </si>
  <si>
    <t>2020-10-26</t>
  </si>
  <si>
    <t>2020-10-24</t>
  </si>
  <si>
    <t>2020-11-25</t>
  </si>
  <si>
    <t>2020-11-24</t>
  </si>
  <si>
    <t>2020-12-25</t>
  </si>
  <si>
    <t>2020-12-28</t>
  </si>
  <si>
    <t>2020-12-24</t>
  </si>
  <si>
    <t>2021-01-25</t>
  </si>
  <si>
    <t>2021-01-24</t>
  </si>
  <si>
    <t>2021-02-25</t>
  </si>
  <si>
    <t>2021-02-24</t>
  </si>
  <si>
    <t>2021-03-25</t>
  </si>
  <si>
    <t>2021-03-24</t>
  </si>
  <si>
    <t>2021-04-25</t>
  </si>
  <si>
    <t>2021-04-26</t>
  </si>
  <si>
    <t>2021-04-24</t>
  </si>
  <si>
    <t>2021-05-25</t>
  </si>
  <si>
    <t>2021-05-24</t>
  </si>
  <si>
    <t>2021-06-25</t>
  </si>
  <si>
    <t>2021-06-24</t>
  </si>
  <si>
    <t>2021-07-25</t>
  </si>
  <si>
    <t>2021-07-26</t>
  </si>
  <si>
    <t>2021-07-24</t>
  </si>
  <si>
    <t>2021-08-25</t>
  </si>
  <si>
    <t>2021-08-24</t>
  </si>
  <si>
    <t>2021-09-25</t>
  </si>
  <si>
    <t>2021-09-27</t>
  </si>
  <si>
    <t>2021-09-24</t>
  </si>
  <si>
    <t>2021-10-25</t>
  </si>
  <si>
    <t>2021-10-24</t>
  </si>
  <si>
    <t>2021-11-25</t>
  </si>
  <si>
    <t>2021-11-24</t>
  </si>
  <si>
    <t>2021-12-25</t>
  </si>
  <si>
    <t>2021-12-27</t>
  </si>
  <si>
    <t>2021-12-24</t>
  </si>
  <si>
    <t>2022-01-25</t>
  </si>
  <si>
    <t>2022-01-24</t>
  </si>
  <si>
    <t>2022-02-25</t>
  </si>
  <si>
    <t>2022-02-24</t>
  </si>
  <si>
    <t>2022-03-25</t>
  </si>
  <si>
    <t>2022-03-24</t>
  </si>
  <si>
    <t>2022-04-25</t>
  </si>
  <si>
    <t>2022-04-24</t>
  </si>
  <si>
    <t>2022-05-25</t>
  </si>
  <si>
    <t>2022-05-24</t>
  </si>
  <si>
    <t>2022-06-25</t>
  </si>
  <si>
    <t>2022-06-27</t>
  </si>
  <si>
    <t>2022-06-24</t>
  </si>
  <si>
    <t>2022-07-25</t>
  </si>
  <si>
    <t>2022-07-24</t>
  </si>
  <si>
    <t>2022-08-25</t>
  </si>
  <si>
    <t>2022-08-24</t>
  </si>
  <si>
    <t>2022-09-25</t>
  </si>
  <si>
    <t>2022-09-26</t>
  </si>
  <si>
    <t>2022-09-24</t>
  </si>
  <si>
    <t>2022-10-25</t>
  </si>
  <si>
    <t>2022-10-24</t>
  </si>
  <si>
    <t>2022-11-25</t>
  </si>
  <si>
    <t>2022-11-24</t>
  </si>
  <si>
    <t>2022-12-25</t>
  </si>
  <si>
    <t>2022-12-26</t>
  </si>
  <si>
    <t>2022-12-24</t>
  </si>
  <si>
    <t>2023-01-25</t>
  </si>
  <si>
    <t>2023-01-24</t>
  </si>
  <si>
    <t>2023-02-25</t>
  </si>
  <si>
    <t>2023-02-27</t>
  </si>
  <si>
    <t>2023-02-24</t>
  </si>
  <si>
    <t>2023-03-25</t>
  </si>
  <si>
    <t>2023-03-27</t>
  </si>
  <si>
    <t>2023-03-24</t>
  </si>
  <si>
    <t>2023-04-25</t>
  </si>
  <si>
    <t>2023-04-24</t>
  </si>
  <si>
    <t>2023-05-25</t>
  </si>
  <si>
    <t>2023-05-24</t>
  </si>
  <si>
    <t>2023-06-25</t>
  </si>
  <si>
    <t>2023-06-26</t>
  </si>
  <si>
    <t>2023-06-24</t>
  </si>
  <si>
    <t>2023-07-25</t>
  </si>
  <si>
    <t>2023-07-24</t>
  </si>
  <si>
    <t>2023-08-25</t>
  </si>
  <si>
    <t>2023-08-24</t>
  </si>
  <si>
    <t>2023-09-25</t>
  </si>
  <si>
    <t>2023-09-24</t>
  </si>
  <si>
    <t>2023-10-25</t>
  </si>
  <si>
    <t>2023-10-24</t>
  </si>
  <si>
    <t>2023-11-25</t>
  </si>
  <si>
    <t>2023-11-27</t>
  </si>
  <si>
    <t>2023-11-24</t>
  </si>
  <si>
    <t>2023-12-25</t>
  </si>
  <si>
    <t>2023-12-26</t>
  </si>
  <si>
    <t>2023-12-24</t>
  </si>
  <si>
    <t>2024-01-25</t>
  </si>
  <si>
    <t>2024-01-24</t>
  </si>
  <si>
    <t>2024-02-25</t>
  </si>
  <si>
    <t>2024-02-26</t>
  </si>
  <si>
    <t>2024-02-24</t>
  </si>
  <si>
    <t>2024-03-25</t>
  </si>
  <si>
    <t>2024-03-24</t>
  </si>
  <si>
    <t>2024-04-25</t>
  </si>
  <si>
    <t>2024-04-24</t>
  </si>
  <si>
    <t>2024-05-25</t>
  </si>
  <si>
    <t>2024-05-27</t>
  </si>
  <si>
    <t>2024-05-24</t>
  </si>
  <si>
    <t>2024-06-25</t>
  </si>
  <si>
    <t>2024-06-24</t>
  </si>
  <si>
    <t>2024-07-25</t>
  </si>
  <si>
    <t>2024-07-24</t>
  </si>
  <si>
    <t>2024-08-25</t>
  </si>
  <si>
    <t>2024-08-26</t>
  </si>
  <si>
    <t>2024-08-24</t>
  </si>
  <si>
    <t>2024-09-25</t>
  </si>
  <si>
    <t>2024-09-24</t>
  </si>
  <si>
    <t>2024-10-25</t>
  </si>
  <si>
    <t>2024-10-24</t>
  </si>
  <si>
    <t>2024-11-25</t>
  </si>
  <si>
    <t>2024-11-24</t>
  </si>
  <si>
    <t>2024-12-25</t>
  </si>
  <si>
    <t>2024-12-26</t>
  </si>
  <si>
    <t>2024-12-24</t>
  </si>
  <si>
    <t>2025-01-25</t>
  </si>
  <si>
    <t>2025-01-27</t>
  </si>
  <si>
    <t>2025-01-24</t>
  </si>
  <si>
    <t>2025-02-25</t>
  </si>
  <si>
    <t>2025-02-24</t>
  </si>
  <si>
    <t>2025-03-25</t>
  </si>
  <si>
    <t>2025-03-24</t>
  </si>
  <si>
    <t>2025-04-25</t>
  </si>
  <si>
    <t>2025-04-24</t>
  </si>
  <si>
    <t>2025-05-25</t>
  </si>
  <si>
    <t>2025-05-26</t>
  </si>
  <si>
    <t>2025-05-24</t>
  </si>
  <si>
    <t>2025-06-25</t>
  </si>
  <si>
    <t>2025-06-24</t>
  </si>
  <si>
    <t>2025-07-25</t>
  </si>
  <si>
    <t>2025-07-24</t>
  </si>
  <si>
    <t>2025-08-25</t>
  </si>
  <si>
    <t>2025-08-24</t>
  </si>
  <si>
    <t>2025-09-25</t>
  </si>
  <si>
    <t>2025-09-24</t>
  </si>
  <si>
    <t>2025-10-25</t>
  </si>
  <si>
    <t>2025-10-27</t>
  </si>
  <si>
    <t>2025-10-24</t>
  </si>
  <si>
    <t>2025-11-25</t>
  </si>
  <si>
    <t>2025-11-24</t>
  </si>
  <si>
    <t>2025-12-25</t>
  </si>
  <si>
    <t>2025-12-26</t>
  </si>
  <si>
    <t>2025-12-24</t>
  </si>
  <si>
    <t>2026-01-25</t>
  </si>
  <si>
    <t>2026-01-26</t>
  </si>
  <si>
    <t>2026-01-24</t>
  </si>
  <si>
    <t>2026-02-25</t>
  </si>
  <si>
    <t>2026-02-24</t>
  </si>
  <si>
    <t>2026-03-25</t>
  </si>
  <si>
    <t>2026-03-24</t>
  </si>
  <si>
    <t>2026-04-25</t>
  </si>
  <si>
    <t>2026-04-27</t>
  </si>
  <si>
    <t>2026-04-24</t>
  </si>
  <si>
    <t>2026-05-25</t>
  </si>
  <si>
    <t>2026-05-24</t>
  </si>
  <si>
    <t>2026-06-25</t>
  </si>
  <si>
    <t>2026-06-24</t>
  </si>
  <si>
    <t>2026-07-25</t>
  </si>
  <si>
    <t>2026-07-27</t>
  </si>
  <si>
    <t>2026-07-24</t>
  </si>
  <si>
    <t>2026-08-25</t>
  </si>
  <si>
    <t>2026-08-24</t>
  </si>
  <si>
    <t>2026-09-25</t>
  </si>
  <si>
    <t>2026-09-28</t>
  </si>
  <si>
    <t>2026-09-24</t>
  </si>
  <si>
    <t>2026-10-25</t>
  </si>
  <si>
    <t>2026-10-26</t>
  </si>
  <si>
    <t>2026-10-24</t>
  </si>
  <si>
    <t>2026-11-25</t>
  </si>
  <si>
    <t>2026-11-24</t>
  </si>
  <si>
    <t>2026-12-25</t>
  </si>
  <si>
    <t>2026-12-28</t>
  </si>
  <si>
    <t>2026-12-24</t>
  </si>
  <si>
    <t>2027-01-25</t>
  </si>
  <si>
    <t>2027-01-24</t>
  </si>
  <si>
    <t>2027-02-25</t>
  </si>
  <si>
    <t>2027-02-24</t>
  </si>
  <si>
    <t>2027-03-25</t>
  </si>
  <si>
    <t>2027-03-24</t>
  </si>
  <si>
    <t>2027-04-25</t>
  </si>
  <si>
    <t>2027-04-26</t>
  </si>
  <si>
    <t>2027-04-24</t>
  </si>
  <si>
    <t>2027-05-25</t>
  </si>
  <si>
    <t>2027-05-24</t>
  </si>
  <si>
    <t>2027-06-25</t>
  </si>
  <si>
    <t>2027-06-24</t>
  </si>
  <si>
    <t>2027-07-25</t>
  </si>
  <si>
    <t>2027-07-26</t>
  </si>
  <si>
    <t>2027-07-24</t>
  </si>
  <si>
    <t>2027-08-25</t>
  </si>
  <si>
    <t>2027-08-24</t>
  </si>
  <si>
    <t>2027-09-25</t>
  </si>
  <si>
    <t>2027-09-27</t>
  </si>
  <si>
    <t>2027-09-24</t>
  </si>
  <si>
    <t>2027-10-25</t>
  </si>
  <si>
    <t>2027-10-24</t>
  </si>
  <si>
    <t>2027-11-25</t>
  </si>
  <si>
    <t>2027-11-24</t>
  </si>
  <si>
    <t>2027-12-25</t>
  </si>
  <si>
    <t>2027-12-27</t>
  </si>
  <si>
    <t>2027-12-24</t>
  </si>
  <si>
    <t>2028-01-25</t>
  </si>
  <si>
    <t>2028-01-24</t>
  </si>
  <si>
    <t>2028-02-25</t>
  </si>
  <si>
    <t>2028-02-24</t>
  </si>
  <si>
    <t>2028-03-25</t>
  </si>
  <si>
    <t>2028-03-27</t>
  </si>
  <si>
    <t>2028-03-24</t>
  </si>
  <si>
    <t>2028-04-25</t>
  </si>
  <si>
    <t>2028-04-24</t>
  </si>
  <si>
    <t>2028-05-25</t>
  </si>
  <si>
    <t>2028-05-24</t>
  </si>
  <si>
    <t>2028-06-25</t>
  </si>
  <si>
    <t>2028-06-26</t>
  </si>
  <si>
    <t>2028-06-24</t>
  </si>
  <si>
    <t>2028-07-25</t>
  </si>
  <si>
    <t>2028-07-24</t>
  </si>
  <si>
    <t>2028-08-25</t>
  </si>
  <si>
    <t>2028-08-24</t>
  </si>
  <si>
    <t>2028-09-25</t>
  </si>
  <si>
    <t>2028-09-24</t>
  </si>
  <si>
    <t>2028-10-25</t>
  </si>
  <si>
    <t>2028-10-24</t>
  </si>
  <si>
    <t>2028-11-25</t>
  </si>
  <si>
    <t>2028-11-27</t>
  </si>
  <si>
    <t>2028-11-24</t>
  </si>
  <si>
    <t>2028-12-25</t>
  </si>
  <si>
    <t>2028-12-26</t>
  </si>
  <si>
    <t>2028-12-24</t>
  </si>
  <si>
    <t>2029-01-25</t>
  </si>
  <si>
    <t>2029-01-24</t>
  </si>
  <si>
    <t>2029-02-25</t>
  </si>
  <si>
    <t>2029-02-26</t>
  </si>
  <si>
    <t>2029-02-24</t>
  </si>
  <si>
    <t>2029-03-25</t>
  </si>
  <si>
    <t>2029-03-26</t>
  </si>
  <si>
    <t>2029-03-24</t>
  </si>
  <si>
    <t>2029-04-25</t>
  </si>
  <si>
    <t>2029-04-24</t>
  </si>
  <si>
    <t>2029-05-25</t>
  </si>
  <si>
    <t>2029-05-24</t>
  </si>
  <si>
    <t>2029-06-25</t>
  </si>
  <si>
    <t>2029-06-24</t>
  </si>
  <si>
    <t>2029-07-25</t>
  </si>
  <si>
    <t>2029-07-24</t>
  </si>
  <si>
    <t>2029-08-25</t>
  </si>
  <si>
    <t>2029-08-27</t>
  </si>
  <si>
    <t>2029-08-24</t>
  </si>
  <si>
    <t>2029-09-25</t>
  </si>
  <si>
    <t>2029-09-24</t>
  </si>
  <si>
    <t>2029-10-25</t>
  </si>
  <si>
    <t>2029-10-24</t>
  </si>
  <si>
    <t>2029-11-25</t>
  </si>
  <si>
    <t>2029-11-26</t>
  </si>
  <si>
    <t>2029-11-24</t>
  </si>
  <si>
    <t>2029-12-25</t>
  </si>
  <si>
    <t>2029-12-26</t>
  </si>
  <si>
    <t>2029-12-24</t>
  </si>
  <si>
    <t>2030-01-25</t>
  </si>
  <si>
    <t>2030-01-24</t>
  </si>
  <si>
    <t>2030-02-25</t>
  </si>
  <si>
    <t>2030-02-24</t>
  </si>
  <si>
    <t>2030-03-25</t>
  </si>
  <si>
    <t>2030-03-24</t>
  </si>
  <si>
    <t>2030-04-25</t>
  </si>
  <si>
    <t>2030-04-24</t>
  </si>
  <si>
    <t>2030-05-25</t>
  </si>
  <si>
    <t>2030-05-27</t>
  </si>
  <si>
    <t>2030-05-24</t>
  </si>
  <si>
    <t>2030-06-25</t>
  </si>
  <si>
    <t>2030-06-24</t>
  </si>
  <si>
    <t>2030-07-25</t>
  </si>
  <si>
    <t>2030-07-24</t>
  </si>
  <si>
    <t>2030-08-25</t>
  </si>
  <si>
    <t>2030-08-26</t>
  </si>
  <si>
    <t>2030-08-24</t>
  </si>
  <si>
    <t>2030-09-25</t>
  </si>
  <si>
    <t>2030-09-24</t>
  </si>
  <si>
    <t>2030-10-25</t>
  </si>
  <si>
    <t>2030-10-24</t>
  </si>
  <si>
    <t>2030-11-25</t>
  </si>
  <si>
    <t>2030-11-24</t>
  </si>
  <si>
    <t>2030-12-25</t>
  </si>
  <si>
    <t>2030-12-26</t>
  </si>
  <si>
    <t>2030-12-24</t>
  </si>
  <si>
    <t>2031-01-25</t>
  </si>
  <si>
    <t>2031-01-27</t>
  </si>
  <si>
    <t>2031-01-24</t>
  </si>
  <si>
    <t>2031-02-25</t>
  </si>
  <si>
    <t>2031-02-24</t>
  </si>
  <si>
    <t>2031-03-25</t>
  </si>
  <si>
    <t>2031-03-24</t>
  </si>
  <si>
    <t>2031-04-25</t>
  </si>
  <si>
    <t>2031-04-24</t>
  </si>
  <si>
    <t>2031-05-25</t>
  </si>
  <si>
    <t>2031-05-26</t>
  </si>
  <si>
    <t>2031-05-24</t>
  </si>
  <si>
    <t>2031-06-25</t>
  </si>
  <si>
    <t>2031-06-24</t>
  </si>
  <si>
    <t>2031-07-25</t>
  </si>
  <si>
    <t>2031-07-24</t>
  </si>
  <si>
    <t>2031-08-25</t>
  </si>
  <si>
    <t>2031-08-24</t>
  </si>
  <si>
    <t>2031-09-25</t>
  </si>
  <si>
    <t>2031-09-24</t>
  </si>
  <si>
    <t>2031-10-25</t>
  </si>
  <si>
    <t>2031-10-27</t>
  </si>
  <si>
    <t>2031-10-24</t>
  </si>
  <si>
    <t>2031-11-25</t>
  </si>
  <si>
    <t>2031-11-24</t>
  </si>
  <si>
    <t>2031-12-25</t>
  </si>
  <si>
    <t>2031-12-26</t>
  </si>
  <si>
    <t>2031-12-24</t>
  </si>
  <si>
    <t>2032-01-25</t>
  </si>
  <si>
    <t>2032-01-26</t>
  </si>
  <si>
    <t>2032-01-24</t>
  </si>
  <si>
    <t>2032-02-25</t>
  </si>
  <si>
    <t>2032-02-24</t>
  </si>
  <si>
    <t>2032-03-25</t>
  </si>
  <si>
    <t>2032-03-24</t>
  </si>
  <si>
    <t>2032-04-25</t>
  </si>
  <si>
    <t>2032-04-26</t>
  </si>
  <si>
    <t>2032-04-24</t>
  </si>
  <si>
    <t>2032-05-25</t>
  </si>
  <si>
    <t>2032-05-24</t>
  </si>
  <si>
    <t>2032-06-25</t>
  </si>
  <si>
    <t>2032-06-24</t>
  </si>
  <si>
    <t>2032-07-25</t>
  </si>
  <si>
    <t>2032-07-26</t>
  </si>
  <si>
    <t>2032-07-24</t>
  </si>
  <si>
    <t>2032-08-25</t>
  </si>
  <si>
    <t>2032-08-24</t>
  </si>
  <si>
    <t>2032-09-25</t>
  </si>
  <si>
    <t>2032-09-27</t>
  </si>
  <si>
    <t>2032-09-24</t>
  </si>
  <si>
    <t>2032-10-25</t>
  </si>
  <si>
    <t>2032-10-24</t>
  </si>
  <si>
    <t>2032-11-25</t>
  </si>
  <si>
    <t>2032-11-24</t>
  </si>
  <si>
    <t>2032-12-25</t>
  </si>
  <si>
    <t>2032-12-27</t>
  </si>
  <si>
    <t>2032-12-24</t>
  </si>
  <si>
    <t>2033-01-25</t>
  </si>
  <si>
    <t>2033-01-24</t>
  </si>
  <si>
    <t>2033-02-25</t>
  </si>
  <si>
    <t>2033-02-24</t>
  </si>
  <si>
    <t>2033-03-25</t>
  </si>
  <si>
    <t>2033-03-24</t>
  </si>
  <si>
    <t>2033-04-25</t>
  </si>
  <si>
    <t>2033-04-24</t>
  </si>
  <si>
    <t>2033-05-25</t>
  </si>
  <si>
    <t>2033-05-24</t>
  </si>
  <si>
    <t>2033-06-25</t>
  </si>
  <si>
    <t>2033-06-27</t>
  </si>
  <si>
    <t>2033-06-24</t>
  </si>
  <si>
    <t>2033-07-25</t>
  </si>
  <si>
    <t>2033-07-24</t>
  </si>
  <si>
    <t>2033-08-25</t>
  </si>
  <si>
    <t>2033-08-24</t>
  </si>
  <si>
    <t>2033-09-25</t>
  </si>
  <si>
    <t>2033-09-26</t>
  </si>
  <si>
    <t>2033-09-24</t>
  </si>
  <si>
    <t>2033-10-25</t>
  </si>
  <si>
    <t>2033-10-24</t>
  </si>
  <si>
    <t>2033-11-25</t>
  </si>
  <si>
    <t>2033-11-24</t>
  </si>
  <si>
    <t>2033-12-25</t>
  </si>
  <si>
    <t>2033-12-26</t>
  </si>
  <si>
    <t>2033-12-24</t>
  </si>
  <si>
    <t>2034-01-25</t>
  </si>
  <si>
    <t>2034-01-24</t>
  </si>
  <si>
    <t>2034-02-25</t>
  </si>
  <si>
    <t>2034-02-27</t>
  </si>
  <si>
    <t>2034-02-24</t>
  </si>
  <si>
    <t>2034-03-25</t>
  </si>
  <si>
    <t>2034-03-27</t>
  </si>
  <si>
    <t>2034-03-24</t>
  </si>
  <si>
    <t>2034-04-25</t>
  </si>
  <si>
    <t>2034-04-24</t>
  </si>
  <si>
    <t>2034-05-25</t>
  </si>
  <si>
    <t>2034-05-26</t>
  </si>
  <si>
    <t>2034-05-24</t>
  </si>
  <si>
    <t>2034-06-25</t>
  </si>
  <si>
    <t>2034-06-26</t>
  </si>
  <si>
    <t>2034-06-24</t>
  </si>
  <si>
    <t>2034-07-25</t>
  </si>
  <si>
    <t>2034-07-24</t>
  </si>
  <si>
    <t>2034-08-25</t>
  </si>
  <si>
    <t>2034-08-24</t>
  </si>
  <si>
    <t>2034-09-25</t>
  </si>
  <si>
    <t>2034-09-24</t>
  </si>
  <si>
    <t>2034-10-25</t>
  </si>
  <si>
    <t>2034-10-24</t>
  </si>
  <si>
    <t>2034-11-25</t>
  </si>
  <si>
    <t>2034-11-27</t>
  </si>
  <si>
    <t>2034-11-24</t>
  </si>
  <si>
    <t>2034-12-25</t>
  </si>
  <si>
    <t>2034-12-26</t>
  </si>
  <si>
    <t>2034-12-24</t>
  </si>
  <si>
    <t>2035-01-25</t>
  </si>
  <si>
    <t>2035-01-24</t>
  </si>
  <si>
    <t>2035-02-25</t>
  </si>
  <si>
    <t>2035-02-26</t>
  </si>
  <si>
    <t>2035-02-24</t>
  </si>
  <si>
    <t>2035-03-25</t>
  </si>
  <si>
    <t>2035-03-26</t>
  </si>
  <si>
    <t>2035-03-24</t>
  </si>
  <si>
    <t>2035-04-25</t>
  </si>
  <si>
    <t>2035-04-24</t>
  </si>
  <si>
    <t>2035-05-25</t>
  </si>
  <si>
    <t>2035-05-24</t>
  </si>
  <si>
    <t>2035-06-25</t>
  </si>
  <si>
    <t>2035-06-24</t>
  </si>
  <si>
    <t>2035-07-25</t>
  </si>
  <si>
    <t>2035-07-24</t>
  </si>
  <si>
    <t>2035-08-25</t>
  </si>
  <si>
    <t>2035-08-27</t>
  </si>
  <si>
    <t>2035-08-24</t>
  </si>
  <si>
    <t>2035-09-25</t>
  </si>
  <si>
    <t>2035-09-24</t>
  </si>
  <si>
    <t>2035-10-25</t>
  </si>
  <si>
    <t>2035-10-24</t>
  </si>
  <si>
    <t>2035-11-25</t>
  </si>
  <si>
    <t>2035-11-26</t>
  </si>
  <si>
    <t>2035-11-24</t>
  </si>
  <si>
    <t>2035-12-25</t>
  </si>
  <si>
    <t>2035-12-26</t>
  </si>
  <si>
    <t>2035-12-24</t>
  </si>
  <si>
    <t>2036-01-25</t>
  </si>
  <si>
    <t>2036-01-24</t>
  </si>
  <si>
    <t>2036-02-25</t>
  </si>
  <si>
    <t>2036-02-24</t>
  </si>
  <si>
    <t>2036-03-25</t>
  </si>
  <si>
    <t>2036-03-24</t>
  </si>
  <si>
    <t>2036-04-25</t>
  </si>
  <si>
    <t>2036-04-24</t>
  </si>
  <si>
    <t>2036-05-25</t>
  </si>
  <si>
    <t>2036-05-26</t>
  </si>
  <si>
    <t>2036-05-24</t>
  </si>
  <si>
    <t>2036-06-25</t>
  </si>
  <si>
    <t>2036-06-24</t>
  </si>
  <si>
    <t>2036-07-25</t>
  </si>
  <si>
    <t>2036-07-24</t>
  </si>
  <si>
    <t>2036-08-25</t>
  </si>
  <si>
    <t>2036-08-24</t>
  </si>
  <si>
    <t>2036-09-25</t>
  </si>
  <si>
    <t>2036-09-24</t>
  </si>
  <si>
    <t>2036-10-25</t>
  </si>
  <si>
    <t>2036-10-27</t>
  </si>
  <si>
    <t>2036-10-24</t>
  </si>
  <si>
    <t>2036-11-25</t>
  </si>
  <si>
    <t>2036-11-24</t>
  </si>
  <si>
    <t>2036-12-25</t>
  </si>
  <si>
    <t>2036-12-26</t>
  </si>
  <si>
    <t>2036-12-24</t>
  </si>
  <si>
    <t>2037-01-25</t>
  </si>
  <si>
    <t>2037-01-26</t>
  </si>
  <si>
    <t>2037-01-24</t>
  </si>
  <si>
    <t>2037-02-25</t>
  </si>
  <si>
    <t>2037-02-24</t>
  </si>
  <si>
    <t>2037-03-25</t>
  </si>
  <si>
    <t>2037-03-24</t>
  </si>
  <si>
    <t>2037-04-25</t>
  </si>
  <si>
    <t>2037-04-27</t>
  </si>
  <si>
    <t>2037-04-24</t>
  </si>
  <si>
    <t>2037-05-25</t>
  </si>
  <si>
    <t>2037-05-24</t>
  </si>
  <si>
    <t>2037-06-25</t>
  </si>
  <si>
    <t>2037-06-24</t>
  </si>
  <si>
    <t>2037-07-25</t>
  </si>
  <si>
    <t>2037-07-27</t>
  </si>
  <si>
    <t>2037-07-24</t>
  </si>
  <si>
    <t>2037-08-25</t>
  </si>
  <si>
    <t>2037-08-24</t>
  </si>
  <si>
    <t>2037-09-25</t>
  </si>
  <si>
    <t>2037-09-28</t>
  </si>
  <si>
    <t>2037-09-24</t>
  </si>
  <si>
    <t>2037-10-25</t>
  </si>
  <si>
    <t>2037-10-26</t>
  </si>
  <si>
    <t>2037-10-24</t>
  </si>
  <si>
    <t>2037-11-25</t>
  </si>
  <si>
    <t>2037-11-24</t>
  </si>
  <si>
    <t>2037-12-25</t>
  </si>
  <si>
    <t>2037-12-28</t>
  </si>
  <si>
    <t>2037-12-24</t>
  </si>
  <si>
    <t>2038-01-25</t>
  </si>
  <si>
    <t>2038-01-24</t>
  </si>
  <si>
    <t>2038-02-25</t>
  </si>
  <si>
    <t>2038-02-24</t>
  </si>
  <si>
    <t>2038-03-25</t>
  </si>
  <si>
    <t>2038-03-24</t>
  </si>
  <si>
    <t>2038-04-25</t>
  </si>
  <si>
    <t>2038-04-26</t>
  </si>
  <si>
    <t>2038-04-24</t>
  </si>
  <si>
    <t>2038-05-25</t>
  </si>
  <si>
    <t>2038-05-24</t>
  </si>
  <si>
    <t>2038-06-25</t>
  </si>
  <si>
    <t>2038-06-24</t>
  </si>
  <si>
    <t>2038-07-25</t>
  </si>
  <si>
    <t>2038-07-26</t>
  </si>
  <si>
    <t>2038-07-24</t>
  </si>
  <si>
    <t>2038-08-25</t>
  </si>
  <si>
    <t>2038-08-24</t>
  </si>
  <si>
    <t>2038-09-25</t>
  </si>
  <si>
    <t>2038-09-27</t>
  </si>
  <si>
    <t>2038-09-24</t>
  </si>
  <si>
    <t>2038-10-25</t>
  </si>
  <si>
    <t>2038-10-24</t>
  </si>
  <si>
    <t>2038-11-25</t>
  </si>
  <si>
    <t>2038-11-24</t>
  </si>
  <si>
    <t>2038-12-25</t>
  </si>
  <si>
    <t>2038-12-27</t>
  </si>
  <si>
    <t>2038-12-24</t>
  </si>
  <si>
    <t>2039-01-25</t>
  </si>
  <si>
    <t>2039-01-26</t>
  </si>
  <si>
    <t>2039-01-24</t>
  </si>
  <si>
    <t>2039-02-25</t>
  </si>
  <si>
    <t>2039-02-24</t>
  </si>
  <si>
    <t>2039-03-25</t>
  </si>
  <si>
    <t>2039-03-24</t>
  </si>
  <si>
    <t>2039-04-25</t>
  </si>
  <si>
    <t>2039-04-24</t>
  </si>
  <si>
    <t>2039-05-25</t>
  </si>
  <si>
    <t>2039-05-24</t>
  </si>
  <si>
    <t>2039-06-25</t>
  </si>
  <si>
    <t>2039-06-27</t>
  </si>
  <si>
    <t>2039-06-24</t>
  </si>
  <si>
    <t>2039-07-25</t>
  </si>
  <si>
    <t>2039-07-24</t>
  </si>
  <si>
    <t>2039-08-25</t>
  </si>
  <si>
    <t>2039-08-24</t>
  </si>
  <si>
    <t>2039-09-25</t>
  </si>
  <si>
    <t>2039-09-26</t>
  </si>
  <si>
    <t>2039-09-24</t>
  </si>
  <si>
    <t>2039-10-25</t>
  </si>
  <si>
    <t>2039-10-24</t>
  </si>
  <si>
    <t>2039-11-25</t>
  </si>
  <si>
    <t>2039-11-24</t>
  </si>
  <si>
    <t>2039-12-25</t>
  </si>
  <si>
    <t>2039-12-26</t>
  </si>
  <si>
    <t>2039-12-24</t>
  </si>
  <si>
    <t>2040-01-25</t>
  </si>
  <si>
    <t>2040-01-24</t>
  </si>
  <si>
    <t>2040-02-25</t>
  </si>
  <si>
    <t>2040-02-27</t>
  </si>
  <si>
    <t>2040-02-24</t>
  </si>
  <si>
    <t>2040-03-25</t>
  </si>
  <si>
    <t>2040-03-26</t>
  </si>
  <si>
    <t>2040-03-24</t>
  </si>
  <si>
    <t>2040-04-25</t>
  </si>
  <si>
    <t>2040-04-24</t>
  </si>
  <si>
    <t>2040-05-25</t>
  </si>
  <si>
    <t>2040-05-24</t>
  </si>
  <si>
    <t>2040-06-25</t>
  </si>
  <si>
    <t>2040-06-24</t>
  </si>
  <si>
    <t>2040-07-25</t>
  </si>
  <si>
    <t>2040-07-24</t>
  </si>
  <si>
    <t>2040-08-25</t>
  </si>
  <si>
    <t>2040-08-27</t>
  </si>
  <si>
    <t>2040-08-24</t>
  </si>
  <si>
    <t>2040-09-25</t>
  </si>
  <si>
    <t>2040-09-24</t>
  </si>
  <si>
    <t>2040-10-25</t>
  </si>
  <si>
    <t>2040-10-24</t>
  </si>
  <si>
    <t>2040-11-25</t>
  </si>
  <si>
    <t>2040-11-26</t>
  </si>
  <si>
    <t>2040-11-24</t>
  </si>
  <si>
    <t>2040-12-25</t>
  </si>
  <si>
    <t>2040-12-26</t>
  </si>
  <si>
    <t>2040-12-24</t>
  </si>
  <si>
    <t>2041-01-25</t>
  </si>
  <si>
    <t>2041-01-24</t>
  </si>
  <si>
    <t>2041-02-25</t>
  </si>
  <si>
    <t>2041-02-24</t>
  </si>
  <si>
    <t>2041-03-25</t>
  </si>
  <si>
    <t>2041-03-24</t>
  </si>
  <si>
    <t>2041-04-25</t>
  </si>
  <si>
    <t>2041-04-24</t>
  </si>
  <si>
    <t>2041-05-25</t>
  </si>
  <si>
    <t>2041-05-27</t>
  </si>
  <si>
    <t>2041-05-24</t>
  </si>
  <si>
    <t>2041-06-25</t>
  </si>
  <si>
    <t>2041-06-24</t>
  </si>
  <si>
    <t>2041-07-25</t>
  </si>
  <si>
    <t>2041-07-24</t>
  </si>
  <si>
    <t>2041-08-25</t>
  </si>
  <si>
    <t>2041-08-26</t>
  </si>
  <si>
    <t>2041-08-24</t>
  </si>
  <si>
    <t>2041-09-25</t>
  </si>
  <si>
    <t>2041-09-24</t>
  </si>
  <si>
    <t>2041-10-25</t>
  </si>
  <si>
    <t>2041-10-24</t>
  </si>
  <si>
    <t>2041-11-25</t>
  </si>
  <si>
    <t>2041-11-24</t>
  </si>
  <si>
    <t>2041-12-25</t>
  </si>
  <si>
    <t>2041-12-26</t>
  </si>
  <si>
    <t>2041-12-24</t>
  </si>
  <si>
    <t>2042-01-25</t>
  </si>
  <si>
    <t>2042-01-27</t>
  </si>
  <si>
    <t>2042-01-24</t>
  </si>
  <si>
    <t>2042-02-25</t>
  </si>
  <si>
    <t>2042-02-24</t>
  </si>
  <si>
    <t>2042-03-25</t>
  </si>
  <si>
    <t>2042-03-24</t>
  </si>
  <si>
    <t>2042-04-25</t>
  </si>
  <si>
    <t>2042-04-24</t>
  </si>
  <si>
    <t>2042-05-25</t>
  </si>
  <si>
    <t>2042-05-27</t>
  </si>
  <si>
    <t>2042-05-24</t>
  </si>
  <si>
    <t>2042-06-25</t>
  </si>
  <si>
    <t>2042-06-24</t>
  </si>
  <si>
    <t>2042-07-25</t>
  </si>
  <si>
    <t>2042-07-24</t>
  </si>
  <si>
    <t>2042-08-25</t>
  </si>
  <si>
    <t>2042-08-24</t>
  </si>
  <si>
    <t>2042-09-25</t>
  </si>
  <si>
    <t>2042-09-24</t>
  </si>
  <si>
    <t>2042-10-25</t>
  </si>
  <si>
    <t>2042-10-27</t>
  </si>
  <si>
    <t>2042-10-24</t>
  </si>
  <si>
    <t>2042-11-25</t>
  </si>
  <si>
    <t>2042-11-24</t>
  </si>
  <si>
    <t>2042-12-25</t>
  </si>
  <si>
    <t>2042-12-26</t>
  </si>
  <si>
    <t>2042-12-24</t>
  </si>
  <si>
    <t>2043-01-25</t>
  </si>
  <si>
    <t>2043-01-26</t>
  </si>
  <si>
    <t>2043-01-24</t>
  </si>
  <si>
    <t>2043-02-25</t>
  </si>
  <si>
    <t>2043-02-24</t>
  </si>
  <si>
    <t>2043-03-25</t>
  </si>
  <si>
    <t>2043-03-24</t>
  </si>
  <si>
    <t>2043-04-25</t>
  </si>
  <si>
    <t>2043-04-27</t>
  </si>
  <si>
    <t>2043-04-24</t>
  </si>
  <si>
    <t>2043-05-25</t>
  </si>
  <si>
    <t>2043-05-24</t>
  </si>
  <si>
    <t>2043-06-25</t>
  </si>
  <si>
    <t>2043-06-24</t>
  </si>
  <si>
    <t>2043-07-25</t>
  </si>
  <si>
    <t>2043-07-27</t>
  </si>
  <si>
    <t>2043-07-24</t>
  </si>
  <si>
    <t>2043-08-25</t>
  </si>
  <si>
    <t>2043-08-24</t>
  </si>
  <si>
    <t>2043-09-25</t>
  </si>
  <si>
    <t>2043-09-24</t>
  </si>
  <si>
    <t>2043-10-25</t>
  </si>
  <si>
    <t>2043-10-26</t>
  </si>
  <si>
    <t>2043-10-24</t>
  </si>
  <si>
    <t>2043-11-25</t>
  </si>
  <si>
    <t>2043-11-24</t>
  </si>
  <si>
    <t>2043-12-25</t>
  </si>
  <si>
    <t>2043-12-28</t>
  </si>
  <si>
    <t>2043-12-24</t>
  </si>
  <si>
    <t>2044-01-25</t>
  </si>
  <si>
    <t>2044-01-24</t>
  </si>
  <si>
    <t>2044-02-25</t>
  </si>
  <si>
    <t>2044-02-24</t>
  </si>
  <si>
    <t>2044-03-25</t>
  </si>
  <si>
    <t>2044-03-24</t>
  </si>
  <si>
    <t>2044-04-25</t>
  </si>
  <si>
    <t>2044-04-24</t>
  </si>
  <si>
    <t>2044-05-25</t>
  </si>
  <si>
    <t>2044-05-24</t>
  </si>
  <si>
    <t>2044-06-25</t>
  </si>
  <si>
    <t>2044-06-27</t>
  </si>
  <si>
    <t>2044-06-24</t>
  </si>
  <si>
    <t>2044-07-25</t>
  </si>
  <si>
    <t>2044-07-24</t>
  </si>
  <si>
    <t>2044-08-25</t>
  </si>
  <si>
    <t>2044-08-24</t>
  </si>
  <si>
    <t>2044-09-25</t>
  </si>
  <si>
    <t>2044-09-26</t>
  </si>
  <si>
    <t>2044-09-24</t>
  </si>
  <si>
    <t>2044-10-25</t>
  </si>
  <si>
    <t>2044-10-24</t>
  </si>
  <si>
    <t>2044-11-25</t>
  </si>
  <si>
    <t>2044-11-24</t>
  </si>
  <si>
    <t>2044-12-25</t>
  </si>
  <si>
    <t>2044-12-26</t>
  </si>
  <si>
    <t>2044-12-24</t>
  </si>
  <si>
    <t>2045-01-25</t>
  </si>
  <si>
    <t>2045-01-24</t>
  </si>
  <si>
    <t>2045-02-25</t>
  </si>
  <si>
    <t>2045-02-27</t>
  </si>
  <si>
    <t>2045-02-24</t>
  </si>
  <si>
    <t>2045-03-25</t>
  </si>
  <si>
    <t>2045-03-27</t>
  </si>
  <si>
    <t>2045-03-24</t>
  </si>
  <si>
    <t>2045-04-25</t>
  </si>
  <si>
    <t>2045-04-24</t>
  </si>
  <si>
    <t>2045-05-25</t>
  </si>
  <si>
    <t>2045-05-24</t>
  </si>
  <si>
    <t>2045-06-25</t>
  </si>
  <si>
    <t>2045-06-26</t>
  </si>
  <si>
    <t>2045-06-24</t>
  </si>
  <si>
    <t>2045-07-25</t>
  </si>
  <si>
    <t>2045-07-24</t>
  </si>
  <si>
    <t>2045-08-25</t>
  </si>
  <si>
    <t>2045-08-24</t>
  </si>
  <si>
    <t>2045-09-25</t>
  </si>
  <si>
    <t>2045-09-27</t>
  </si>
  <si>
    <t>2045-09-24</t>
  </si>
  <si>
    <t>2045-10-25</t>
  </si>
  <si>
    <t>2045-10-24</t>
  </si>
  <si>
    <t>2045-11-25</t>
  </si>
  <si>
    <t>2045-11-27</t>
  </si>
  <si>
    <t>2045-11-24</t>
  </si>
  <si>
    <t>2045-12-25</t>
  </si>
  <si>
    <t>2045-12-26</t>
  </si>
  <si>
    <t>2045-12-24</t>
  </si>
  <si>
    <t>2046-01-25</t>
  </si>
  <si>
    <t>2046-01-24</t>
  </si>
  <si>
    <t>2046-02-25</t>
  </si>
  <si>
    <t>2046-02-26</t>
  </si>
  <si>
    <t>2046-02-24</t>
  </si>
  <si>
    <t>2046-03-25</t>
  </si>
  <si>
    <t>2046-03-26</t>
  </si>
  <si>
    <t>2046-03-24</t>
  </si>
  <si>
    <t>2046-04-25</t>
  </si>
  <si>
    <t>2046-04-24</t>
  </si>
  <si>
    <t>2046-05-25</t>
  </si>
  <si>
    <t>2046-05-24</t>
  </si>
  <si>
    <t>2046-06-25</t>
  </si>
  <si>
    <t>2046-06-24</t>
  </si>
  <si>
    <t>2046-07-25</t>
  </si>
  <si>
    <t>2046-07-24</t>
  </si>
  <si>
    <t>2046-08-25</t>
  </si>
  <si>
    <t>2046-08-27</t>
  </si>
  <si>
    <t>2046-08-24</t>
  </si>
  <si>
    <t>2046-09-25</t>
  </si>
  <si>
    <t>2046-09-24</t>
  </si>
  <si>
    <t>2046-10-25</t>
  </si>
  <si>
    <t>2046-10-24</t>
  </si>
  <si>
    <t>2046-11-25</t>
  </si>
  <si>
    <t>2046-11-26</t>
  </si>
  <si>
    <t>2046-11-24</t>
  </si>
  <si>
    <t>2046-12-25</t>
  </si>
  <si>
    <t>2046-12-26</t>
  </si>
  <si>
    <t>2046-12-24</t>
  </si>
  <si>
    <t>2047-01-25</t>
  </si>
  <si>
    <t>2047-01-28</t>
  </si>
  <si>
    <t>2047-01-24</t>
  </si>
  <si>
    <t>2047-02-25</t>
  </si>
  <si>
    <t>2047-02-24</t>
  </si>
  <si>
    <t>2047-03-25</t>
  </si>
  <si>
    <t>2047-03-24</t>
  </si>
  <si>
    <t>2047-04-25</t>
  </si>
  <si>
    <t>2047-04-24</t>
  </si>
  <si>
    <t>2047-05-25</t>
  </si>
  <si>
    <t>2047-05-27</t>
  </si>
  <si>
    <t>2047-05-24</t>
  </si>
  <si>
    <t>2047-06-25</t>
  </si>
  <si>
    <t>2047-06-24</t>
  </si>
  <si>
    <t>2047-07-25</t>
  </si>
  <si>
    <t>2047-07-24</t>
  </si>
  <si>
    <t>2047-08-25</t>
  </si>
  <si>
    <t>2047-08-26</t>
  </si>
  <si>
    <t>2047-08-24</t>
  </si>
  <si>
    <t>2047-09-25</t>
  </si>
  <si>
    <t>2047-09-24</t>
  </si>
  <si>
    <t>2047-10-25</t>
  </si>
  <si>
    <t>2047-10-24</t>
  </si>
  <si>
    <t>2047-11-25</t>
  </si>
  <si>
    <t>2047-11-24</t>
  </si>
  <si>
    <t>2047-12-25</t>
  </si>
  <si>
    <t>2047-12-26</t>
  </si>
  <si>
    <t>2047-12-24</t>
  </si>
  <si>
    <t>2048-01-25</t>
  </si>
  <si>
    <t>2048-01-27</t>
  </si>
  <si>
    <t>2048-01-24</t>
  </si>
  <si>
    <t>2048-02-25</t>
  </si>
  <si>
    <t>2048-02-24</t>
  </si>
  <si>
    <t>2048-03-25</t>
  </si>
  <si>
    <t>2048-03-24</t>
  </si>
  <si>
    <t>2048-04-25</t>
  </si>
  <si>
    <t>2048-04-27</t>
  </si>
  <si>
    <t>2048-04-24</t>
  </si>
  <si>
    <t>2048-05-25</t>
  </si>
  <si>
    <t>2048-05-24</t>
  </si>
  <si>
    <t>2048-06-25</t>
  </si>
  <si>
    <t>2048-06-24</t>
  </si>
  <si>
    <t>2048-07-06</t>
  </si>
  <si>
    <t>2048-07-05</t>
  </si>
  <si>
    <t>상환월</t>
    <phoneticPr fontId="2" type="noConversion"/>
  </si>
  <si>
    <t>상환 후 잔액</t>
    <phoneticPr fontId="2" type="noConversion"/>
  </si>
  <si>
    <t>대상월</t>
    <phoneticPr fontId="2" type="noConversion"/>
  </si>
  <si>
    <t>SN</t>
    <phoneticPr fontId="2" type="noConversion"/>
  </si>
  <si>
    <t>대상</t>
    <phoneticPr fontId="2" type="noConversion"/>
  </si>
  <si>
    <t>예산(기본)</t>
    <phoneticPr fontId="2" type="noConversion"/>
  </si>
  <si>
    <t>예산(추가)</t>
    <phoneticPr fontId="2" type="noConversion"/>
  </si>
  <si>
    <t>예산(합계)</t>
    <phoneticPr fontId="2" type="noConversion"/>
  </si>
  <si>
    <t>전월 소비</t>
    <phoneticPr fontId="2" type="noConversion"/>
  </si>
  <si>
    <t>차액</t>
    <phoneticPr fontId="2" type="noConversion"/>
  </si>
  <si>
    <t>소비</t>
    <phoneticPr fontId="2" type="noConversion"/>
  </si>
  <si>
    <t>예산-소비</t>
    <phoneticPr fontId="2" type="noConversion"/>
  </si>
  <si>
    <t>사용율</t>
    <phoneticPr fontId="2" type="noConversion"/>
  </si>
  <si>
    <t>디딤돌</t>
    <phoneticPr fontId="2" type="noConversion"/>
  </si>
  <si>
    <t>기흥모임</t>
    <phoneticPr fontId="2" type="noConversion"/>
  </si>
  <si>
    <t>경조사</t>
    <phoneticPr fontId="2" type="noConversion"/>
  </si>
  <si>
    <t>날짜</t>
  </si>
  <si>
    <t>시간</t>
  </si>
  <si>
    <t>타입</t>
  </si>
  <si>
    <t>금액</t>
  </si>
  <si>
    <t>결제수단</t>
  </si>
  <si>
    <t>메모</t>
  </si>
  <si>
    <t>예산(기본) 기준</t>
    <phoneticPr fontId="2" type="noConversion"/>
  </si>
  <si>
    <t>월말 잔액</t>
    <phoneticPr fontId="2" type="noConversion"/>
  </si>
  <si>
    <t>전달 이월</t>
    <phoneticPr fontId="2" type="noConversion"/>
  </si>
  <si>
    <t>당월</t>
    <phoneticPr fontId="2" type="noConversion"/>
  </si>
  <si>
    <t>전월</t>
    <phoneticPr fontId="2" type="noConversion"/>
  </si>
  <si>
    <t>미용</t>
    <phoneticPr fontId="2" type="noConversion"/>
  </si>
  <si>
    <t>[수입]</t>
    <phoneticPr fontId="2" type="noConversion"/>
  </si>
  <si>
    <t>(만원)</t>
    <phoneticPr fontId="2" type="noConversion"/>
  </si>
  <si>
    <t>저축(계)</t>
    <phoneticPr fontId="2" type="noConversion"/>
  </si>
  <si>
    <t>금액</t>
    <phoneticPr fontId="2" type="noConversion"/>
  </si>
  <si>
    <t>[저축]</t>
    <phoneticPr fontId="2" type="noConversion"/>
  </si>
  <si>
    <t>예산(소비)</t>
    <phoneticPr fontId="2" type="noConversion"/>
  </si>
  <si>
    <t>예산(대출/저축)</t>
    <phoneticPr fontId="2" type="noConversion"/>
  </si>
  <si>
    <t>예산(대분류별)</t>
    <phoneticPr fontId="2" type="noConversion"/>
  </si>
  <si>
    <t>예산(계)</t>
    <phoneticPr fontId="2" type="noConversion"/>
  </si>
  <si>
    <t>월간 예산(소비)</t>
  </si>
  <si>
    <t>월간 예산(전체)</t>
  </si>
  <si>
    <t>[예산]</t>
    <phoneticPr fontId="2" type="noConversion"/>
  </si>
  <si>
    <t>외식</t>
    <phoneticPr fontId="2" type="noConversion"/>
  </si>
  <si>
    <t>식비</t>
    <phoneticPr fontId="2" type="noConversion"/>
  </si>
  <si>
    <t>기준</t>
    <phoneticPr fontId="2" type="noConversion"/>
  </si>
  <si>
    <t>월</t>
    <phoneticPr fontId="2" type="noConversion"/>
  </si>
  <si>
    <t>연</t>
    <phoneticPr fontId="2" type="noConversion"/>
  </si>
  <si>
    <t>과소비</t>
    <phoneticPr fontId="2" type="noConversion"/>
  </si>
  <si>
    <t>생활용품</t>
    <phoneticPr fontId="2" type="noConversion"/>
  </si>
  <si>
    <t>전월 차액</t>
    <phoneticPr fontId="2" type="noConversion"/>
  </si>
  <si>
    <t>복지포인트</t>
  </si>
  <si>
    <t>보험/연금</t>
    <phoneticPr fontId="2" type="noConversion"/>
  </si>
  <si>
    <t>복지포인트</t>
    <phoneticPr fontId="2" type="noConversion"/>
  </si>
  <si>
    <t>구독형서비스</t>
    <phoneticPr fontId="2" type="noConversion"/>
  </si>
  <si>
    <t>[소비 총계]</t>
    <phoneticPr fontId="2" type="noConversion"/>
  </si>
  <si>
    <t>데이트</t>
    <phoneticPr fontId="2" type="noConversion"/>
  </si>
  <si>
    <t>비고</t>
    <phoneticPr fontId="2" type="noConversion"/>
  </si>
  <si>
    <t>선물</t>
    <phoneticPr fontId="2" type="noConversion"/>
  </si>
  <si>
    <t>모임</t>
    <phoneticPr fontId="2" type="noConversion"/>
  </si>
  <si>
    <t>의료/건강</t>
    <phoneticPr fontId="2" type="noConversion"/>
  </si>
  <si>
    <t>부모님</t>
    <phoneticPr fontId="2" type="noConversion"/>
  </si>
  <si>
    <t>가족</t>
    <phoneticPr fontId="2" type="noConversion"/>
  </si>
  <si>
    <t>의복</t>
    <phoneticPr fontId="2" type="noConversion"/>
  </si>
  <si>
    <t>생활비 합계</t>
    <phoneticPr fontId="2" type="noConversion"/>
  </si>
  <si>
    <t>모임 합계</t>
    <phoneticPr fontId="2" type="noConversion"/>
  </si>
  <si>
    <t>소비금액</t>
    <phoneticPr fontId="2" type="noConversion"/>
  </si>
  <si>
    <t>기타 합계</t>
    <phoneticPr fontId="2" type="noConversion"/>
  </si>
  <si>
    <t>내용</t>
    <phoneticPr fontId="2" type="noConversion"/>
  </si>
  <si>
    <t>화폐</t>
    <phoneticPr fontId="2" type="noConversion"/>
  </si>
  <si>
    <t>인터넷+정수기+쿠팡</t>
    <phoneticPr fontId="2" type="noConversion"/>
  </si>
  <si>
    <t>자산</t>
  </si>
  <si>
    <t>항목</t>
  </si>
  <si>
    <t>상품명</t>
  </si>
  <si>
    <t>현금 자산</t>
  </si>
  <si>
    <t>통신지원금</t>
    <phoneticPr fontId="2" type="noConversion"/>
  </si>
  <si>
    <t>인센티브</t>
    <phoneticPr fontId="2" type="noConversion"/>
  </si>
  <si>
    <t>명절-설</t>
    <phoneticPr fontId="2" type="noConversion"/>
  </si>
  <si>
    <t>명절-추석</t>
    <phoneticPr fontId="2" type="noConversion"/>
  </si>
  <si>
    <t>하계휴가비</t>
    <phoneticPr fontId="2" type="noConversion"/>
  </si>
  <si>
    <t>기타 상여금</t>
    <phoneticPr fontId="2" type="noConversion"/>
  </si>
  <si>
    <t>금융수입</t>
    <phoneticPr fontId="2" type="noConversion"/>
  </si>
  <si>
    <t>예정</t>
    <phoneticPr fontId="2" type="noConversion"/>
  </si>
  <si>
    <t>[지출]</t>
    <phoneticPr fontId="2" type="noConversion"/>
  </si>
  <si>
    <t>(상세)</t>
    <phoneticPr fontId="2" type="noConversion"/>
  </si>
  <si>
    <t>수입-예정</t>
    <phoneticPr fontId="2" type="noConversion"/>
  </si>
  <si>
    <t>전월 수입</t>
    <phoneticPr fontId="2" type="noConversion"/>
  </si>
  <si>
    <t>연간 예산(소비)</t>
    <phoneticPr fontId="2" type="noConversion"/>
  </si>
  <si>
    <t>연 총 예산(전체)</t>
    <phoneticPr fontId="2" type="noConversion"/>
  </si>
  <si>
    <t>총계(소비)</t>
    <phoneticPr fontId="2" type="noConversion"/>
  </si>
  <si>
    <t>총계(전체)</t>
    <phoneticPr fontId="2" type="noConversion"/>
  </si>
  <si>
    <t>공용+현대해상화재보험</t>
    <phoneticPr fontId="2" type="noConversion"/>
  </si>
  <si>
    <t>M</t>
    <phoneticPr fontId="2" type="noConversion"/>
  </si>
  <si>
    <t>N/A</t>
    <phoneticPr fontId="2" type="noConversion"/>
  </si>
  <si>
    <t>경기화폐(Tiss)</t>
    <phoneticPr fontId="2" type="noConversion"/>
  </si>
  <si>
    <t>경기화폐(JM)</t>
    <phoneticPr fontId="2" type="noConversion"/>
  </si>
  <si>
    <t>입출금</t>
    <phoneticPr fontId="2" type="noConversion"/>
  </si>
  <si>
    <t>적금</t>
    <phoneticPr fontId="2" type="noConversion"/>
  </si>
  <si>
    <t>월급/생활비</t>
    <phoneticPr fontId="2" type="noConversion"/>
  </si>
  <si>
    <t>토스뱅크</t>
    <phoneticPr fontId="2" type="noConversion"/>
  </si>
  <si>
    <t>현금(JM)</t>
    <phoneticPr fontId="2" type="noConversion"/>
  </si>
  <si>
    <t>예스뱅킹</t>
    <phoneticPr fontId="2" type="noConversion"/>
  </si>
  <si>
    <t>주식(S/종합)</t>
    <phoneticPr fontId="2" type="noConversion"/>
  </si>
  <si>
    <t>주식(S/ISA)</t>
    <phoneticPr fontId="2" type="noConversion"/>
  </si>
  <si>
    <t>코인(업비트)</t>
    <phoneticPr fontId="2" type="noConversion"/>
  </si>
  <si>
    <t>현금(업비트)</t>
    <phoneticPr fontId="2" type="noConversion"/>
  </si>
  <si>
    <t>투자(증권)</t>
    <phoneticPr fontId="2" type="noConversion"/>
  </si>
  <si>
    <t>투자(코인)</t>
    <phoneticPr fontId="2" type="noConversion"/>
  </si>
  <si>
    <t>현금(S/종합)</t>
    <phoneticPr fontId="2" type="noConversion"/>
  </si>
  <si>
    <t>온누리상품권</t>
    <phoneticPr fontId="2" type="noConversion"/>
  </si>
  <si>
    <t>주택청약종합</t>
    <phoneticPr fontId="2" type="noConversion"/>
  </si>
  <si>
    <t>확인일</t>
    <phoneticPr fontId="2" type="noConversion"/>
  </si>
  <si>
    <t>카카오페이</t>
    <phoneticPr fontId="2" type="noConversion"/>
  </si>
  <si>
    <t>[보유]</t>
    <phoneticPr fontId="2" type="noConversion"/>
  </si>
  <si>
    <t>교육</t>
    <phoneticPr fontId="2" type="noConversion"/>
  </si>
  <si>
    <t>기타</t>
    <phoneticPr fontId="2" type="noConversion"/>
  </si>
  <si>
    <t>취미/운동</t>
    <phoneticPr fontId="2" type="noConversion"/>
  </si>
  <si>
    <t>가전제품</t>
    <phoneticPr fontId="2" type="noConversion"/>
  </si>
  <si>
    <t>택시</t>
    <phoneticPr fontId="2" type="noConversion"/>
  </si>
  <si>
    <t>모임</t>
    <phoneticPr fontId="2" type="noConversion"/>
  </si>
  <si>
    <t>음료</t>
    <phoneticPr fontId="2" type="noConversion"/>
  </si>
  <si>
    <t>Tiss 합계</t>
    <phoneticPr fontId="2" type="noConversion"/>
  </si>
  <si>
    <t>JM 합계</t>
    <phoneticPr fontId="2" type="noConversion"/>
  </si>
  <si>
    <t>임시</t>
    <phoneticPr fontId="2" type="noConversion"/>
  </si>
  <si>
    <t>[2025]</t>
    <phoneticPr fontId="2" type="noConversion"/>
  </si>
  <si>
    <t>지출</t>
  </si>
  <si>
    <t>Tiss</t>
  </si>
  <si>
    <t>모임</t>
  </si>
  <si>
    <t>뽕나무쟁이족발</t>
  </si>
  <si>
    <t>KRW</t>
  </si>
  <si>
    <t>대한항공카드 030</t>
  </si>
  <si>
    <t>고정비</t>
  </si>
  <si>
    <t>구독형서비스</t>
  </si>
  <si>
    <t>쿠팡_와우멤버십</t>
  </si>
  <si>
    <t>생활비</t>
  </si>
  <si>
    <t>식비</t>
  </si>
  <si>
    <t>쿠팡_쿠페이</t>
  </si>
  <si>
    <t>데이트</t>
  </si>
  <si>
    <t>코끼리만두</t>
  </si>
  <si>
    <t>수원 데이트(1/4,토) - 저녁</t>
  </si>
  <si>
    <t>토스 김미진</t>
  </si>
  <si>
    <t>월급/생활비</t>
  </si>
  <si>
    <t>수원 데이트(1/4,토) - 간식</t>
  </si>
  <si>
    <t>안다미로</t>
  </si>
  <si>
    <t>수원 데이트(1/4,토) - 카페</t>
  </si>
  <si>
    <t>명동만두</t>
  </si>
  <si>
    <t>수원 데이트(1/4,토) - 만두(식비)</t>
  </si>
  <si>
    <t>의료/건강</t>
  </si>
  <si>
    <t>약국</t>
  </si>
  <si>
    <t>3층온누리약국</t>
  </si>
  <si>
    <t>생활용품</t>
  </si>
  <si>
    <t>다이소아성산업</t>
  </si>
  <si>
    <t>기타</t>
  </si>
  <si>
    <t>선물</t>
  </si>
  <si>
    <t>카카오선물하기_카카오페이</t>
  </si>
  <si>
    <t>이미형 과장 생선</t>
  </si>
  <si>
    <t>토스 박미선</t>
  </si>
  <si>
    <t>코스트코</t>
  </si>
  <si>
    <t>이체</t>
  </si>
  <si>
    <t>미분류</t>
  </si>
  <si>
    <t>차액</t>
  </si>
  <si>
    <t>마켓9단</t>
  </si>
  <si>
    <t>강남역-마늘빵</t>
  </si>
  <si>
    <t>aliexpress</t>
  </si>
  <si>
    <t>충전기/케이블</t>
  </si>
  <si>
    <t>와인쇼핑백</t>
  </si>
  <si>
    <t>리들샷(2팩), 지퍼백, 제습제</t>
  </si>
  <si>
    <t>유기농사과식초, 키친타올걸이</t>
  </si>
  <si>
    <t>미용</t>
  </si>
  <si>
    <t>*161원캐쉬백다이소</t>
  </si>
  <si>
    <t>리들샷(10팩), 제습제</t>
  </si>
  <si>
    <t>카드대금</t>
  </si>
  <si>
    <t>현대카드대금</t>
  </si>
  <si>
    <t>KB카드출금</t>
  </si>
  <si>
    <t>GS25기흥센트럴점</t>
  </si>
  <si>
    <t>외식</t>
  </si>
  <si>
    <t>쿠팡이츠</t>
  </si>
  <si>
    <t>배달-프랭크버거</t>
  </si>
  <si>
    <t>수입</t>
  </si>
  <si>
    <t>기타 상여금</t>
  </si>
  <si>
    <t>오토에버경비</t>
  </si>
  <si>
    <t>통신비 지원</t>
  </si>
  <si>
    <t>경조사</t>
  </si>
  <si>
    <t>송금 내역</t>
  </si>
  <si>
    <t>카카오페이 머니</t>
  </si>
  <si>
    <t>노찬형 책임 자식 결혼</t>
  </si>
  <si>
    <t>몽쉘통통(딸기)</t>
  </si>
  <si>
    <t>저축</t>
  </si>
  <si>
    <t>계좌개설용4528</t>
  </si>
  <si>
    <t>비대면신규</t>
  </si>
  <si>
    <t>E-RUN 파킹통장(예스뱅킹)</t>
  </si>
  <si>
    <t>가전제품</t>
  </si>
  <si>
    <t>쿠팡-다리미판</t>
  </si>
  <si>
    <t>공공온라인_4</t>
  </si>
  <si>
    <t>다리미판 처리(빼기)</t>
  </si>
  <si>
    <t>쿠팡-비닐봉투(80L 100장)</t>
  </si>
  <si>
    <t>카카오페이</t>
  </si>
  <si>
    <t>박*현</t>
  </si>
  <si>
    <t>휴대폰/인터넷</t>
  </si>
  <si>
    <t>KT인터넷제휴납부</t>
  </si>
  <si>
    <t>KT통신요금자동납부</t>
  </si>
  <si>
    <t>토스 서유리</t>
  </si>
  <si>
    <t>레알떡볶이</t>
  </si>
  <si>
    <t>소문난 떡집</t>
  </si>
  <si>
    <t>KB국민 토심이 첵첵 체크카드(RF)</t>
  </si>
  <si>
    <t>영통떡집</t>
  </si>
  <si>
    <t>*45원캐쉬백다이소</t>
  </si>
  <si>
    <t>리들샷</t>
  </si>
  <si>
    <t>박중현</t>
  </si>
  <si>
    <t>박중현 국민전자</t>
  </si>
  <si>
    <t>아파트관리비</t>
  </si>
  <si>
    <t>24년인센티브</t>
  </si>
  <si>
    <t>박중현 토스전자</t>
  </si>
  <si>
    <t>아빠곰 수제돈까스</t>
  </si>
  <si>
    <t>와펜하우스 강남점</t>
  </si>
  <si>
    <t>간식</t>
  </si>
  <si>
    <t>제이숲 트리트먼트</t>
  </si>
  <si>
    <t>CJ올리브영_국내</t>
  </si>
  <si>
    <t>센카 퍼펙트휩, 립밤</t>
  </si>
  <si>
    <t>설명절지원금</t>
  </si>
  <si>
    <t>보험/연금</t>
  </si>
  <si>
    <t>삼성화01018</t>
  </si>
  <si>
    <t>월급</t>
  </si>
  <si>
    <t>급여현대오토에버</t>
  </si>
  <si>
    <t>설 연휴 식비(카레/전골)</t>
  </si>
  <si>
    <t>우아한형제들</t>
  </si>
  <si>
    <t>처갓집양념치킨</t>
  </si>
  <si>
    <t>네이버페이</t>
  </si>
  <si>
    <t>anker 충전기(보조배터리 충전)</t>
  </si>
  <si>
    <t>Aliexpresscom</t>
  </si>
  <si>
    <t>HYUNDAI BLUE members Family M2 Edition2(그룹사_복지사원증)</t>
  </si>
  <si>
    <t>anker 보조배터리</t>
  </si>
  <si>
    <t>브리오신 다목적세정제, 물티슈케이스, 우동건더기</t>
  </si>
  <si>
    <t>마르나 키와이 밥주걱</t>
  </si>
  <si>
    <t>멕리듬 아이마스크</t>
  </si>
  <si>
    <t>율환 선물-세정제, 스펀지</t>
  </si>
  <si>
    <t>쿠팡-크리넥스, 콩나물</t>
  </si>
  <si>
    <t>토스 박중현</t>
  </si>
  <si>
    <t>서태례님 설 용돈</t>
  </si>
  <si>
    <t>박미선</t>
  </si>
  <si>
    <t>코스트코-지퍼백</t>
  </si>
  <si>
    <t>현대해상화재보험</t>
  </si>
  <si>
    <t>용돈</t>
  </si>
  <si>
    <t>TISS용돈</t>
  </si>
  <si>
    <t>부모님</t>
  </si>
  <si>
    <t>TISS부모님</t>
  </si>
  <si>
    <t>기흥모임</t>
  </si>
  <si>
    <t>모임(기흥)</t>
  </si>
  <si>
    <t>쿠쿠홈시스</t>
  </si>
  <si>
    <t>현대오토에버(주)</t>
  </si>
  <si>
    <t>????</t>
  </si>
  <si>
    <t>삼성01000</t>
  </si>
  <si>
    <t>NICEPAY</t>
  </si>
  <si>
    <t>대출상환</t>
  </si>
  <si>
    <t>디딤돌</t>
  </si>
  <si>
    <t>주택금융공사</t>
  </si>
  <si>
    <t>교통비</t>
  </si>
  <si>
    <t>경기시내버스</t>
  </si>
  <si>
    <t>티머니지하철</t>
  </si>
  <si>
    <t>JM(2.8)</t>
    <phoneticPr fontId="2" type="noConversion"/>
  </si>
  <si>
    <r>
      <t>삼성생명+삼성화재 / 동양생명(8.6)+국민연금(10)+</t>
    </r>
    <r>
      <rPr>
        <sz val="11"/>
        <color rgb="FFFF0000"/>
        <rFont val="맑은 고딕"/>
        <family val="3"/>
        <charset val="129"/>
        <scheme val="minor"/>
      </rPr>
      <t>건강보험(?)</t>
    </r>
    <phoneticPr fontId="2" type="noConversion"/>
  </si>
  <si>
    <t>JM(8.5)</t>
    <phoneticPr fontId="2" type="noConversion"/>
  </si>
  <si>
    <t>휴대폰/인터넷</t>
    <phoneticPr fontId="2" type="noConversion"/>
  </si>
  <si>
    <t>예수금(S/종합)</t>
    <phoneticPr fontId="2" type="noConversion"/>
  </si>
  <si>
    <t>예수금(S/ISA)</t>
    <phoneticPr fontId="2" type="noConversion"/>
  </si>
  <si>
    <t>O</t>
    <phoneticPr fontId="2" type="noConversion"/>
  </si>
  <si>
    <t>어묵, 치즈스틱</t>
    <phoneticPr fontId="2" type="noConversion"/>
  </si>
  <si>
    <t>Tiss</t>
    <phoneticPr fontId="2" type="noConversion"/>
  </si>
  <si>
    <t>부모님</t>
    <phoneticPr fontId="2" type="noConversion"/>
  </si>
  <si>
    <t>경기화폐(Tiss)</t>
  </si>
  <si>
    <t>자산 추가</t>
  </si>
  <si>
    <t>온누리상품권</t>
  </si>
  <si>
    <t>티머니569</t>
  </si>
  <si>
    <t>티머니</t>
  </si>
  <si>
    <t>JM 교통비 충전</t>
  </si>
  <si>
    <t>분당내마음정신건강의학과</t>
  </si>
  <si>
    <t>정자프라자약국</t>
  </si>
  <si>
    <t>롯데프리미엄푸드마켓기흥점</t>
  </si>
  <si>
    <t>술</t>
  </si>
  <si>
    <t>르봉베이커리</t>
  </si>
  <si>
    <t>경기화폐(JM)</t>
  </si>
  <si>
    <t>쿠팡-멀티포트 충전기</t>
  </si>
  <si>
    <t>의복</t>
  </si>
  <si>
    <t>스케쳐스수원영통점</t>
  </si>
  <si>
    <t>JM 운동화</t>
  </si>
  <si>
    <t>진짜순대</t>
  </si>
  <si>
    <t>애경자산관리AK기흥</t>
  </si>
  <si>
    <t>JM 후드티</t>
  </si>
  <si>
    <t>쿠팡-드라이 시트</t>
  </si>
  <si>
    <t>JM</t>
  </si>
  <si>
    <t>JM 스니커즈</t>
  </si>
  <si>
    <t>최준연책임 생선</t>
  </si>
  <si>
    <t>카카오_상품권_다날</t>
  </si>
  <si>
    <t>김종갑 차장 생선</t>
  </si>
  <si>
    <t>카카오_다날</t>
  </si>
  <si>
    <t>정남용 부장 생선</t>
  </si>
  <si>
    <t>수면양말</t>
  </si>
  <si>
    <t>치킨신드롬호프</t>
  </si>
  <si>
    <t>교육비</t>
  </si>
  <si>
    <t>JM 하자(1/25)</t>
  </si>
  <si>
    <t>정운한(꼼꼼하자)</t>
  </si>
  <si>
    <t>JM 하자(1/26)</t>
  </si>
  <si>
    <t>JM-하자(2/?)</t>
  </si>
  <si>
    <t>발렌타인데이</t>
  </si>
  <si>
    <t>제일의원</t>
  </si>
  <si>
    <t>한별약국</t>
  </si>
  <si>
    <t>CJ올리브네트웍스PG인증</t>
  </si>
  <si>
    <t>네이버페이-건식 족욕기</t>
  </si>
  <si>
    <t>네이버페이-오뎅 스프, 저당질 시리얼</t>
  </si>
  <si>
    <t>탄산수 초록매실 어묵탕재료 요거트 등</t>
  </si>
  <si>
    <t>JM 노트20울트라 케이스</t>
  </si>
  <si>
    <t>JM 노트20울트라 카메라보호</t>
  </si>
  <si>
    <t>QI2 보조배터리</t>
  </si>
  <si>
    <t>JM 노트20울트라 액정보호필름</t>
  </si>
  <si>
    <t>옥션</t>
  </si>
  <si>
    <t>후아유 덤블</t>
  </si>
  <si>
    <t>JM-하자(2/8~2/9)</t>
  </si>
  <si>
    <t>남궁유리</t>
  </si>
  <si>
    <t>JM-미리캔버스</t>
  </si>
  <si>
    <t>토스뱅크 통장</t>
  </si>
  <si>
    <t>채우기</t>
  </si>
  <si>
    <t>토스뱅크 나눠모으기 통장</t>
  </si>
  <si>
    <t>비상금통장</t>
  </si>
  <si>
    <t>금융수입</t>
  </si>
  <si>
    <t>자동 이자</t>
  </si>
  <si>
    <t>*144원캐쉬백롯데슈퍼 P기</t>
  </si>
  <si>
    <t>롯데마트-술/골든블루 쿼츠</t>
  </si>
  <si>
    <t>쿠팡-생크림, 달걀, 바질페스토, 목살</t>
  </si>
  <si>
    <t>입금 내역</t>
  </si>
  <si>
    <t>쿠팡-닥터유단백질바</t>
  </si>
  <si>
    <t>박승철헤어스투디오AK기흥점</t>
  </si>
  <si>
    <t>Tiss 헤어컷</t>
  </si>
  <si>
    <t>셀라피</t>
  </si>
  <si>
    <t>네이버페이 간편결제(머니)</t>
  </si>
  <si>
    <t>셀라피 에이리페어 크림(100ml x2)</t>
  </si>
  <si>
    <t>충전 내역</t>
  </si>
  <si>
    <t>네이버페이 머니</t>
  </si>
  <si>
    <t>네이버페이충전</t>
  </si>
  <si>
    <t>임소현 책임 생선</t>
  </si>
  <si>
    <t>도시락(12), 딸리아뗄레, 트라플포테이토칩, 꼬지, 치킨스톡, 두부볼 등</t>
  </si>
  <si>
    <t>JM-하자(2/15~16)</t>
  </si>
  <si>
    <t>지에스수퍼 기흥역점</t>
  </si>
  <si>
    <t>GS수퍼-오징어짬뽕(5), 생크림</t>
  </si>
  <si>
    <t>Tiss 사용(입금완료)</t>
  </si>
  <si>
    <t>모임(유진, 은주)</t>
  </si>
  <si>
    <t>쿠팡-고추장(1kg x2), 스크래퍼</t>
  </si>
  <si>
    <t>여기어때_국내숙소</t>
  </si>
  <si>
    <t>온양관광호텔</t>
  </si>
  <si>
    <t>학화호두과자</t>
  </si>
  <si>
    <t>이모네가정식백반</t>
  </si>
  <si>
    <t>천안타운홀운영위원회</t>
  </si>
  <si>
    <t>올리브영천안역점</t>
  </si>
  <si>
    <t>치실</t>
  </si>
  <si>
    <t>카카오_택시9</t>
  </si>
  <si>
    <t>백미한우정육점</t>
  </si>
  <si>
    <t>w/율</t>
  </si>
  <si>
    <t>이마트24아산관광호텔점</t>
  </si>
  <si>
    <t>명물짜장</t>
  </si>
  <si>
    <t>삼성화02019</t>
  </si>
  <si>
    <t>출금 내역</t>
  </si>
  <si>
    <t>삼성02000</t>
  </si>
  <si>
    <t>꺼내기</t>
  </si>
  <si>
    <t>JM-하자(2/22)</t>
  </si>
  <si>
    <t>GS수퍼기흥역점</t>
  </si>
  <si>
    <t>왕뚜껑 짬뽕(x2)</t>
  </si>
  <si>
    <t>LGCNSPay엘지전자</t>
  </si>
  <si>
    <t>빗썸677</t>
  </si>
  <si>
    <t>주식회사 카카오</t>
  </si>
  <si>
    <t>안택준 책임 생선</t>
  </si>
  <si>
    <t>문정미</t>
  </si>
  <si>
    <t>예쁜할머니네</t>
  </si>
  <si>
    <t>못난이꽈배기기흥역점</t>
  </si>
  <si>
    <t>스코코</t>
  </si>
  <si>
    <t>임시현금</t>
    <phoneticPr fontId="2" type="noConversion"/>
  </si>
  <si>
    <t>이삭토스트</t>
  </si>
  <si>
    <t>JM 교통카드</t>
  </si>
  <si>
    <t>쿠팡-변기 청소 용품</t>
  </si>
  <si>
    <t>쿠팡-레드미 워치5</t>
  </si>
  <si>
    <t>스코코-필름(LG gram+레드미 워치5)</t>
  </si>
  <si>
    <t>3층 온누리약국</t>
  </si>
  <si>
    <t>컴퓨터 싸인펜</t>
  </si>
  <si>
    <t>연세속앤마디편한의원</t>
  </si>
  <si>
    <t>JM-수액(96,200-86,200)</t>
  </si>
  <si>
    <t>기흥역 국수</t>
  </si>
  <si>
    <t>르봉베이커리(LE BON BAKERY)</t>
  </si>
  <si>
    <t>쿠팡</t>
  </si>
  <si>
    <t>JM-구두</t>
  </si>
  <si>
    <t>3M 플래그</t>
  </si>
  <si>
    <t>어묵, 버섯, 베이컨, 두부, 순두부</t>
  </si>
  <si>
    <t>양장피, 크런치치킨, 육개장(x2), 가리비무침, 맥주(x4)</t>
  </si>
  <si>
    <t>쿠팡-제육볶음, 모둠쌈, 마늘, 쌈무</t>
  </si>
  <si>
    <t>쿠팡-소고기(국거리)</t>
  </si>
  <si>
    <t>잡곡</t>
  </si>
  <si>
    <t>검은콩 볶음</t>
  </si>
  <si>
    <t>김민수 책임 생선</t>
  </si>
  <si>
    <t>주_우아한형제들</t>
  </si>
  <si>
    <t>BBQ 핫크리스피</t>
  </si>
  <si>
    <t>JM-하자(3/8)</t>
  </si>
  <si>
    <t>GS25-도시락</t>
  </si>
  <si>
    <t>쿠팡-등갈비+@</t>
  </si>
  <si>
    <t>음료</t>
  </si>
  <si>
    <t>나이스페이</t>
  </si>
  <si>
    <t>네이버페이 간편결제(포인트)</t>
  </si>
  <si>
    <t>바나프레소</t>
  </si>
  <si>
    <t>이병익</t>
  </si>
  <si>
    <t>강남역 떡볶이</t>
  </si>
  <si>
    <t>모임-민수,신혁,일균,승민</t>
  </si>
  <si>
    <t>건전지-CR2035</t>
  </si>
  <si>
    <t>교통비(TISS)</t>
  </si>
  <si>
    <t>교통비(Tiss)</t>
  </si>
  <si>
    <t>쿠팡-만두(비비고김치), 편육, 모둠쌈</t>
  </si>
  <si>
    <t>쿠팡-에그타이머&amp;커터</t>
  </si>
  <si>
    <t>Alipay Plus</t>
  </si>
  <si>
    <t>알리-이어폰</t>
  </si>
  <si>
    <t>알리익스프레스</t>
  </si>
  <si>
    <t>알리-보조배터리(Anker Prime 65W)</t>
  </si>
  <si>
    <t>배민-마왕족발</t>
  </si>
  <si>
    <t>쿠팡-상추, 양파, 요거트</t>
  </si>
  <si>
    <t>가족</t>
  </si>
  <si>
    <t>여기어때컴퍼니</t>
  </si>
  <si>
    <t>전주여행-결산예정</t>
  </si>
  <si>
    <t>JM 하자(3/14~15)</t>
  </si>
  <si>
    <t>Tiss-통신비 지원</t>
  </si>
  <si>
    <t>lemouton</t>
  </si>
  <si>
    <t>Tiss - 르무통 메이트(280+인솔)</t>
  </si>
  <si>
    <t>돈까스의 집</t>
  </si>
  <si>
    <t>롯데물산주식회사롯데월드몰점</t>
  </si>
  <si>
    <t>밀크쉐이크</t>
  </si>
  <si>
    <t>(주)스시히로바</t>
  </si>
  <si>
    <t>토스 김정애</t>
  </si>
  <si>
    <t>오뎅</t>
  </si>
  <si>
    <t>풍천갈비신갈점</t>
  </si>
  <si>
    <t>용인축산물도소매센터</t>
  </si>
  <si>
    <t>삼성화03020</t>
  </si>
  <si>
    <t>삼성03000</t>
  </si>
  <si>
    <t>토뱅 박중현</t>
  </si>
  <si>
    <t>카카오톡 이모티콘</t>
  </si>
  <si>
    <t>(주)이제이비코퍼레이션</t>
  </si>
  <si>
    <t>강남수향-딤섬&amp;술</t>
  </si>
  <si>
    <t>세븐일레븐영등포메인점</t>
  </si>
  <si>
    <t>기타-공용</t>
  </si>
  <si>
    <t>앙토낭카템과자점</t>
  </si>
  <si>
    <t>애경자산관리(주)AK기흥</t>
  </si>
  <si>
    <t>Tiss-티셔츠()</t>
  </si>
  <si>
    <t>박승철헤어스투디오AKand기흥점</t>
  </si>
  <si>
    <t>Tiss-헤어컷</t>
  </si>
  <si>
    <t>새우, 샌드위치, 술 등</t>
  </si>
  <si>
    <t>서울한스마일치과의원</t>
  </si>
  <si>
    <t>Tiss+JM</t>
  </si>
  <si>
    <t>*341원캐쉬백다이소</t>
  </si>
  <si>
    <t>다이소-리들샷, 건전지</t>
  </si>
  <si>
    <t>피자, 모닝빵</t>
  </si>
  <si>
    <t>포카리스웨트</t>
  </si>
  <si>
    <t>선경약국</t>
  </si>
  <si>
    <t>JM-치과약</t>
  </si>
  <si>
    <t>네이버페이 간편결제</t>
  </si>
  <si>
    <t>본죽</t>
  </si>
  <si>
    <t>MS 생선</t>
  </si>
  <si>
    <t>데체코 딸리아뗄레</t>
  </si>
  <si>
    <t>의료법인미래의료재단</t>
  </si>
  <si>
    <t>Tiss-용종제거</t>
  </si>
  <si>
    <t>JM-용종제거</t>
  </si>
  <si>
    <t>교통비-TISS</t>
  </si>
  <si>
    <t>성환 생선</t>
  </si>
  <si>
    <t>현금</t>
  </si>
  <si>
    <t>현대카드</t>
  </si>
  <si>
    <t>배달특급</t>
  </si>
  <si>
    <t>기영이숯불두마리치킨</t>
  </si>
  <si>
    <t>JM-하자(4/5~4/6)</t>
  </si>
  <si>
    <t>JM-하자APP(4/5~4/6)</t>
  </si>
  <si>
    <t>크린토피아 코인워시 기흥센트럴푸르지오점</t>
  </si>
  <si>
    <t>세탁소</t>
  </si>
  <si>
    <t>여의도진진</t>
  </si>
  <si>
    <t>쿠팡-고추부각, 산초, 치킨파우더</t>
  </si>
  <si>
    <t>쿠팡-사이다, 닭날개, 감자</t>
  </si>
  <si>
    <t>쿠팡-감자으깨기</t>
  </si>
  <si>
    <t>24시전주명가콩나물국밥 신갈점</t>
  </si>
  <si>
    <t>(주)그린푸드</t>
  </si>
  <si>
    <t>JM 외식</t>
  </si>
  <si>
    <t>하자점검용품</t>
  </si>
  <si>
    <t>KCP_결제</t>
  </si>
  <si>
    <t>에버랜드 티켓</t>
  </si>
  <si>
    <t>진(眞) 부엉이꼬마김밥 기흥점</t>
  </si>
  <si>
    <t>에버랜드(대결)</t>
  </si>
  <si>
    <t>에버랜드 대결 입금(MS)</t>
  </si>
  <si>
    <t>에버랜드</t>
  </si>
  <si>
    <t>에버랜드 대결(MS)</t>
  </si>
  <si>
    <t>삼성물산(주)에버랜드리조트</t>
  </si>
  <si>
    <t>(주) 그랜드엔터프라이즈</t>
  </si>
  <si>
    <t>용인우렁각시</t>
  </si>
  <si>
    <t>삼성화04021</t>
  </si>
  <si>
    <t>삼성04000</t>
  </si>
  <si>
    <t>2503추납금</t>
  </si>
  <si>
    <t>국민연금 추가납부</t>
  </si>
  <si>
    <t>JM</t>
    <phoneticPr fontId="2" type="noConversion"/>
  </si>
  <si>
    <t>벌툰 기흥구청점</t>
  </si>
  <si>
    <t>명랑시대쌀핫도그 기흥구청점</t>
  </si>
  <si>
    <t>에이마트 구갈점</t>
  </si>
  <si>
    <t>육회, 대패목살</t>
  </si>
  <si>
    <t>도담온누리약국</t>
  </si>
  <si>
    <t>까스앤프리</t>
  </si>
  <si>
    <t>칠리소스</t>
  </si>
  <si>
    <t>*10원캐쉬백다이소</t>
  </si>
  <si>
    <t>경호형 똥꼬티(x2)</t>
  </si>
  <si>
    <t>전주왔냥</t>
  </si>
  <si>
    <t>기념품</t>
  </si>
  <si>
    <t>조점례남문피순대</t>
  </si>
  <si>
    <t>지에스25 한옥광장점</t>
  </si>
  <si>
    <t>GS25</t>
  </si>
  <si>
    <t>신성통상(주)TOPTEN 전주효자</t>
  </si>
  <si>
    <t>JM 작업복</t>
  </si>
  <si>
    <t>취미/운동</t>
  </si>
  <si>
    <t>PLAYSTATION NETWORK</t>
  </si>
  <si>
    <t>인터넷상거래_1</t>
  </si>
  <si>
    <t>휴대폰 그립</t>
  </si>
  <si>
    <t>업비트</t>
  </si>
  <si>
    <t>메추리알(1kg), 소고기(국거리 300g), 팽이버섯, 마늘, 크랩살</t>
  </si>
  <si>
    <t>멀티탭(8구)</t>
  </si>
  <si>
    <t>돈까스</t>
  </si>
  <si>
    <t>굴소스</t>
  </si>
  <si>
    <t>JM-교통비</t>
  </si>
  <si>
    <t>노트북 파우치</t>
  </si>
  <si>
    <t>유리아의원</t>
  </si>
  <si>
    <t>JM 피부과</t>
  </si>
  <si>
    <t>구갈온누리약국</t>
  </si>
  <si>
    <t>JM 피부과 약국</t>
  </si>
  <si>
    <t>현우책임 생선</t>
  </si>
  <si>
    <t>불란집떡볶이</t>
  </si>
  <si>
    <t>변*원</t>
  </si>
  <si>
    <t>방토, 양파, 두부, 콩나물</t>
  </si>
  <si>
    <t>요거트 감자 하루견과</t>
  </si>
  <si>
    <t>셀카봉 삼각대</t>
  </si>
  <si>
    <t>JM 편의점 도시락</t>
  </si>
  <si>
    <t>네이버5878</t>
  </si>
  <si>
    <t>(주)파랑새투어</t>
  </si>
  <si>
    <t>5/25(일) 대전 여행</t>
  </si>
  <si>
    <t>본테르(de bonne terre)</t>
  </si>
  <si>
    <t>삼성화05022</t>
  </si>
  <si>
    <t>본테르</t>
  </si>
  <si>
    <t>골목집</t>
  </si>
  <si>
    <t>카카오T일반택시_0</t>
  </si>
  <si>
    <t>코다리감동이되다</t>
  </si>
  <si>
    <t>카카오T일반택시_법인_4</t>
  </si>
  <si>
    <t>씨유CU성균관대역점</t>
  </si>
  <si>
    <t>CU 연세롤</t>
  </si>
  <si>
    <t>스모프치킨</t>
  </si>
  <si>
    <t>수연분식</t>
  </si>
  <si>
    <t>다르다company</t>
  </si>
  <si>
    <t>대전 중앙시장 붕어빵(피자)</t>
  </si>
  <si>
    <t>토스 이희대</t>
  </si>
  <si>
    <t>대전 중앙시장 계란빵</t>
  </si>
  <si>
    <t>인터뷰 카페</t>
  </si>
  <si>
    <t>제주 착즙쥬스(x2)</t>
  </si>
  <si>
    <t>만두</t>
  </si>
  <si>
    <t>코페이_키오스크(중소1)</t>
  </si>
  <si>
    <t>성대지붕 (두부김치&amp;소주)</t>
  </si>
  <si>
    <t>소나무정원</t>
  </si>
  <si>
    <t>JM 냉장고바지</t>
  </si>
  <si>
    <t>삼성05000</t>
  </si>
  <si>
    <t>감탄언더웨어</t>
  </si>
  <si>
    <t>JM-언더웨어</t>
  </si>
  <si>
    <t>네이버1698</t>
  </si>
  <si>
    <t>롯데홈쇼핑</t>
  </si>
  <si>
    <t>JM 키스키스 립글로우</t>
  </si>
  <si>
    <t>네이버8319</t>
  </si>
  <si>
    <t>새삼성약국</t>
  </si>
  <si>
    <t>토스 강민규</t>
  </si>
  <si>
    <t>(주)포비아워스</t>
  </si>
  <si>
    <t>아이스크림</t>
    <phoneticPr fontId="2" type="noConversion"/>
  </si>
  <si>
    <t>삼각김밥</t>
    <phoneticPr fontId="2" type="noConversion"/>
  </si>
  <si>
    <t>남대문 남해식당</t>
    <phoneticPr fontId="2" type="noConversion"/>
  </si>
  <si>
    <t>네이버0064</t>
  </si>
  <si>
    <t>배민페이_배민원</t>
  </si>
  <si>
    <t>청해-탕수육 세트</t>
  </si>
  <si>
    <t>노브랜드 용인 구갈점</t>
  </si>
  <si>
    <t>곱빼기 국수가게</t>
  </si>
  <si>
    <t>이케아코리아 유한회사 기흥지점</t>
  </si>
  <si>
    <t>이케아-지퍼백&amp;돌돌이 등</t>
  </si>
  <si>
    <t>이케아기흥점(비스트로고객)</t>
  </si>
  <si>
    <t>이케아 핫도그&amp;피자 세트</t>
  </si>
  <si>
    <t>롯데프리미엄아울렛기흥점</t>
  </si>
  <si>
    <t>Tiss-빈폴 반팔</t>
  </si>
  <si>
    <t>(주)지에이코리아</t>
  </si>
  <si>
    <t>맥주+소세지빵</t>
  </si>
  <si>
    <t>오거리유부김밥</t>
  </si>
  <si>
    <t>코슷코</t>
  </si>
  <si>
    <t>지에스(GS)25 기흥센트럴점</t>
  </si>
  <si>
    <t>삼각김밥+햄버거</t>
  </si>
  <si>
    <t>롯데프리미엄아울렛 기흥점(매장)</t>
  </si>
  <si>
    <t>조마담칼국수</t>
  </si>
  <si>
    <t>달보드레</t>
  </si>
  <si>
    <t>바나나빵</t>
  </si>
  <si>
    <t>협동조합 참좋은수다</t>
  </si>
  <si>
    <t>JM 손수건</t>
  </si>
  <si>
    <t>럭희</t>
  </si>
  <si>
    <t>기념품(만두)</t>
  </si>
  <si>
    <t>탐나는피자</t>
  </si>
  <si>
    <t>커피놀이터콩-팥빙수</t>
  </si>
  <si>
    <t>무우, 생와사비, 파, 각얼음, 두부, 애호박</t>
  </si>
  <si>
    <t>못난이꽈배기 기흥역점</t>
  </si>
  <si>
    <t>핫도그</t>
  </si>
  <si>
    <t>네이버2921</t>
  </si>
  <si>
    <t>뉴발란스 공식 온라인스토어</t>
  </si>
  <si>
    <t>Tiss-러닝화</t>
  </si>
  <si>
    <t>양송이, 표고, 베이컨, 가지, 다짐육, 생크림</t>
  </si>
  <si>
    <t>현대장터-짜파게티, 리챔, 고메넛츠</t>
  </si>
  <si>
    <t>오리온 초코파이(6box)</t>
  </si>
  <si>
    <t>에슬로우라운지</t>
  </si>
  <si>
    <t>유미식당본점</t>
  </si>
  <si>
    <t>Tiss점심 w.은주님</t>
  </si>
  <si>
    <t>(주)신세계인터내셔날JAJU AK기흥점</t>
  </si>
  <si>
    <t>Tiss 양말</t>
  </si>
  <si>
    <t>교육</t>
  </si>
  <si>
    <t>교보문고_인터넷</t>
  </si>
  <si>
    <t>ADsP</t>
  </si>
  <si>
    <t>(주)이니시스</t>
  </si>
  <si>
    <t>제이숲 샴푸+컨디셔너</t>
  </si>
  <si>
    <t>으뜸 수옛날통닭</t>
  </si>
  <si>
    <t>나만의냉장고스마트로</t>
  </si>
  <si>
    <t>GS25 비빔밥</t>
  </si>
  <si>
    <t>네이버5017</t>
  </si>
  <si>
    <t>감자수제비, 미소된장, 다짐육</t>
  </si>
  <si>
    <t>토스페이_여기어때</t>
  </si>
  <si>
    <t>대전 숙소</t>
  </si>
  <si>
    <t>카카오T시외버스_이즐</t>
  </si>
  <si>
    <t>대전</t>
  </si>
  <si>
    <t>버스타고_APP_네이버페이</t>
  </si>
  <si>
    <t>교통</t>
  </si>
  <si>
    <t>JM 교통카드 충전</t>
  </si>
  <si>
    <t>티머니 개인택시_0</t>
  </si>
  <si>
    <t>토스 김은주</t>
  </si>
  <si>
    <t>식혜</t>
  </si>
  <si>
    <t>토스 황인희</t>
  </si>
  <si>
    <t>치즈볼</t>
  </si>
  <si>
    <t>토스 윤미애</t>
  </si>
  <si>
    <t>대전-떡볶이, 튀김, 전</t>
  </si>
  <si>
    <t>U24</t>
  </si>
  <si>
    <t>대전-소주(2ea)</t>
  </si>
  <si>
    <t>성심당</t>
  </si>
  <si>
    <t>카카오T일반택시_법인_3</t>
  </si>
  <si>
    <t>(주)영풍문고</t>
  </si>
  <si>
    <t xml:space="preserve">버터-쟁반, 칫솔거치대, </t>
  </si>
  <si>
    <t>(주)티제이4</t>
  </si>
  <si>
    <t>비알코리아(주)던킨도너츠대전터미널서관</t>
  </si>
  <si>
    <t>네이버3497</t>
  </si>
  <si>
    <t>삼성화06023</t>
  </si>
  <si>
    <t>삼성06000</t>
  </si>
  <si>
    <t>수옛날통닭</t>
  </si>
  <si>
    <t>옛날통닭 + 겨자소스</t>
  </si>
  <si>
    <t>이케아코리아</t>
  </si>
  <si>
    <t>장식장</t>
  </si>
  <si>
    <t>통나무집</t>
  </si>
  <si>
    <t>JM-빈폴 니트</t>
  </si>
  <si>
    <t>JM-나이키 운동화</t>
  </si>
  <si>
    <t>세븐일레븐 뉴기흥롯데아울렛점</t>
  </si>
  <si>
    <t>세븐일레븐-빵, 보리차</t>
  </si>
  <si>
    <t>JM-생리대</t>
  </si>
  <si>
    <t>쿠팡-표고,가지,두부,요거트,느타리</t>
  </si>
  <si>
    <t>박중현_교통비</t>
  </si>
  <si>
    <t>네이버1439</t>
  </si>
  <si>
    <t>쿠팡-육개장 사발면(24ea)</t>
  </si>
  <si>
    <t>네이버2570</t>
  </si>
  <si>
    <t>현대서산농장</t>
  </si>
  <si>
    <t>감자(5kg)</t>
  </si>
  <si>
    <t>미선-감자(5kg)</t>
  </si>
  <si>
    <t>영동족발 양재본점</t>
  </si>
  <si>
    <t>씨유기흥센트럴</t>
  </si>
  <si>
    <t>당근페이</t>
  </si>
  <si>
    <t>i20 레이싱 모형</t>
  </si>
  <si>
    <t>진부엉이꼬마김밥기흥점</t>
  </si>
  <si>
    <t>투다리영통점</t>
  </si>
  <si>
    <t>택시</t>
  </si>
  <si>
    <t>(주)케이에프씨코리아 KFC강남역</t>
  </si>
  <si>
    <t>쿠팡-에템 블랙 레몬 워시 오프팩</t>
  </si>
  <si>
    <t>오브제성형외과의원</t>
  </si>
  <si>
    <t>Tiss-눈밑지방재배치 예약금</t>
  </si>
  <si>
    <t>씨제이올리브영(주)올리브영 센트럴 강남 타운</t>
  </si>
  <si>
    <t>올리브영(강남타운)-핸드크림, 세럼(달바 x2), 초콜릿</t>
  </si>
  <si>
    <t>올리브영</t>
  </si>
  <si>
    <t>올리브영(온라인)-풋샴푸, 뷰러, 클레이팩</t>
  </si>
  <si>
    <t>화해-녹두 모공 타이트업 세럼</t>
  </si>
  <si>
    <t>쿠팡-양조간장</t>
  </si>
  <si>
    <t>KB체크할인</t>
  </si>
  <si>
    <t>현대홈쇼핑-백화점관 일반</t>
  </si>
  <si>
    <t>모로칸 오일</t>
  </si>
  <si>
    <t>도시락(x2)</t>
  </si>
  <si>
    <t>시외버스모바일전자승차권_이즐</t>
  </si>
  <si>
    <t>Miri 예치금</t>
  </si>
  <si>
    <t>방울토마토, 골뱅이, 양파, 양상추, 양배추, 요거트, 풋브러쉬</t>
  </si>
  <si>
    <t>네이버1523</t>
  </si>
  <si>
    <t>네이쳐스그린웨이</t>
  </si>
  <si>
    <t>네이쳐스그린웨이 프로폴리스 500</t>
  </si>
  <si>
    <t>도시락</t>
  </si>
  <si>
    <t>라이프스타일마트</t>
  </si>
  <si>
    <t>스트롱 제습 서버 v2 (8+3)</t>
  </si>
  <si>
    <t>서태례님 선물(감자)</t>
  </si>
  <si>
    <t>샐러디</t>
  </si>
  <si>
    <t>연두</t>
  </si>
  <si>
    <t>모짜렐라치즈, 베이컨, 제육, 모듬쌈, 마늘</t>
  </si>
  <si>
    <t>볶음주걱</t>
  </si>
  <si>
    <t>대학원 모임</t>
  </si>
  <si>
    <t>에어컨 세정제(산도깨비x3)</t>
  </si>
  <si>
    <t>일균책임님 생선</t>
  </si>
  <si>
    <t>쿠팡-마요네즈(x3), 대파, BW100, 안성탕면</t>
  </si>
  <si>
    <t>쿠팡-크록스 슬리퍼(Tiss)</t>
  </si>
  <si>
    <t>쿠팡-크록스(JM)</t>
  </si>
  <si>
    <t>25년하계휴가비</t>
  </si>
  <si>
    <t>조박사토종순대국</t>
  </si>
  <si>
    <t>맥도날드잠실역점</t>
  </si>
  <si>
    <t>쿠팡-CR2032(x10)</t>
  </si>
  <si>
    <t>네이버-스트롱 제습 서버 V2(11+4)</t>
  </si>
  <si>
    <t>현우책임 부친상</t>
  </si>
  <si>
    <t>이*섭</t>
  </si>
  <si>
    <t>유*원</t>
  </si>
  <si>
    <t>김*국</t>
  </si>
  <si>
    <t>한국철도공사</t>
  </si>
  <si>
    <t>김현우 책임 부친상(ktx)</t>
  </si>
  <si>
    <t>김*갑</t>
  </si>
  <si>
    <t>에스알</t>
  </si>
  <si>
    <t>김현우 책임 부친상(SRT)</t>
  </si>
  <si>
    <t>온아워 공식스토어</t>
  </si>
  <si>
    <t>Tiss 에어팟 케이스</t>
  </si>
  <si>
    <t>이*민</t>
  </si>
  <si>
    <t>소*지</t>
  </si>
  <si>
    <t>김현우 책임 부친상(택시)</t>
  </si>
  <si>
    <t>정일균</t>
  </si>
  <si>
    <t>정철원</t>
  </si>
  <si>
    <t>임소현</t>
  </si>
  <si>
    <t>쿠팡-퓨어썸 호환필터(x12)</t>
  </si>
  <si>
    <t>쿠팡-홀토마토캔(x6), 맥시칸 핫 크리스피 치킨(x2)</t>
  </si>
  <si>
    <t>코스트코-버섯, 닭강정, 치즈, 만두, 당근, 곱창김, 올리브유, 미역, 고기, 옷 등</t>
  </si>
  <si>
    <t>글라스스토리</t>
  </si>
  <si>
    <t>Tiss - 뿔테</t>
  </si>
  <si>
    <t>*5원캐쉬백다이소</t>
  </si>
  <si>
    <t>롯데마켓-맥주+@</t>
  </si>
  <si>
    <t>메가엠지씨커피기흥역점</t>
  </si>
  <si>
    <t>Tiss-지방재배치</t>
  </si>
  <si>
    <t>강남썬약국</t>
  </si>
  <si>
    <t>쿠팡이츠-금화돈까스</t>
  </si>
  <si>
    <t>강남역-&gt;집</t>
  </si>
  <si>
    <t>본죽앤비빔밥</t>
  </si>
  <si>
    <t>본죽-단호박죽(x2), 특해물죽</t>
  </si>
  <si>
    <t>지에스(GS)25 기흥AK점</t>
  </si>
  <si>
    <t>GS25-월드콘(x10)</t>
  </si>
  <si>
    <t>모바일티머니선불형</t>
  </si>
  <si>
    <t>아이폰 교통카드 충전</t>
  </si>
  <si>
    <t>쿠팡-지비츠(JM)</t>
  </si>
  <si>
    <t>어랏오브</t>
  </si>
  <si>
    <t>네이버-Tiss 팬티(x8)</t>
  </si>
  <si>
    <t>세금</t>
  </si>
  <si>
    <t>재산세(주택)</t>
  </si>
  <si>
    <t>삼성화07024</t>
  </si>
  <si>
    <t>쿠팡-표고버섯, 베이컨, 애호박, 감자, 두부</t>
  </si>
  <si>
    <t>쿠팡-차돌양지(1kg)</t>
  </si>
  <si>
    <t>쿠팡-다시다</t>
  </si>
  <si>
    <t>*103원캐쉬백롯데슈퍼 P기</t>
  </si>
  <si>
    <t>롯데슈퍼-치킨, 무, 감자칩(x2)</t>
  </si>
  <si>
    <t>MS - 꽃다발</t>
  </si>
  <si>
    <t>써니드플레르</t>
  </si>
  <si>
    <t>삼성07000</t>
  </si>
  <si>
    <t>박*선</t>
  </si>
  <si>
    <t>촬영비</t>
  </si>
  <si>
    <t>KFC양재동</t>
  </si>
  <si>
    <t>KFC_KOREA</t>
  </si>
  <si>
    <t>(주)뱅뱅막국수</t>
  </si>
  <si>
    <t>쿠팡이츠-바른국밥</t>
  </si>
  <si>
    <t>소민지 책임 생선</t>
  </si>
  <si>
    <t>정진 책임 생선</t>
  </si>
  <si>
    <t>쿠팡이츠-커피놀이터콩(팥빙수)</t>
  </si>
  <si>
    <t>배민-돈까스명가</t>
  </si>
  <si>
    <t>광역버스 예치금</t>
  </si>
  <si>
    <t>쿠팡-파슬리 가루</t>
  </si>
  <si>
    <t>쿠팡-니트릴 장갑</t>
  </si>
  <si>
    <t>쿠팡-스프라이트 제로(24cn)</t>
  </si>
  <si>
    <t>티머니버스</t>
  </si>
  <si>
    <t>Tiss 교통비</t>
  </si>
  <si>
    <t>에이마트-포카칩</t>
  </si>
  <si>
    <t>쿠팡-토장(900g x2)</t>
  </si>
  <si>
    <t>우명덕님 기일(망고)</t>
  </si>
  <si>
    <t>우명덕님 기일(택시)</t>
  </si>
  <si>
    <t>쿠팡-프로쉬 식세기 클리너</t>
  </si>
  <si>
    <t>쿠팡이츠-금화왕돈까스</t>
  </si>
  <si>
    <t>준호(메이탄)</t>
  </si>
  <si>
    <t>네이버-침대틈새쿠션</t>
  </si>
  <si>
    <t>이승민 책임 생선</t>
  </si>
  <si>
    <t>롯데마트-비빔밥(x2)</t>
  </si>
  <si>
    <t>GS25-비빔밥(x2)</t>
  </si>
  <si>
    <t>쿠팡-엘제이드 생수박 주스(x6)</t>
  </si>
  <si>
    <t>쿠팡-햇반(x8)</t>
  </si>
  <si>
    <t>쿠팡-내열 도시락(x10)</t>
  </si>
  <si>
    <t>롯데마트-식빵</t>
  </si>
  <si>
    <t>네이버-환풍기(티오람 미니)</t>
  </si>
  <si>
    <t>JM 꼼꼼(8/9~10)</t>
  </si>
  <si>
    <t>빗썸842</t>
  </si>
  <si>
    <t>빗썸</t>
  </si>
  <si>
    <t>전주 여행 숙소(8/16~17)</t>
  </si>
  <si>
    <t>전주 여행 시외버스(8/16~17)</t>
  </si>
  <si>
    <t>려</t>
  </si>
  <si>
    <t>스시 려(서울대입구)</t>
  </si>
  <si>
    <t>벌툰 몽유도원 서울대입구역점</t>
  </si>
  <si>
    <t>벌툰-라면(진라면 순한맛)</t>
  </si>
  <si>
    <t>전주전통술박물관</t>
  </si>
  <si>
    <t>일품향</t>
  </si>
  <si>
    <t>카페홍시궁본점</t>
  </si>
  <si>
    <t>카카오_택시_0</t>
  </si>
  <si>
    <t>도토리매점</t>
  </si>
  <si>
    <t>전주시외버스터미널-보리차</t>
  </si>
  <si>
    <t>G마켓</t>
  </si>
  <si>
    <t>G마켓-AHC 선스틱(X2)</t>
  </si>
  <si>
    <t>쿠팡-전자기기 청소용품</t>
  </si>
  <si>
    <t>팀호완삼성점</t>
  </si>
  <si>
    <t>유진 책임 저녁</t>
  </si>
  <si>
    <t>코레일유통주식회사(기흥역)</t>
  </si>
  <si>
    <t>기흥역 빵집</t>
  </si>
  <si>
    <t>쿠팡-뚫어뻥</t>
  </si>
  <si>
    <t>쿠팡-돼지고기, 느타리버섯, 양파, 콩비지</t>
  </si>
  <si>
    <t>PlayStation Network</t>
  </si>
  <si>
    <t>PS 타이틀-스파이더맨</t>
  </si>
  <si>
    <t>쿠팡-에스쁘아 선크림</t>
  </si>
  <si>
    <t>모임 후 귀가(전승엽 책임님)</t>
  </si>
  <si>
    <t>쿠팡-로보락 더스트백(x10)</t>
  </si>
  <si>
    <t>PS5(유진)</t>
  </si>
  <si>
    <t>위덱</t>
  </si>
  <si>
    <t>환풍기 설치비</t>
  </si>
  <si>
    <t>삼성08000</t>
  </si>
  <si>
    <t>주민세</t>
  </si>
  <si>
    <t>주민세(개인분)</t>
  </si>
  <si>
    <t>삼성화08025</t>
  </si>
  <si>
    <t>쿠팡-곰팡이제거젤(x2)</t>
  </si>
  <si>
    <t>29CM</t>
  </si>
  <si>
    <t>주방칼-글오벌나이프 G5</t>
  </si>
  <si>
    <t>현대그린푸드현대자동차남부하이테크센터카페베즐리</t>
  </si>
  <si>
    <t>취복루</t>
  </si>
  <si>
    <t>Tiss-이동찬 책임 환영회</t>
  </si>
  <si>
    <t>네이버-샤워부스 프로파일</t>
  </si>
  <si>
    <t>쿠팡-스크래퍼</t>
  </si>
  <si>
    <t>쿠팡-오뚜기피자(x4), 거대곰탕(x2)</t>
  </si>
  <si>
    <t>JM 병원</t>
  </si>
  <si>
    <t>행복치킨 정자점</t>
  </si>
  <si>
    <t>행복치킨(정자)</t>
  </si>
  <si>
    <t>본테르-청포도쥬스</t>
  </si>
  <si>
    <t>쿠팡-프로그 매직블럭</t>
  </si>
  <si>
    <t>쿠팡이츠-불란집떡볶이</t>
  </si>
  <si>
    <t>네이버-JM 양산</t>
  </si>
  <si>
    <t>쿠팡-혼합곡(2kg x2)</t>
  </si>
  <si>
    <t>쿠팡이츠-커피놀이터콩 팥빙수</t>
  </si>
  <si>
    <t>쿠팡-Tiss 휴대폰 케이스</t>
  </si>
  <si>
    <t>역전할머니맥주선릉점</t>
  </si>
  <si>
    <t>Tiss-한재웅대표님</t>
  </si>
  <si>
    <t>쿠팡-프링글스</t>
  </si>
  <si>
    <t>Tiss - 커피</t>
  </si>
  <si>
    <t>쿠팡-달걀, 리챔, 롤화장지, 오짬, 오징어</t>
  </si>
  <si>
    <t>김*원</t>
  </si>
  <si>
    <t>김종민(대학원) 결혼</t>
  </si>
  <si>
    <t>쿠팡-마이노멀 케첩</t>
  </si>
  <si>
    <t>쿠팡-두루마리휴지</t>
  </si>
  <si>
    <t>쿠팡-슈가링 왁스</t>
  </si>
  <si>
    <t>코레일유통기흥역</t>
  </si>
  <si>
    <t>지하철편의점-보리차, 숙취해소제</t>
  </si>
  <si>
    <t>메가엠지씨커피군포부곡중앙점</t>
  </si>
  <si>
    <t>Tiss-모비스 면접</t>
  </si>
  <si>
    <t>네이버8639</t>
  </si>
  <si>
    <t>쿠팡-비빔밥 재료</t>
  </si>
  <si>
    <t>Tiss-사당 모임 후 귀가</t>
  </si>
  <si>
    <t>토스 서용욱(</t>
  </si>
  <si>
    <t>삼청동 호떡</t>
  </si>
  <si>
    <t>(주)송강인터내셔날(삼청지점)</t>
  </si>
  <si>
    <t>JM 가방</t>
  </si>
  <si>
    <t>Tiss-용과같이8</t>
  </si>
  <si>
    <t>세븐일레븐메트로칸점</t>
  </si>
  <si>
    <t>Tiss-전자담배(일회용)</t>
  </si>
  <si>
    <t>쿠팡-현미햇반(x24)</t>
  </si>
  <si>
    <t>CJCGV_상품_오프라인</t>
  </si>
  <si>
    <t>CGV-칠리핫도그</t>
  </si>
  <si>
    <t>이름없는과일가게기흥점</t>
  </si>
  <si>
    <t>과일가게-버섯</t>
  </si>
  <si>
    <t>비알코리아시청역</t>
  </si>
  <si>
    <t>시청-던킨도넛</t>
  </si>
  <si>
    <t>라이크디즈</t>
  </si>
  <si>
    <t>국가유산청(유포러스)</t>
  </si>
  <si>
    <t>덕수궁 입장료</t>
  </si>
  <si>
    <t>가메골에프엔비 (주)</t>
  </si>
  <si>
    <t>남대문-가메골만두</t>
  </si>
  <si>
    <t>효자손만두</t>
  </si>
  <si>
    <t>남대문-식혜(x2)</t>
  </si>
  <si>
    <t>쿠팡-휴대폰 보호필름, 카메라보호 케이스</t>
  </si>
  <si>
    <t>이름없는과일가게 기흥점</t>
  </si>
  <si>
    <t xml:space="preserve">과일가게-멜론, 버섯
</t>
  </si>
  <si>
    <t>스타벅스코리아</t>
  </si>
  <si>
    <t>한재웅 대표님</t>
  </si>
  <si>
    <t>삼성화09026</t>
  </si>
  <si>
    <t>삼성09000</t>
  </si>
  <si>
    <t>쿠팡-대란 30구, 모듬쌈, 멜젓</t>
  </si>
  <si>
    <t>쿠팡-마이노멀 알룰로스</t>
  </si>
  <si>
    <t>쿠팡-저당 데리야끼 소스</t>
  </si>
  <si>
    <t>빵</t>
  </si>
  <si>
    <t>과일가게-애플바나나(x3)</t>
  </si>
  <si>
    <t>CU-햄버거</t>
  </si>
  <si>
    <t>호텔 시크릿몰</t>
  </si>
  <si>
    <t>대전 여행-대전 유성 아늑 호텔&amp;스파</t>
  </si>
  <si>
    <t>주식(통합)</t>
    <phoneticPr fontId="2" type="noConversion"/>
  </si>
  <si>
    <t>대출</t>
    <phoneticPr fontId="2" type="noConversion"/>
  </si>
  <si>
    <t>-</t>
    <phoneticPr fontId="2" type="noConversion"/>
  </si>
  <si>
    <t>씨유 기흥센트럴점</t>
  </si>
  <si>
    <t>CU-사리곰탕면(x2)</t>
  </si>
  <si>
    <t>*31원캐쉬백롯데슈퍼 P기흥</t>
  </si>
  <si>
    <t>롯데마트-주부9단 소세지(x3)</t>
  </si>
  <si>
    <t>롯데쇼핑_주</t>
  </si>
  <si>
    <t>롯데온-샤오미가습기 필터</t>
  </si>
  <si>
    <t>쿠팡이츠-한솥도시락</t>
  </si>
  <si>
    <t>쿠팡-샤오미 가습기 필터</t>
  </si>
  <si>
    <t>코스트코-단백질 쉐이크</t>
  </si>
  <si>
    <t>순대실록삼성역점</t>
  </si>
  <si>
    <t>이승민 책임</t>
  </si>
  <si>
    <t>토스 이매숙</t>
  </si>
  <si>
    <t>길거리 햄버거, 호떡</t>
  </si>
  <si>
    <t>밀양돼지국밥</t>
  </si>
  <si>
    <t>네이버-키보드(다얼유 A104 MASTER 8K)</t>
  </si>
  <si>
    <t>삼성10000</t>
  </si>
  <si>
    <t>네이버 - MGSD 윙건담 액션 베이스</t>
  </si>
  <si>
    <t>NHNKCP</t>
  </si>
  <si>
    <t>교촌치킨</t>
  </si>
  <si>
    <t>환급행사</t>
  </si>
  <si>
    <t>국선생(기흥점)</t>
  </si>
  <si>
    <t>국선생-콩나물</t>
  </si>
  <si>
    <t>네이버페이-MGSD 윙건담</t>
  </si>
  <si>
    <t>쿠팡-산채비빔 맛다시</t>
  </si>
  <si>
    <t>과일가게-양배추, 파인애플</t>
  </si>
  <si>
    <t>씨제이올리브영(주)AK기흥점</t>
  </si>
  <si>
    <t>올리브영-실키테라피, 단백질쉐이크</t>
  </si>
  <si>
    <t>NICE 결제대행(문화비)_1</t>
  </si>
  <si>
    <t>수원시립미술관 입장료</t>
  </si>
  <si>
    <t>연밀</t>
  </si>
  <si>
    <t>연밀-만두</t>
  </si>
  <si>
    <t>토스 유재경</t>
  </si>
  <si>
    <t>고로케</t>
  </si>
  <si>
    <t>토스 유선희</t>
  </si>
  <si>
    <t>호떡</t>
  </si>
  <si>
    <t>동성분식</t>
  </si>
  <si>
    <t>떡볶이세트</t>
  </si>
  <si>
    <t>쿠팡-선크림(x3)</t>
  </si>
  <si>
    <t>영동갈비살</t>
  </si>
  <si>
    <t>투자</t>
  </si>
  <si>
    <t>영덕회식당 시청점</t>
  </si>
  <si>
    <t>모임 w.은주</t>
  </si>
  <si>
    <t>삼성화10027</t>
  </si>
  <si>
    <t>쿠팡-들깨가루</t>
  </si>
  <si>
    <t>쿠팡-초고추장</t>
  </si>
  <si>
    <t>쿠팡-우찌다 마비 4600 드로잉펜</t>
  </si>
  <si>
    <t>GS25-라파게티(x3)</t>
  </si>
  <si>
    <t>코스트코-모다모다 샴푸</t>
  </si>
  <si>
    <t>네이버페이-궁극니퍼</t>
  </si>
  <si>
    <t>이케아-장식장</t>
  </si>
  <si>
    <t>과일가게-올리브오일+레몬</t>
  </si>
  <si>
    <t>태례님 소평소국밥(8개)</t>
  </si>
  <si>
    <t>과일가게-호박고구마(1kg)</t>
  </si>
  <si>
    <t>*49원캐쉬백에이치디씨아이파</t>
  </si>
  <si>
    <t>마라고양이-키링, 펜</t>
  </si>
  <si>
    <t>에이치디씨아이파크몰 주식회사</t>
  </si>
  <si>
    <t>아이파크몰-떡볶이, 오징어튀김</t>
  </si>
  <si>
    <t>아이파크몰-고로케</t>
  </si>
  <si>
    <t>*55원캐쉬백에이치디씨아이파</t>
  </si>
  <si>
    <t>너구리 컵라면 홀더</t>
  </si>
  <si>
    <t>건담베이스-MGSD(프리덤 클리어), SD(에일,뮤,프리덤)</t>
  </si>
  <si>
    <t>(주)헬로우아폴로</t>
  </si>
  <si>
    <t>키티 가챠</t>
  </si>
  <si>
    <t>창성옥</t>
  </si>
  <si>
    <t>빽다방 용인구성역점</t>
  </si>
  <si>
    <t>보험금</t>
  </si>
  <si>
    <t>삼성생명보험</t>
  </si>
  <si>
    <t>약과</t>
  </si>
  <si>
    <t>올리브영센트럴강남타운</t>
  </si>
  <si>
    <t>올리브영(강남)-팩(x10), 핸드크림(달바), 과자, 단백질쿠키</t>
  </si>
  <si>
    <t>다이소(강남) - 시카크림(x2)x, 모다모다샴푸(x4), 가글통, 전자렌지 세척</t>
  </si>
  <si>
    <t>토스 문정미</t>
  </si>
  <si>
    <t>담소소사골순대노량진점</t>
  </si>
  <si>
    <t>꿈꾸는약국</t>
  </si>
  <si>
    <t>기쁨준내과</t>
  </si>
  <si>
    <t>요기요</t>
  </si>
  <si>
    <t>요기요-프랭크버거</t>
  </si>
  <si>
    <t>쿠팡-탄산수 라인바싸 플레인(500ml x40)</t>
  </si>
  <si>
    <t>깻잎</t>
  </si>
  <si>
    <t>600업비트</t>
  </si>
  <si>
    <t>카카오T일반택시_4</t>
  </si>
  <si>
    <t>택시(희락보리-집)</t>
  </si>
  <si>
    <t>희락보리</t>
  </si>
  <si>
    <t>티머니모빌리티</t>
  </si>
  <si>
    <t>택시(에버랜드-희락보리)</t>
  </si>
  <si>
    <t>에버랜드 기념품(서태례)</t>
  </si>
  <si>
    <t>택시(가치김밥-에버랜드)</t>
  </si>
  <si>
    <t>가치김밥</t>
  </si>
  <si>
    <t>GS25 - 보리차(x4)</t>
  </si>
  <si>
    <t>다이소 - 구강청결제통</t>
  </si>
  <si>
    <t>롯데월드(w.엄마)</t>
  </si>
  <si>
    <t>AK PLAZA 수원점</t>
  </si>
  <si>
    <t>MS - 키티 캐리어 네임텍</t>
  </si>
  <si>
    <t>건담베이스(수원점)</t>
  </si>
  <si>
    <t>브람스 마사지기(크랩)</t>
  </si>
  <si>
    <t>롯데몰수원점</t>
  </si>
  <si>
    <t>김성민커피(수원AK)</t>
  </si>
  <si>
    <t>JM 후아유 후드티</t>
  </si>
  <si>
    <t>오와스시</t>
  </si>
  <si>
    <t>쿠팡이츠-맥도널드</t>
  </si>
  <si>
    <t>프리모델 조립키트</t>
  </si>
  <si>
    <t>지에스25(GS25)기흥센트럴점</t>
  </si>
  <si>
    <t>GS25-쓰레기봉투</t>
  </si>
  <si>
    <t>쿠팡-등받이쿠션(x2)</t>
  </si>
  <si>
    <t>쿠팡-민트볼(20x4)</t>
  </si>
  <si>
    <t>쿠팡-마이크로화이바솜(1kgx2)</t>
  </si>
  <si>
    <t>쿠팡-프라모델용 니퍼</t>
  </si>
  <si>
    <t>쿠팡-구강세정제 검가드(1.2L x2)</t>
  </si>
  <si>
    <t>반다이남코코리아대전직영점</t>
  </si>
  <si>
    <t>건담베이스-건프라</t>
  </si>
  <si>
    <t>대전(스페이스챔프-대전광역버스터미널)</t>
  </si>
  <si>
    <t>챔프스페이스커피로스터즈</t>
  </si>
  <si>
    <t>토스 김해청</t>
  </si>
  <si>
    <t>대전 중앙시장 - 불고기버거</t>
  </si>
  <si>
    <t>삼층다락방대전은행점</t>
  </si>
  <si>
    <t>대전 룸카페</t>
  </si>
  <si>
    <t>로쏘주식회사</t>
  </si>
  <si>
    <t>성심당 샌드위치 - 무화과머시기</t>
  </si>
  <si>
    <t>토스 박정미</t>
  </si>
  <si>
    <t>JM - 셔츠</t>
  </si>
  <si>
    <t>시쥬</t>
  </si>
  <si>
    <t>중앙로지하상가-조각피자</t>
  </si>
  <si>
    <t>중앙로지하상가-햄치즈토스트</t>
  </si>
  <si>
    <t>오스하우스</t>
  </si>
  <si>
    <t>중앙로지하상가-조각피자(x2)</t>
  </si>
  <si>
    <t>JM 교통비</t>
  </si>
  <si>
    <t>태평소국밥</t>
  </si>
  <si>
    <t>태평소국밥 - 소국밥(x2), 육사시미(소), 소주</t>
  </si>
  <si>
    <t>씨제이올리브영(주)올리브영 대전타운</t>
  </si>
  <si>
    <t>올리브영 - 마스크팩, 립밤, CD</t>
  </si>
  <si>
    <t>다이소 - 충전기</t>
  </si>
  <si>
    <t>벌툰 대전둔산본점</t>
  </si>
  <si>
    <t>쿠팡 - 충전기</t>
  </si>
  <si>
    <t>정감미</t>
  </si>
  <si>
    <t>한밭수목원 편의점 - 썬칩</t>
  </si>
  <si>
    <t>카페브람스</t>
  </si>
  <si>
    <t>카페 브람스-오미자에이드</t>
  </si>
  <si>
    <t>동천홍식당</t>
  </si>
  <si>
    <t>대전 동천홍-사천탕면, 탕수육</t>
  </si>
  <si>
    <t>에버랜드리조트</t>
  </si>
  <si>
    <t>에버랜드 - 기념품</t>
  </si>
  <si>
    <t>에버랜드-레몽이</t>
  </si>
  <si>
    <t>에버랜드 - 아이스크림(x3)</t>
  </si>
  <si>
    <t>쿠팡 - 포지타노 레몬(750g)</t>
  </si>
  <si>
    <t>에버랜드 - 율환 입장권(x3)</t>
  </si>
  <si>
    <t>에버랜드 - 입장권(x2)</t>
  </si>
  <si>
    <t>추석명절지원금</t>
  </si>
  <si>
    <t>슬립앤슬립</t>
  </si>
  <si>
    <t>JM 아이유 베개</t>
  </si>
  <si>
    <t>JM 르무통</t>
  </si>
  <si>
    <t>자산</t>
    <phoneticPr fontId="2" type="noConversion"/>
  </si>
  <si>
    <t>부동산</t>
    <phoneticPr fontId="2" type="noConversion"/>
  </si>
  <si>
    <t>계좌</t>
    <phoneticPr fontId="2" type="noConversion"/>
  </si>
  <si>
    <t>Min</t>
    <phoneticPr fontId="2" type="noConversion"/>
  </si>
  <si>
    <t>Max</t>
    <phoneticPr fontId="2" type="noConversion"/>
  </si>
  <si>
    <t>대출금</t>
    <phoneticPr fontId="2" type="noConversion"/>
  </si>
  <si>
    <t>현금</t>
    <phoneticPr fontId="2" type="noConversion"/>
  </si>
  <si>
    <t>압정</t>
    <phoneticPr fontId="2" type="noConversion"/>
  </si>
  <si>
    <t>주식</t>
    <phoneticPr fontId="2" type="noConversion"/>
  </si>
  <si>
    <t>코인</t>
    <phoneticPr fontId="2" type="noConversion"/>
  </si>
  <si>
    <t>퇴직금</t>
    <phoneticPr fontId="2" type="noConversion"/>
  </si>
  <si>
    <t>지급일수*일평균급여</t>
    <phoneticPr fontId="2" type="noConversion"/>
  </si>
  <si>
    <t>퇴직급계산</t>
    <phoneticPr fontId="2" type="noConversion"/>
  </si>
  <si>
    <t>근속일수*30/365</t>
    <phoneticPr fontId="2" type="noConversion"/>
  </si>
  <si>
    <t>지급일수</t>
    <phoneticPr fontId="2" type="noConversion"/>
  </si>
  <si>
    <t>일평균급여</t>
    <phoneticPr fontId="2" type="noConversion"/>
  </si>
  <si>
    <t>퇴직발생전 3개월간 받음 임금의 총액 / 그 기간의 총일수</t>
    <phoneticPr fontId="2" type="noConversion"/>
  </si>
  <si>
    <t>마이너스</t>
    <phoneticPr fontId="2" type="noConversion"/>
  </si>
  <si>
    <t>필요금액</t>
    <phoneticPr fontId="2" type="noConversion"/>
  </si>
  <si>
    <t>복비(팔때)</t>
    <phoneticPr fontId="2" type="noConversion"/>
  </si>
  <si>
    <t>복비(살때)</t>
    <phoneticPr fontId="2" type="noConversion"/>
  </si>
  <si>
    <t>취득세</t>
    <phoneticPr fontId="2" type="noConversion"/>
  </si>
  <si>
    <t>이사비용</t>
    <phoneticPr fontId="2" type="noConversion"/>
  </si>
  <si>
    <t>+@</t>
    <phoneticPr fontId="2" type="noConversion"/>
  </si>
  <si>
    <t>+가전</t>
    <phoneticPr fontId="2" type="noConversion"/>
  </si>
  <si>
    <t>+인테리어</t>
    <phoneticPr fontId="2" type="noConversion"/>
  </si>
  <si>
    <t>이사갈집</t>
    <phoneticPr fontId="2" type="noConversion"/>
  </si>
  <si>
    <t>대출필요</t>
    <phoneticPr fontId="2" type="noConversion"/>
  </si>
  <si>
    <t>원리금균등</t>
    <phoneticPr fontId="2" type="noConversion"/>
  </si>
  <si>
    <t>주식계좌</t>
    <phoneticPr fontId="2" type="noConversion"/>
  </si>
  <si>
    <t>연차+성과급</t>
    <phoneticPr fontId="2" type="noConversion"/>
  </si>
  <si>
    <t>이사</t>
    <phoneticPr fontId="2" type="noConversion"/>
  </si>
  <si>
    <t>보관비</t>
    <phoneticPr fontId="2" type="noConversion"/>
  </si>
  <si>
    <t>입주청소</t>
    <phoneticPr fontId="2" type="noConversion"/>
  </si>
  <si>
    <t>도배</t>
    <phoneticPr fontId="2" type="noConversion"/>
  </si>
  <si>
    <t>엘리베이터 사용료</t>
    <phoneticPr fontId="2" type="noConversion"/>
  </si>
  <si>
    <t>식세기 이전</t>
    <phoneticPr fontId="2" type="noConversion"/>
  </si>
  <si>
    <t>에어컨 이전</t>
    <phoneticPr fontId="2" type="noConversion"/>
  </si>
  <si>
    <t>신규가전</t>
    <phoneticPr fontId="2" type="noConversion"/>
  </si>
  <si>
    <t>매도</t>
    <phoneticPr fontId="2" type="noConversion"/>
  </si>
  <si>
    <t>매수</t>
    <phoneticPr fontId="2" type="noConversion"/>
  </si>
  <si>
    <t>자본</t>
    <phoneticPr fontId="2" type="noConversion"/>
  </si>
  <si>
    <t>계좌(KB)</t>
    <phoneticPr fontId="2" type="noConversion"/>
  </si>
  <si>
    <t>계좌(토스)</t>
    <phoneticPr fontId="2" type="noConversion"/>
  </si>
  <si>
    <t>계좌(삼증)</t>
    <phoneticPr fontId="2" type="noConversion"/>
  </si>
  <si>
    <t>상여금</t>
    <phoneticPr fontId="2" type="noConversion"/>
  </si>
  <si>
    <t>대출(구)</t>
    <phoneticPr fontId="2" type="noConversion"/>
  </si>
  <si>
    <t>대출(신)</t>
    <phoneticPr fontId="2" type="noConversion"/>
  </si>
  <si>
    <t>?</t>
    <phoneticPr fontId="2" type="noConversion"/>
  </si>
  <si>
    <t>min</t>
    <phoneticPr fontId="2" type="noConversion"/>
  </si>
  <si>
    <t>me</t>
    <phoneticPr fontId="2" type="noConversion"/>
  </si>
  <si>
    <t>인덕션 복구비</t>
    <phoneticPr fontId="2" type="noConversion"/>
  </si>
  <si>
    <t>인덕션 이전</t>
    <phoneticPr fontId="2" type="noConversion"/>
  </si>
  <si>
    <t>식세기 복구비</t>
    <phoneticPr fontId="2" type="noConversion"/>
  </si>
  <si>
    <t>정수기 이전</t>
    <phoneticPr fontId="2" type="noConversion"/>
  </si>
  <si>
    <t>(이사비용 포함)</t>
    <phoneticPr fontId="2" type="noConversion"/>
  </si>
  <si>
    <t>에어컨 판매</t>
    <phoneticPr fontId="2" type="noConversion"/>
  </si>
  <si>
    <t>인덕션 판매</t>
    <phoneticPr fontId="2" type="noConversion"/>
  </si>
  <si>
    <t>식세기 판매</t>
    <phoneticPr fontId="2" type="noConversion"/>
  </si>
  <si>
    <t>-&gt; 보관 X</t>
    <phoneticPr fontId="2" type="noConversion"/>
  </si>
  <si>
    <t>식세기 설치</t>
    <phoneticPr fontId="2" type="noConversion"/>
  </si>
  <si>
    <t>인덕션 설치</t>
    <phoneticPr fontId="2" type="noConversion"/>
  </si>
  <si>
    <t>정수기 설치</t>
    <phoneticPr fontId="2" type="noConversion"/>
  </si>
  <si>
    <t>코레일유통가신디지털단지역</t>
  </si>
  <si>
    <t>가산디지털단지역 어묵</t>
  </si>
  <si>
    <t>디트로이트1달러피자</t>
  </si>
  <si>
    <t>GS25에스광명사거리역점</t>
  </si>
  <si>
    <t>GS25-물</t>
  </si>
  <si>
    <t>콩두</t>
  </si>
  <si>
    <t>스너그로스터리</t>
  </si>
  <si>
    <t>철산역-커피</t>
  </si>
  <si>
    <t>JM 이모티콘</t>
  </si>
  <si>
    <t>네이버-M365 1년구독</t>
  </si>
  <si>
    <t>삼성464</t>
  </si>
  <si>
    <t>쿠팡-방울토마토(2kg), 비비고육개장(x6), 닥터유단백질바(1.2kg)</t>
  </si>
  <si>
    <t>맛나</t>
  </si>
  <si>
    <t>JM-지하철(부평역) 김밥</t>
  </si>
  <si>
    <t>쿠팡-율 생일선물(손톱깍이)</t>
  </si>
  <si>
    <t>쿠팡-감자(5kg)</t>
  </si>
  <si>
    <t>쿠팡-초정밀핀셋(x2), 무지외반증 교정기</t>
  </si>
  <si>
    <t>AKPLAZA수원점</t>
  </si>
  <si>
    <t>수원 건담베이스 - HG(1), SD(5)</t>
  </si>
  <si>
    <t>수원 타미야 - 패널라인 엑센트, 아크릴 신너, 집게, 패널</t>
  </si>
  <si>
    <t>용성통닭</t>
  </si>
  <si>
    <t>수원-갈비통닭</t>
  </si>
  <si>
    <t>*15원캐쉬백다이소</t>
  </si>
  <si>
    <t>쿠팡-에나멜신너(X-20)</t>
  </si>
  <si>
    <t>네이버-가이아노츠 피니쉬마스터(x2)</t>
  </si>
  <si>
    <t>쿠팡-G펜촉+펜대</t>
  </si>
  <si>
    <t>쿠팡-유리사포</t>
  </si>
  <si>
    <t>쿠팡-세붓</t>
  </si>
  <si>
    <t>네이버-솔벤+미세면봉</t>
  </si>
  <si>
    <t>쿠팡-닭안심, 달걀, 완두콩</t>
  </si>
  <si>
    <t>쿠팡-튀김우동(x16)</t>
  </si>
  <si>
    <t>알리-액션키트(취소), LED</t>
  </si>
  <si>
    <t>알리 - MGSD 에어리얼 액션베이스</t>
  </si>
  <si>
    <t>전자담배</t>
  </si>
  <si>
    <t>한국맥도날드코엑스점</t>
  </si>
  <si>
    <t>신세계프라퍼티코엑스몰</t>
  </si>
  <si>
    <t>코엑스건담베이스-SDCS 캘리번</t>
  </si>
  <si>
    <t>이엔에스씨스터즈</t>
  </si>
  <si>
    <t>만화카페 - 팥음료</t>
  </si>
  <si>
    <t>인터넷상거래_KSNET</t>
  </si>
  <si>
    <t>포뷰트 - 볼륨핀처, 헤어미스트, 헤어퍼퓸 등</t>
  </si>
  <si>
    <t>종합소득세</t>
  </si>
  <si>
    <t>지방세입금_인터넷지로_App</t>
  </si>
  <si>
    <t>지방세_22 23 24</t>
  </si>
  <si>
    <t>국세앱카드</t>
  </si>
  <si>
    <t>종합소득세_추가_2022</t>
  </si>
  <si>
    <t>기흥종합세</t>
  </si>
  <si>
    <t>종합소득세_추가_2023</t>
  </si>
  <si>
    <t>종합소득세_추가_2024</t>
  </si>
  <si>
    <t>*90원캐쉬백스타벅스기흥역A</t>
  </si>
  <si>
    <t>기흥 스타벅스-키링(x2)</t>
  </si>
  <si>
    <t>코레일유통용산역</t>
  </si>
  <si>
    <t>용산역-삼진어묵</t>
  </si>
  <si>
    <t>용산 아이파트몰-떡볶이</t>
  </si>
  <si>
    <t>에이치디씨아이파크몰</t>
  </si>
  <si>
    <t>용산 타미야-마크핏</t>
  </si>
  <si>
    <t>PS 타이틀-아스트로봇</t>
  </si>
  <si>
    <t>화목</t>
  </si>
  <si>
    <t>화목순대국</t>
  </si>
  <si>
    <t>이도프라퍼티스인사동지점</t>
  </si>
  <si>
    <t>Tiss-연말선물(택배비)</t>
  </si>
  <si>
    <t>Tiss-연말 선물</t>
  </si>
  <si>
    <t>제트렌드</t>
  </si>
  <si>
    <t>네이버-모유파워 티니어 유닛</t>
  </si>
  <si>
    <t>온누리약국-타이레놀(x2)</t>
  </si>
  <si>
    <t>GS25-삼각김밥(x2)</t>
  </si>
  <si>
    <t>컬러가이즈</t>
  </si>
  <si>
    <t>네이버-런너스탠드(x4), 마커(x3)</t>
  </si>
  <si>
    <t>배민-처갓집양념치킨</t>
  </si>
  <si>
    <t>삼성화11028</t>
  </si>
  <si>
    <t>삼성11000</t>
  </si>
  <si>
    <t>쿠팡-그랜즈 레미디</t>
  </si>
  <si>
    <t>*50원캐쉬백다이소</t>
  </si>
  <si>
    <t>다이소-Tiss 선물용 쇼핑백(x10)</t>
  </si>
  <si>
    <t>호선생전</t>
  </si>
  <si>
    <t>Tiss-WG 모임</t>
  </si>
  <si>
    <t>델피데칼</t>
  </si>
  <si>
    <t>네이버-델피데칼(데칼x4, 스폰지사포, 데칼트레이)</t>
  </si>
  <si>
    <t>배민-갓튀긴후라이드(w.MS)</t>
  </si>
  <si>
    <t>블루보틀커피코리아</t>
  </si>
  <si>
    <t>삼성건베-사자비SDEX</t>
  </si>
  <si>
    <t>NS몰</t>
  </si>
  <si>
    <t>후아유 패딩(JM, Tiss)</t>
  </si>
  <si>
    <t>달떡볶이</t>
  </si>
  <si>
    <t>건담용 마카</t>
    <phoneticPr fontId="2" type="noConversion"/>
  </si>
  <si>
    <t>베스킨라빈스 용인기흥역점</t>
  </si>
  <si>
    <t>언더라인코퍼레이션</t>
  </si>
  <si>
    <t>브라이언스커피포스코사거리</t>
  </si>
  <si>
    <t>한화갤러리아광교점식품</t>
  </si>
  <si>
    <t>올리브영AK기흥점</t>
  </si>
  <si>
    <t>남도주먹고기동백스포점</t>
  </si>
  <si>
    <t>오프커피랩(OFFcoffeelab)</t>
  </si>
  <si>
    <t>오프커피랩</t>
  </si>
  <si>
    <t>어정스낵</t>
  </si>
  <si>
    <t>어정스파</t>
  </si>
  <si>
    <t>카카오T일반택시_법인_2</t>
  </si>
  <si>
    <t>삼성12000</t>
  </si>
  <si>
    <t>휴니크</t>
  </si>
  <si>
    <t>크리스마스 중식재료</t>
  </si>
  <si>
    <t>삼성화12029</t>
  </si>
  <si>
    <t>카페엘마르코</t>
  </si>
  <si>
    <t>다소공방</t>
  </si>
  <si>
    <t>씨제이올리브영무교동점</t>
  </si>
  <si>
    <t>삼원온누리약국</t>
  </si>
  <si>
    <t>옥돌커피</t>
  </si>
  <si>
    <t>생활맥주삼성역점</t>
  </si>
  <si>
    <t>교보문고_인터넷_문화비</t>
  </si>
  <si>
    <t>킴스전자</t>
  </si>
  <si>
    <t>투썸플레이스포스코사거리점</t>
  </si>
  <si>
    <t>영덕회식당시청점</t>
  </si>
  <si>
    <t>남자선물천국</t>
  </si>
  <si>
    <t>다날_비트코퍼레이션_키오스크</t>
  </si>
  <si>
    <t>카카오프렌즈 판교아지트점</t>
  </si>
  <si>
    <t>한상</t>
  </si>
  <si>
    <t>투썸플레이스</t>
  </si>
  <si>
    <t>반다이남코코리아캡슐2</t>
  </si>
  <si>
    <t>(주)케이에프씨코리아 KFC수원역광장</t>
  </si>
  <si>
    <t>하비다모아</t>
  </si>
  <si>
    <t>반다이남코코리아몰</t>
  </si>
  <si>
    <t>통장 이자</t>
  </si>
  <si>
    <t>쿠팡-짜짜로니(x10)</t>
  </si>
  <si>
    <t>에슐리 스프(x15)</t>
  </si>
  <si>
    <t>쿠팡이츠-짬뽕관</t>
  </si>
  <si>
    <t>택시(광교-&gt;기흥)</t>
  </si>
  <si>
    <t>광교 갤러리아-닭강정</t>
  </si>
  <si>
    <t>GS25-칸쵸(x2), 킨더조이(x2)</t>
  </si>
  <si>
    <t>올리브영-립밤(x2)</t>
  </si>
  <si>
    <t>스파오 후드티(JM)</t>
  </si>
  <si>
    <t>무인양품-펜, 형광펜</t>
  </si>
  <si>
    <t>남도주먹고기 (x4)</t>
  </si>
  <si>
    <t>아이스아메리카노(JM)</t>
  </si>
  <si>
    <t>에스프레소(Tiss)</t>
  </si>
  <si>
    <t>찜질방-식혜</t>
  </si>
  <si>
    <t>찜질방 티켓</t>
  </si>
  <si>
    <t>택시(집-&gt;찜질방)</t>
  </si>
  <si>
    <t>콩나물+@</t>
  </si>
  <si>
    <t>Tiss-무인카페머신</t>
  </si>
  <si>
    <t>코스트코-위스키, 스낵, 빵, 참치, 칫솔 등</t>
  </si>
  <si>
    <t>에이마트-맥주(x4)</t>
  </si>
  <si>
    <t>쿠팡-치킨파우더</t>
  </si>
  <si>
    <t>과일가게-콩나물, 버섯</t>
  </si>
  <si>
    <t>크리스마스 재료</t>
  </si>
  <si>
    <t>쿠팡이츠-불란집 떡볶이</t>
  </si>
  <si>
    <t>JM 귀걸이 (덕수궁돌담길)</t>
  </si>
  <si>
    <t>올리브영-마스크팩+@</t>
  </si>
  <si>
    <t>화목순댓국</t>
  </si>
  <si>
    <t>JM 손가락 파스</t>
  </si>
  <si>
    <t>송년회 3차-정일균, 정진</t>
  </si>
  <si>
    <t>쿠팡-포테토칩(x3)</t>
  </si>
  <si>
    <t>동찬 선물-GRIT</t>
  </si>
  <si>
    <t>모비스 송년회 준비-이솝 핸드크림</t>
  </si>
  <si>
    <t>삼송빵집</t>
  </si>
  <si>
    <t>쿠팡-순두부 찌개 양념</t>
  </si>
  <si>
    <t>네이버-아트나이프</t>
  </si>
  <si>
    <t>강해원 책임 부친상</t>
  </si>
  <si>
    <t>배민-서태례님 생일선물(족발)</t>
  </si>
  <si>
    <t>쿠팡-악어발팩(x4)</t>
  </si>
  <si>
    <t>판교역-음료수(x2)</t>
  </si>
  <si>
    <t>카카오프렌즈-스티커(x2)</t>
  </si>
  <si>
    <t>판교 한상(한식뷔페)</t>
  </si>
  <si>
    <t>투썸플레이스-커피(x2), 에그번</t>
  </si>
  <si>
    <t>기흥역 편의점-생수</t>
  </si>
  <si>
    <t>코스트코-닭강정, 하몽크래커, 모다모다 샴푸, 호빵</t>
  </si>
  <si>
    <t>쿠팡-MGSD 발바토스</t>
  </si>
  <si>
    <t>건담베이스(수원)-언제오려나</t>
  </si>
  <si>
    <t>AK(수원)-오니기리</t>
  </si>
  <si>
    <t>KFC(수원)-JM 저녁</t>
  </si>
  <si>
    <t>네이버-건프라이머 쉐이드컬러 세트</t>
  </si>
  <si>
    <t>쿠팡-오징어라면(x4)</t>
  </si>
  <si>
    <t>쿠팡-방울토마토, 알배추, 떡국떡, 중화면, 애호박, 순두부</t>
  </si>
  <si>
    <t>쿠팡-핫팩</t>
  </si>
  <si>
    <t>과일가게-올리브오일 레몬샷(x4)</t>
  </si>
  <si>
    <t>Tiss-삼성 언더라인(커피)</t>
  </si>
  <si>
    <t>반다이몰-MGSD 윙제로</t>
  </si>
  <si>
    <t>[팔집]</t>
    <phoneticPr fontId="2" type="noConversion"/>
  </si>
  <si>
    <t>[살집]</t>
    <phoneticPr fontId="2" type="noConversion"/>
  </si>
  <si>
    <t>중문</t>
    <phoneticPr fontId="2" type="noConversion"/>
  </si>
  <si>
    <t>휴가비</t>
    <phoneticPr fontId="2" type="noConversion"/>
  </si>
  <si>
    <t>~6500</t>
    <phoneticPr fontId="2" type="noConversion"/>
  </si>
  <si>
    <t>지출</t>
    <phoneticPr fontId="2" type="noConversion"/>
  </si>
  <si>
    <t>잔고</t>
    <phoneticPr fontId="2" type="noConversion"/>
  </si>
  <si>
    <t>총계</t>
    <phoneticPr fontId="2" type="noConversion"/>
  </si>
  <si>
    <t>현금(Tiss)</t>
    <phoneticPr fontId="2" type="noConversion"/>
  </si>
  <si>
    <t>해외 달러</t>
    <phoneticPr fontId="2" type="noConversion"/>
  </si>
  <si>
    <t>[대출]</t>
    <phoneticPr fontId="2" type="noConversion"/>
  </si>
  <si>
    <t>[자본]</t>
    <phoneticPr fontId="2" type="noConversion"/>
  </si>
  <si>
    <t>[기센푸]</t>
    <phoneticPr fontId="2" type="noConversion"/>
  </si>
  <si>
    <t>매매약정금</t>
    <phoneticPr fontId="2" type="noConversion"/>
  </si>
  <si>
    <t>계약금</t>
    <phoneticPr fontId="2" type="noConversion"/>
  </si>
  <si>
    <t>중도금</t>
    <phoneticPr fontId="2" type="noConversion"/>
  </si>
  <si>
    <t>잔금</t>
    <phoneticPr fontId="2" type="noConversion"/>
  </si>
  <si>
    <t>[철클]</t>
    <phoneticPr fontId="2" type="noConversion"/>
  </si>
  <si>
    <t>[이사]</t>
    <phoneticPr fontId="2" type="noConversion"/>
  </si>
  <si>
    <t>중계수수료</t>
    <phoneticPr fontId="2" type="noConversion"/>
  </si>
  <si>
    <t>토허제(법무사)</t>
    <phoneticPr fontId="2" type="noConversion"/>
  </si>
  <si>
    <t>등기(법무사)</t>
    <phoneticPr fontId="2" type="noConversion"/>
  </si>
  <si>
    <t>이사비용</t>
  </si>
  <si>
    <t>인덕션 이전</t>
  </si>
  <si>
    <t>정수기 이전</t>
  </si>
  <si>
    <t>인터넷 이전</t>
    <phoneticPr fontId="2" type="noConversion"/>
  </si>
  <si>
    <t>가구 배출</t>
    <phoneticPr fontId="2" type="noConversion"/>
  </si>
  <si>
    <t>엘베 사용료</t>
    <phoneticPr fontId="2" type="noConversion"/>
  </si>
  <si>
    <t>해외 예수금 이체</t>
    <phoneticPr fontId="2" type="noConversion"/>
  </si>
  <si>
    <t>취등록세</t>
    <phoneticPr fontId="2" type="noConversion"/>
  </si>
  <si>
    <t>~3/4(수)</t>
    <phoneticPr fontId="2" type="noConversion"/>
  </si>
  <si>
    <t>~4/17(금)</t>
    <phoneticPr fontId="2" type="noConversion"/>
  </si>
  <si>
    <t>계약일</t>
    <phoneticPr fontId="2" type="noConversion"/>
  </si>
  <si>
    <t>주식 정리(완)</t>
    <phoneticPr fontId="2" type="noConversion"/>
  </si>
  <si>
    <t>주식정리</t>
    <phoneticPr fontId="2" type="noConversion"/>
  </si>
  <si>
    <t>시작</t>
    <phoneticPr fontId="2" type="noConversion"/>
  </si>
  <si>
    <t>해외 예수금</t>
    <phoneticPr fontId="2" type="noConversion"/>
  </si>
  <si>
    <t>계약금+중계수수료</t>
    <phoneticPr fontId="2" type="noConversion"/>
  </si>
  <si>
    <t>이사 비용 및 예약</t>
    <phoneticPr fontId="2" type="noConversion"/>
  </si>
  <si>
    <t>입주 청소 및 예약</t>
    <phoneticPr fontId="2" type="noConversion"/>
  </si>
  <si>
    <t>등기 비용</t>
    <phoneticPr fontId="2" type="noConversion"/>
  </si>
  <si>
    <t>특약 추가 할 내용</t>
    <phoneticPr fontId="2" type="noConversion"/>
  </si>
  <si>
    <t>법무사</t>
    <phoneticPr fontId="2" type="noConversion"/>
  </si>
  <si>
    <t>대출 헬퍼 수수료 및 내용</t>
    <phoneticPr fontId="2" type="noConversion"/>
  </si>
  <si>
    <t>중간계산</t>
    <phoneticPr fontId="2" type="noConversion"/>
  </si>
  <si>
    <t>지출/예정</t>
    <phoneticPr fontId="2" type="noConversion"/>
  </si>
  <si>
    <t>경매(임시)</t>
    <phoneticPr fontId="2" type="noConversion"/>
  </si>
  <si>
    <t>[구입]</t>
    <phoneticPr fontId="2" type="noConversion"/>
  </si>
  <si>
    <t>안부족하면 IRP에 그대로 둘 예정</t>
    <phoneticPr fontId="2" type="noConversion"/>
  </si>
  <si>
    <t>280-25</t>
    <phoneticPr fontId="2" type="noConversion"/>
  </si>
  <si>
    <t>가스레인지 구입</t>
    <phoneticPr fontId="2" type="noConversion"/>
  </si>
  <si>
    <t>도시가스 신청</t>
    <phoneticPr fontId="2" type="noConversion"/>
  </si>
  <si>
    <t>식탁</t>
    <phoneticPr fontId="2" type="noConversion"/>
  </si>
  <si>
    <t>쇼파</t>
    <phoneticPr fontId="2" type="noConversion"/>
  </si>
  <si>
    <t>2/19 센푸 엘베 사용료 입금 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</si>
</sst>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.0%"/>
    <numFmt numFmtId="178" formatCode="yyyy\-mm\-dd"/>
    <numFmt numFmtId="179" formatCode="hh:mm"/>
    <numFmt numFmtId="180" formatCode="0.0_ "/>
    <numFmt numFmtId="181" formatCode="#,##0.000_ "/>
    <numFmt numFmtId="182" formatCode="mm\/dd\(aaa\)"/>
    <numFmt numFmtId="183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4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1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right" vertical="center"/>
    </xf>
    <xf numFmtId="3" fontId="0" fillId="3" borderId="4" xfId="0" applyNumberForma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176" fontId="0" fillId="0" borderId="3" xfId="0" applyNumberFormat="1" applyBorder="1">
      <alignment vertical="center"/>
    </xf>
    <xf numFmtId="177" fontId="0" fillId="0" borderId="3" xfId="0" applyNumberFormat="1" applyBorder="1">
      <alignment vertical="center"/>
    </xf>
    <xf numFmtId="178" fontId="0" fillId="0" borderId="1" xfId="0" applyNumberFormat="1" applyBorder="1" applyAlignment="1"/>
    <xf numFmtId="179" fontId="0" fillId="0" borderId="1" xfId="0" applyNumberFormat="1" applyBorder="1" applyAlignme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0" fontId="0" fillId="0" borderId="3" xfId="0" applyBorder="1" applyAlignment="1">
      <alignment horizontal="right" vertical="center"/>
    </xf>
    <xf numFmtId="0" fontId="0" fillId="6" borderId="1" xfId="0" applyFill="1" applyBorder="1">
      <alignment vertical="center"/>
    </xf>
    <xf numFmtId="176" fontId="0" fillId="7" borderId="3" xfId="0" applyNumberFormat="1" applyFill="1" applyBorder="1">
      <alignment vertical="center"/>
    </xf>
    <xf numFmtId="176" fontId="3" fillId="7" borderId="1" xfId="0" applyNumberFormat="1" applyFont="1" applyFill="1" applyBorder="1">
      <alignment vertical="center"/>
    </xf>
    <xf numFmtId="176" fontId="0" fillId="4" borderId="3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0" fontId="6" fillId="0" borderId="0" xfId="0" applyFont="1" applyAlignment="1">
      <alignment horizontal="right" vertical="center"/>
    </xf>
    <xf numFmtId="0" fontId="7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176" fontId="3" fillId="0" borderId="3" xfId="0" applyNumberFormat="1" applyFont="1" applyBorder="1">
      <alignment vertical="center"/>
    </xf>
    <xf numFmtId="0" fontId="0" fillId="0" borderId="1" xfId="0" applyBorder="1" applyAlignment="1"/>
    <xf numFmtId="3" fontId="0" fillId="0" borderId="1" xfId="0" applyNumberFormat="1" applyBorder="1" applyAlignment="1"/>
    <xf numFmtId="0" fontId="8" fillId="0" borderId="0" xfId="0" applyFont="1">
      <alignment vertical="center"/>
    </xf>
    <xf numFmtId="0" fontId="0" fillId="0" borderId="0" xfId="0" applyAlignment="1"/>
    <xf numFmtId="3" fontId="0" fillId="0" borderId="0" xfId="0" applyNumberFormat="1" applyAlignment="1"/>
    <xf numFmtId="0" fontId="8" fillId="5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176" fontId="3" fillId="4" borderId="3" xfId="0" applyNumberFormat="1" applyFont="1" applyFill="1" applyBorder="1">
      <alignment vertical="center"/>
    </xf>
    <xf numFmtId="176" fontId="3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180" fontId="0" fillId="0" borderId="3" xfId="0" applyNumberFormat="1" applyBorder="1">
      <alignment vertical="center"/>
    </xf>
    <xf numFmtId="180" fontId="3" fillId="0" borderId="3" xfId="0" applyNumberFormat="1" applyFont="1" applyBorder="1">
      <alignment vertical="center"/>
    </xf>
    <xf numFmtId="180" fontId="0" fillId="0" borderId="1" xfId="0" applyNumberFormat="1" applyBorder="1">
      <alignment vertical="center"/>
    </xf>
    <xf numFmtId="180" fontId="3" fillId="0" borderId="1" xfId="0" applyNumberFormat="1" applyFont="1" applyBorder="1">
      <alignment vertical="center"/>
    </xf>
    <xf numFmtId="180" fontId="5" fillId="0" borderId="1" xfId="0" applyNumberFormat="1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1" fillId="6" borderId="1" xfId="0" applyFont="1" applyFill="1" applyBorder="1">
      <alignment vertical="center"/>
    </xf>
    <xf numFmtId="0" fontId="8" fillId="0" borderId="11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>
      <alignment vertical="center"/>
    </xf>
    <xf numFmtId="0" fontId="9" fillId="0" borderId="1" xfId="0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/>
    <xf numFmtId="0" fontId="3" fillId="0" borderId="12" xfId="0" applyFont="1" applyBorder="1" applyAlignment="1">
      <alignment horizontal="left" vertical="center"/>
    </xf>
    <xf numFmtId="0" fontId="3" fillId="0" borderId="13" xfId="0" applyFont="1" applyBorder="1">
      <alignment vertical="center"/>
    </xf>
    <xf numFmtId="0" fontId="3" fillId="0" borderId="12" xfId="0" applyFont="1" applyBorder="1">
      <alignment vertical="center"/>
    </xf>
    <xf numFmtId="0" fontId="0" fillId="0" borderId="13" xfId="0" applyBorder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7" fillId="0" borderId="1" xfId="0" applyFont="1" applyBorder="1" applyAlignment="1"/>
    <xf numFmtId="0" fontId="1" fillId="0" borderId="3" xfId="0" applyFont="1" applyBorder="1">
      <alignment vertical="center"/>
    </xf>
    <xf numFmtId="3" fontId="10" fillId="0" borderId="1" xfId="0" applyNumberFormat="1" applyFont="1" applyBorder="1" applyAlignment="1"/>
    <xf numFmtId="14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/>
    <xf numFmtId="3" fontId="11" fillId="0" borderId="1" xfId="0" applyNumberFormat="1" applyFont="1" applyBorder="1" applyAlignment="1"/>
    <xf numFmtId="0" fontId="0" fillId="0" borderId="18" xfId="0" applyBorder="1" applyAlignment="1">
      <alignment horizontal="left" vertical="center"/>
    </xf>
    <xf numFmtId="14" fontId="10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/>
    <xf numFmtId="3" fontId="0" fillId="0" borderId="22" xfId="0" applyNumberFormat="1" applyBorder="1" applyAlignment="1"/>
    <xf numFmtId="3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  <xf numFmtId="181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4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0" xfId="0" applyNumberFormat="1">
      <alignment vertical="center"/>
    </xf>
    <xf numFmtId="182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82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3" fillId="0" borderId="19" xfId="0" applyFont="1" applyBorder="1">
      <alignment vertical="center"/>
    </xf>
    <xf numFmtId="176" fontId="13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83" fontId="0" fillId="0" borderId="0" xfId="0" applyNumberFormat="1" applyAlignment="1">
      <alignment horizontal="centerContinuous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76" fontId="3" fillId="0" borderId="8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D86AA3F1-BACA-4EBB-AB98-5697850C953B}"/>
  </cellStyles>
  <dxfs count="112"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theme="9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</dxf>
    <dxf>
      <font>
        <color theme="5"/>
      </font>
    </dxf>
    <dxf>
      <font>
        <color rgb="FF00B05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0E5B-FEB3-4E02-94FC-B90886AB03A4}">
  <dimension ref="A1:G35"/>
  <sheetViews>
    <sheetView workbookViewId="0">
      <selection activeCell="F32" sqref="F32"/>
    </sheetView>
  </sheetViews>
  <sheetFormatPr defaultRowHeight="17.399999999999999" x14ac:dyDescent="0.4"/>
  <cols>
    <col min="1" max="1" width="6.19921875" bestFit="1" customWidth="1"/>
    <col min="2" max="2" width="18.3984375" bestFit="1" customWidth="1"/>
  </cols>
  <sheetData>
    <row r="1" spans="1:6" x14ac:dyDescent="0.4">
      <c r="A1" s="28" t="s">
        <v>926</v>
      </c>
      <c r="B1" s="28"/>
      <c r="E1" s="2" t="s">
        <v>927</v>
      </c>
    </row>
    <row r="2" spans="1:6" ht="18" thickBot="1" x14ac:dyDescent="0.45">
      <c r="B2" s="8" t="str">
        <f>'수입&amp;예산'!K3</f>
        <v>수입(계)</v>
      </c>
      <c r="C2" s="8" t="str">
        <f>'수입&amp;예산'!L3</f>
        <v>Tiss</v>
      </c>
      <c r="D2" s="8" t="str">
        <f>'수입&amp;예산'!M3</f>
        <v>JM</v>
      </c>
      <c r="E2" s="8" t="str">
        <f>'수입&amp;예산'!N3</f>
        <v>총합</v>
      </c>
    </row>
    <row r="3" spans="1:6" ht="18" thickTop="1" x14ac:dyDescent="0.4">
      <c r="B3" s="39" t="str">
        <f>'수입&amp;예산'!K4</f>
        <v>월간 수입</v>
      </c>
      <c r="C3" s="7">
        <f>'수입&amp;예산'!L4</f>
        <v>559.81989999999996</v>
      </c>
      <c r="D3" s="7">
        <f>'수입&amp;예산'!M4</f>
        <v>0</v>
      </c>
      <c r="E3" s="7">
        <f>'수입&amp;예산'!N4</f>
        <v>559.81989999999996</v>
      </c>
    </row>
    <row r="4" spans="1:6" x14ac:dyDescent="0.4">
      <c r="B4" s="34" t="str">
        <f>'수입&amp;예산'!K5</f>
        <v>연간 수입</v>
      </c>
      <c r="C4" s="4">
        <f>'수입&amp;예산'!L5</f>
        <v>2206</v>
      </c>
      <c r="D4" s="4">
        <f>'수입&amp;예산'!M5</f>
        <v>0</v>
      </c>
      <c r="E4" s="4">
        <f>'수입&amp;예산'!N5</f>
        <v>2206</v>
      </c>
    </row>
    <row r="5" spans="1:6" x14ac:dyDescent="0.4">
      <c r="B5" s="34" t="str">
        <f>'수입&amp;예산'!K6</f>
        <v>연 총 수입</v>
      </c>
      <c r="C5" s="4">
        <f>'수입&amp;예산'!L6</f>
        <v>8923.8387999999995</v>
      </c>
      <c r="D5" s="4">
        <f>'수입&amp;예산'!M6</f>
        <v>0</v>
      </c>
      <c r="E5" s="4">
        <f>'수입&amp;예산'!N6</f>
        <v>8923.8387999999995</v>
      </c>
    </row>
    <row r="6" spans="1:6" x14ac:dyDescent="0.4">
      <c r="B6" s="2"/>
    </row>
    <row r="7" spans="1:6" x14ac:dyDescent="0.4">
      <c r="A7" s="28" t="s">
        <v>937</v>
      </c>
      <c r="B7" s="28"/>
      <c r="F7" s="2" t="s">
        <v>927</v>
      </c>
    </row>
    <row r="8" spans="1:6" ht="18" thickBot="1" x14ac:dyDescent="0.45">
      <c r="B8" s="8" t="str">
        <f>'수입&amp;예산'!K14</f>
        <v>예산(대분류별)</v>
      </c>
      <c r="C8" s="8" t="str">
        <f>'수입&amp;예산'!L14</f>
        <v>공동</v>
      </c>
      <c r="D8" s="8" t="str">
        <f>'수입&amp;예산'!M14</f>
        <v>Tiss</v>
      </c>
      <c r="E8" s="8" t="str">
        <f>'수입&amp;예산'!N14</f>
        <v>JM</v>
      </c>
      <c r="F8" s="8" t="str">
        <f>'수입&amp;예산'!O14</f>
        <v>총합</v>
      </c>
    </row>
    <row r="9" spans="1:6" ht="18" thickTop="1" x14ac:dyDescent="0.4">
      <c r="B9" s="39" t="str">
        <f>'수입&amp;예산'!K15</f>
        <v>고정비</v>
      </c>
      <c r="C9" s="7">
        <f>'수입&amp;예산'!L15</f>
        <v>50.4</v>
      </c>
      <c r="D9" s="7">
        <f>'수입&amp;예산'!M15</f>
        <v>64.099999999999994</v>
      </c>
      <c r="E9" s="7">
        <f>'수입&amp;예산'!N15</f>
        <v>8</v>
      </c>
      <c r="F9" s="7">
        <f>'수입&amp;예산'!O15</f>
        <v>122.5</v>
      </c>
    </row>
    <row r="10" spans="1:6" x14ac:dyDescent="0.4">
      <c r="B10" s="34" t="str">
        <f>'수입&amp;예산'!K16</f>
        <v>주거</v>
      </c>
      <c r="C10" s="4">
        <f>'수입&amp;예산'!L16</f>
        <v>0</v>
      </c>
      <c r="D10" s="4">
        <f>'수입&amp;예산'!M16</f>
        <v>0</v>
      </c>
      <c r="E10" s="4">
        <f>'수입&amp;예산'!N16</f>
        <v>0</v>
      </c>
      <c r="F10" s="4">
        <f>'수입&amp;예산'!O16</f>
        <v>0</v>
      </c>
    </row>
    <row r="11" spans="1:6" x14ac:dyDescent="0.4">
      <c r="B11" s="34" t="str">
        <f>'수입&amp;예산'!K17</f>
        <v>용돈</v>
      </c>
      <c r="C11" s="4">
        <f>'수입&amp;예산'!L17</f>
        <v>0</v>
      </c>
      <c r="D11" s="4">
        <f>'수입&amp;예산'!M17</f>
        <v>0</v>
      </c>
      <c r="E11" s="4">
        <f>'수입&amp;예산'!N17</f>
        <v>0</v>
      </c>
      <c r="F11" s="4">
        <f>'수입&amp;예산'!O17</f>
        <v>0</v>
      </c>
    </row>
    <row r="12" spans="1:6" x14ac:dyDescent="0.4">
      <c r="B12" s="34" t="str">
        <f>'수입&amp;예산'!K18</f>
        <v>생활비</v>
      </c>
      <c r="C12" s="4">
        <f>'수입&amp;예산'!L18</f>
        <v>35</v>
      </c>
      <c r="D12" s="4">
        <f>'수입&amp;예산'!M18</f>
        <v>0</v>
      </c>
      <c r="E12" s="4">
        <f>'수입&amp;예산'!N18</f>
        <v>0</v>
      </c>
      <c r="F12" s="4">
        <f>'수입&amp;예산'!O18</f>
        <v>35</v>
      </c>
    </row>
    <row r="13" spans="1:6" x14ac:dyDescent="0.4">
      <c r="B13" s="34" t="str">
        <f>'수입&amp;예산'!K19</f>
        <v>세금</v>
      </c>
      <c r="C13" s="4">
        <f>'수입&amp;예산'!L19</f>
        <v>61.3</v>
      </c>
      <c r="D13" s="4">
        <f>'수입&amp;예산'!M19</f>
        <v>0</v>
      </c>
      <c r="E13" s="4">
        <f>'수입&amp;예산'!N19</f>
        <v>0</v>
      </c>
      <c r="F13" s="4">
        <f>'수입&amp;예산'!O19</f>
        <v>61.3</v>
      </c>
    </row>
    <row r="14" spans="1:6" x14ac:dyDescent="0.4">
      <c r="B14" s="34" t="str">
        <f>'수입&amp;예산'!K20</f>
        <v>기타</v>
      </c>
      <c r="C14" s="4">
        <f>'수입&amp;예산'!L20</f>
        <v>35</v>
      </c>
      <c r="D14" s="4">
        <f>'수입&amp;예산'!M20</f>
        <v>0</v>
      </c>
      <c r="E14" s="4">
        <f>'수입&amp;예산'!N20</f>
        <v>0</v>
      </c>
      <c r="F14" s="4">
        <f>'수입&amp;예산'!O20</f>
        <v>35</v>
      </c>
    </row>
    <row r="15" spans="1:6" x14ac:dyDescent="0.4">
      <c r="B15" s="2"/>
    </row>
    <row r="16" spans="1:6" x14ac:dyDescent="0.4">
      <c r="B16" s="2"/>
      <c r="F16" s="2" t="s">
        <v>927</v>
      </c>
    </row>
    <row r="17" spans="1:7" ht="18" thickBot="1" x14ac:dyDescent="0.45">
      <c r="B17" s="8" t="str">
        <f>'수입&amp;예산'!K26</f>
        <v>예산(대출/저축)</v>
      </c>
      <c r="C17" s="8" t="str">
        <f>'수입&amp;예산'!L26</f>
        <v>공동</v>
      </c>
      <c r="D17" s="8" t="str">
        <f>'수입&amp;예산'!M26</f>
        <v>Tiss</v>
      </c>
      <c r="E17" s="8" t="str">
        <f>'수입&amp;예산'!N26</f>
        <v>JM</v>
      </c>
      <c r="F17" s="8" t="str">
        <f>'수입&amp;예산'!O26</f>
        <v>총합</v>
      </c>
    </row>
    <row r="18" spans="1:7" ht="18" thickTop="1" x14ac:dyDescent="0.4">
      <c r="B18" s="39" t="str">
        <f>'수입&amp;예산'!K27</f>
        <v>대출상환</v>
      </c>
      <c r="C18" s="7">
        <f>'수입&amp;예산'!L27</f>
        <v>90</v>
      </c>
      <c r="D18" s="7">
        <f>'수입&amp;예산'!M27</f>
        <v>0</v>
      </c>
      <c r="E18" s="7">
        <f>'수입&amp;예산'!N27</f>
        <v>0</v>
      </c>
      <c r="F18" s="7">
        <f>'수입&amp;예산'!O27</f>
        <v>90</v>
      </c>
    </row>
    <row r="19" spans="1:7" x14ac:dyDescent="0.4">
      <c r="B19" s="34" t="str">
        <f>'수입&amp;예산'!K28</f>
        <v>저축</v>
      </c>
      <c r="C19" s="4">
        <f>'수입&amp;예산'!L28</f>
        <v>0</v>
      </c>
      <c r="D19" s="4">
        <f>'수입&amp;예산'!M28</f>
        <v>0</v>
      </c>
      <c r="E19" s="4">
        <f>'수입&amp;예산'!N28</f>
        <v>0</v>
      </c>
      <c r="F19" s="4">
        <f>'수입&amp;예산'!O28</f>
        <v>0</v>
      </c>
    </row>
    <row r="20" spans="1:7" x14ac:dyDescent="0.4">
      <c r="B20" s="2"/>
    </row>
    <row r="21" spans="1:7" x14ac:dyDescent="0.4">
      <c r="B21" s="2"/>
      <c r="F21" s="2" t="s">
        <v>927</v>
      </c>
    </row>
    <row r="22" spans="1:7" ht="18" thickBot="1" x14ac:dyDescent="0.45">
      <c r="B22" s="8" t="str">
        <f>'수입&amp;예산'!K30</f>
        <v>예산(계)</v>
      </c>
      <c r="C22" s="8" t="str">
        <f>'수입&amp;예산'!L30</f>
        <v>공동</v>
      </c>
      <c r="D22" s="8" t="str">
        <f>'수입&amp;예산'!M30</f>
        <v>Tiss</v>
      </c>
      <c r="E22" s="8" t="str">
        <f>'수입&amp;예산'!N30</f>
        <v>JM</v>
      </c>
      <c r="F22" s="8" t="str">
        <f>'수입&amp;예산'!O30</f>
        <v>총합</v>
      </c>
    </row>
    <row r="23" spans="1:7" ht="18" thickTop="1" x14ac:dyDescent="0.4">
      <c r="B23" s="39" t="str">
        <f>'수입&amp;예산'!K31</f>
        <v>월간 예산(소비)</v>
      </c>
      <c r="C23" s="7">
        <f>'수입&amp;예산'!L31</f>
        <v>120.4</v>
      </c>
      <c r="D23" s="7">
        <f>'수입&amp;예산'!M31</f>
        <v>64.099999999999994</v>
      </c>
      <c r="E23" s="7">
        <f>'수입&amp;예산'!N31</f>
        <v>8</v>
      </c>
      <c r="F23" s="7">
        <f>'수입&amp;예산'!O31</f>
        <v>192.5</v>
      </c>
    </row>
    <row r="24" spans="1:7" x14ac:dyDescent="0.4">
      <c r="B24" s="34" t="str">
        <f>'수입&amp;예산'!K32</f>
        <v>월간 예산(전체)</v>
      </c>
      <c r="C24" s="4">
        <f>'수입&amp;예산'!L32</f>
        <v>210.4</v>
      </c>
      <c r="D24" s="4">
        <f>'수입&amp;예산'!M32</f>
        <v>64.099999999999994</v>
      </c>
      <c r="E24" s="4">
        <f>'수입&amp;예산'!N32</f>
        <v>8</v>
      </c>
      <c r="F24" s="4">
        <f>'수입&amp;예산'!O32</f>
        <v>282.5</v>
      </c>
    </row>
    <row r="25" spans="1:7" x14ac:dyDescent="0.4">
      <c r="B25" s="34" t="str">
        <f>'수입&amp;예산'!K33</f>
        <v>연간 예산(소비)</v>
      </c>
      <c r="C25" s="4">
        <f>'수입&amp;예산'!L33</f>
        <v>61.3</v>
      </c>
      <c r="D25" s="4">
        <f>'수입&amp;예산'!M33</f>
        <v>0</v>
      </c>
      <c r="E25" s="4">
        <f>'수입&amp;예산'!N33</f>
        <v>0</v>
      </c>
      <c r="F25" s="4">
        <f>'수입&amp;예산'!O33</f>
        <v>61.3</v>
      </c>
    </row>
    <row r="26" spans="1:7" x14ac:dyDescent="0.4">
      <c r="B26" s="34" t="str">
        <f>'수입&amp;예산'!K34</f>
        <v>연 총 예산(전체)</v>
      </c>
      <c r="C26" s="4">
        <f>'수입&amp;예산'!L34</f>
        <v>61.3</v>
      </c>
      <c r="D26" s="4">
        <f>'수입&amp;예산'!M34</f>
        <v>0</v>
      </c>
      <c r="E26" s="4">
        <f>'수입&amp;예산'!N34</f>
        <v>0</v>
      </c>
      <c r="F26" s="4">
        <f>'수입&amp;예산'!O34</f>
        <v>61.3</v>
      </c>
    </row>
    <row r="27" spans="1:7" x14ac:dyDescent="0.4">
      <c r="B27" s="34" t="str">
        <f>'수입&amp;예산'!K35</f>
        <v>총계(소비)</v>
      </c>
      <c r="C27" s="4">
        <f>'수입&amp;예산'!L35</f>
        <v>1506.1000000000001</v>
      </c>
      <c r="D27" s="4">
        <f>'수입&amp;예산'!M35</f>
        <v>769.19999999999993</v>
      </c>
      <c r="E27" s="4">
        <f>'수입&amp;예산'!N35</f>
        <v>96</v>
      </c>
      <c r="F27" s="4">
        <f>'수입&amp;예산'!O35</f>
        <v>2371.3000000000002</v>
      </c>
    </row>
    <row r="28" spans="1:7" x14ac:dyDescent="0.4">
      <c r="B28" s="34" t="str">
        <f>'수입&amp;예산'!K36</f>
        <v>총계(전체)</v>
      </c>
      <c r="C28" s="4">
        <f>'수입&amp;예산'!L36</f>
        <v>2586.1000000000004</v>
      </c>
      <c r="D28" s="4">
        <f>'수입&amp;예산'!M36</f>
        <v>769.19999999999993</v>
      </c>
      <c r="E28" s="4">
        <f>'수입&amp;예산'!N36</f>
        <v>96</v>
      </c>
      <c r="F28" s="4">
        <f>'수입&amp;예산'!O36</f>
        <v>3451.3</v>
      </c>
    </row>
    <row r="29" spans="1:7" x14ac:dyDescent="0.4">
      <c r="B29" s="2"/>
    </row>
    <row r="30" spans="1:7" x14ac:dyDescent="0.4">
      <c r="A30" s="28" t="s">
        <v>930</v>
      </c>
      <c r="B30" s="28"/>
      <c r="C30" s="2" t="s">
        <v>927</v>
      </c>
    </row>
    <row r="31" spans="1:7" ht="18" thickBot="1" x14ac:dyDescent="0.45">
      <c r="B31" s="8" t="str">
        <f>'수입&amp;예산'!K38</f>
        <v>저축(계)</v>
      </c>
      <c r="C31" s="8" t="str">
        <f>'수입&amp;예산'!L38</f>
        <v>금액</v>
      </c>
      <c r="E31" s="8" t="s">
        <v>940</v>
      </c>
      <c r="F31" s="8" t="s">
        <v>941</v>
      </c>
      <c r="G31" s="8" t="s">
        <v>942</v>
      </c>
    </row>
    <row r="32" spans="1:7" ht="18" thickTop="1" x14ac:dyDescent="0.4">
      <c r="B32" s="39" t="str">
        <f>'수입&amp;예산'!K39</f>
        <v>월 순수 저축액</v>
      </c>
      <c r="C32" s="7">
        <f>'수입&amp;예산'!L39</f>
        <v>277.31989999999996</v>
      </c>
      <c r="E32" s="38">
        <v>0.6</v>
      </c>
      <c r="F32" s="7">
        <f>$E$3*E32</f>
        <v>335.89193999999998</v>
      </c>
      <c r="G32" s="7">
        <f>$E$5*E32</f>
        <v>5354.3032799999992</v>
      </c>
    </row>
    <row r="33" spans="2:7" x14ac:dyDescent="0.4">
      <c r="B33" s="34" t="str">
        <f>'수입&amp;예산'!K40</f>
        <v>월 대출상환+저축액</v>
      </c>
      <c r="C33" s="5">
        <f>'수입&amp;예산'!L40</f>
        <v>367.31989999999996</v>
      </c>
      <c r="E33" s="37">
        <v>0.65</v>
      </c>
      <c r="F33" s="5">
        <f>$E$3*E33</f>
        <v>363.88293499999997</v>
      </c>
      <c r="G33" s="5">
        <f>$E$5*E33</f>
        <v>5800.4952199999998</v>
      </c>
    </row>
    <row r="34" spans="2:7" x14ac:dyDescent="0.4">
      <c r="B34" s="34" t="str">
        <f>'수입&amp;예산'!K41</f>
        <v>연 순수 저축액</v>
      </c>
      <c r="C34" s="4">
        <f>'수입&amp;예산'!L41</f>
        <v>5472.5387999999994</v>
      </c>
      <c r="E34" s="37">
        <v>0.7</v>
      </c>
      <c r="F34" s="4">
        <f>$E$3*E34</f>
        <v>391.87392999999997</v>
      </c>
      <c r="G34" s="4">
        <f>$E$5*E34</f>
        <v>6246.6871599999995</v>
      </c>
    </row>
    <row r="35" spans="2:7" x14ac:dyDescent="0.4">
      <c r="B35" s="34" t="str">
        <f>'수입&amp;예산'!K42</f>
        <v>연 대출상환+저축액</v>
      </c>
      <c r="C35" s="4">
        <f>'수입&amp;예산'!L42</f>
        <v>6552.5387999999994</v>
      </c>
      <c r="E35" s="37">
        <v>0.75</v>
      </c>
      <c r="F35" s="4">
        <f>$E$3*E35</f>
        <v>419.86492499999997</v>
      </c>
      <c r="G35" s="4">
        <f>$E$5*E35</f>
        <v>6692.8791000000001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9345-AF03-42A1-8CE8-63AA92F1682A}">
  <dimension ref="A1:O57"/>
  <sheetViews>
    <sheetView workbookViewId="0">
      <selection activeCell="H32" sqref="H32"/>
    </sheetView>
  </sheetViews>
  <sheetFormatPr defaultRowHeight="17.399999999999999" x14ac:dyDescent="0.4"/>
  <cols>
    <col min="1" max="1" width="16.09765625" customWidth="1"/>
    <col min="2" max="2" width="13" bestFit="1" customWidth="1"/>
    <col min="9" max="9" width="46.3984375" customWidth="1"/>
    <col min="11" max="11" width="19.59765625" bestFit="1" customWidth="1"/>
    <col min="12" max="12" width="8.5" bestFit="1" customWidth="1"/>
    <col min="13" max="13" width="7.5" bestFit="1" customWidth="1"/>
    <col min="14" max="15" width="8.5" bestFit="1" customWidth="1"/>
  </cols>
  <sheetData>
    <row r="1" spans="1:15" x14ac:dyDescent="0.4">
      <c r="A1" s="3" t="s">
        <v>926</v>
      </c>
    </row>
    <row r="2" spans="1:15" x14ac:dyDescent="0.4">
      <c r="A2" t="s">
        <v>1019</v>
      </c>
      <c r="I2" s="2" t="s">
        <v>927</v>
      </c>
      <c r="N2" t="s">
        <v>927</v>
      </c>
    </row>
    <row r="3" spans="1:15" ht="18" thickBot="1" x14ac:dyDescent="0.45">
      <c r="A3" s="8" t="s">
        <v>0</v>
      </c>
      <c r="B3" s="8" t="s">
        <v>952</v>
      </c>
      <c r="C3" s="8" t="s">
        <v>1</v>
      </c>
      <c r="D3" s="8" t="s">
        <v>13</v>
      </c>
      <c r="E3" s="8" t="s">
        <v>900</v>
      </c>
      <c r="F3" s="8" t="s">
        <v>2</v>
      </c>
      <c r="G3" s="8" t="s">
        <v>13</v>
      </c>
      <c r="H3" s="8" t="s">
        <v>900</v>
      </c>
      <c r="I3" s="8" t="s">
        <v>3</v>
      </c>
      <c r="K3" s="8" t="s">
        <v>8</v>
      </c>
      <c r="L3" s="8" t="s">
        <v>1</v>
      </c>
      <c r="M3" s="8" t="s">
        <v>2</v>
      </c>
      <c r="N3" s="8" t="s">
        <v>3</v>
      </c>
    </row>
    <row r="4" spans="1:15" ht="18" thickTop="1" x14ac:dyDescent="0.4">
      <c r="A4" s="7" t="s">
        <v>4</v>
      </c>
      <c r="B4" s="7"/>
      <c r="C4" s="7">
        <v>554.29999999999995</v>
      </c>
      <c r="D4" s="10" t="s">
        <v>6</v>
      </c>
      <c r="E4" s="10" t="s">
        <v>988</v>
      </c>
      <c r="F4" s="7"/>
      <c r="G4" s="10" t="s">
        <v>987</v>
      </c>
      <c r="H4" s="10" t="s">
        <v>988</v>
      </c>
      <c r="I4" s="7">
        <f t="shared" ref="I4:I11" si="0">IF(D4="M",C4*12,C4)+IF(G4="M",F4*12,F4)</f>
        <v>6651.5999999999995</v>
      </c>
      <c r="K4" s="7" t="s">
        <v>27</v>
      </c>
      <c r="L4" s="63">
        <f>SUMIF(D$4:D$12,"M",C$4:C$12)</f>
        <v>559.81989999999996</v>
      </c>
      <c r="M4" s="63">
        <f>SUMIF(G$4:G$12,"M",F$4:F$12)</f>
        <v>0</v>
      </c>
      <c r="N4" s="64">
        <f>SUM(L4:M4)</f>
        <v>559.81989999999996</v>
      </c>
    </row>
    <row r="5" spans="1:15" x14ac:dyDescent="0.4">
      <c r="A5" s="4" t="s">
        <v>975</v>
      </c>
      <c r="B5" s="4" t="s">
        <v>970</v>
      </c>
      <c r="C5" s="4">
        <v>5.5198999999999998</v>
      </c>
      <c r="D5" s="6" t="s">
        <v>6</v>
      </c>
      <c r="E5" s="10" t="s">
        <v>988</v>
      </c>
      <c r="F5" s="4"/>
      <c r="G5" s="6" t="s">
        <v>988</v>
      </c>
      <c r="H5" s="10" t="s">
        <v>988</v>
      </c>
      <c r="I5" s="7">
        <f t="shared" si="0"/>
        <v>66.238799999999998</v>
      </c>
      <c r="K5" s="4" t="s">
        <v>29</v>
      </c>
      <c r="L5" s="63">
        <f>SUMIF(D$4:D$12,"Y",C$4:C$12)</f>
        <v>2206</v>
      </c>
      <c r="M5" s="63">
        <f>SUMIF(E$4:E$12,"Y",D$4:D$12)</f>
        <v>0</v>
      </c>
      <c r="N5" s="65">
        <f>SUM(L5:M5)</f>
        <v>2206</v>
      </c>
    </row>
    <row r="6" spans="1:15" x14ac:dyDescent="0.4">
      <c r="A6" s="4" t="s">
        <v>975</v>
      </c>
      <c r="B6" s="4" t="s">
        <v>971</v>
      </c>
      <c r="C6" s="47">
        <f>ROUNDDOWN(C4*12*0.29272,0)</f>
        <v>1947</v>
      </c>
      <c r="D6" s="6" t="s">
        <v>7</v>
      </c>
      <c r="E6" s="6">
        <v>202501</v>
      </c>
      <c r="F6" s="4"/>
      <c r="G6" s="6"/>
      <c r="H6" s="6"/>
      <c r="I6" s="7">
        <f t="shared" si="0"/>
        <v>1947</v>
      </c>
      <c r="K6" s="4" t="s">
        <v>28</v>
      </c>
      <c r="L6" s="63">
        <f>L4*12+L5</f>
        <v>8923.8387999999995</v>
      </c>
      <c r="M6" s="63">
        <f>M4*12+M5</f>
        <v>0</v>
      </c>
      <c r="N6" s="63">
        <f>SUM(L6:M6)</f>
        <v>8923.8387999999995</v>
      </c>
    </row>
    <row r="7" spans="1:15" x14ac:dyDescent="0.4">
      <c r="A7" s="4" t="s">
        <v>975</v>
      </c>
      <c r="B7" s="4" t="s">
        <v>972</v>
      </c>
      <c r="C7" s="47">
        <f>110*0.7</f>
        <v>77</v>
      </c>
      <c r="D7" s="6" t="s">
        <v>7</v>
      </c>
      <c r="E7" s="6">
        <v>2025</v>
      </c>
      <c r="F7" s="4"/>
      <c r="G7" s="6"/>
      <c r="H7" s="6"/>
      <c r="I7" s="7">
        <f t="shared" si="0"/>
        <v>77</v>
      </c>
    </row>
    <row r="8" spans="1:15" x14ac:dyDescent="0.4">
      <c r="A8" s="4" t="s">
        <v>975</v>
      </c>
      <c r="B8" s="4" t="s">
        <v>973</v>
      </c>
      <c r="C8" s="47">
        <f>110*0.7</f>
        <v>77</v>
      </c>
      <c r="D8" s="6" t="s">
        <v>7</v>
      </c>
      <c r="E8" s="6">
        <v>202510</v>
      </c>
      <c r="F8" s="4"/>
      <c r="G8" s="6"/>
      <c r="H8" s="6"/>
      <c r="I8" s="7">
        <f t="shared" si="0"/>
        <v>77</v>
      </c>
    </row>
    <row r="9" spans="1:15" x14ac:dyDescent="0.4">
      <c r="A9" s="4" t="s">
        <v>975</v>
      </c>
      <c r="B9" s="4" t="s">
        <v>974</v>
      </c>
      <c r="C9" s="47">
        <f>50*0.7</f>
        <v>35</v>
      </c>
      <c r="D9" s="6" t="s">
        <v>7</v>
      </c>
      <c r="E9" s="6">
        <v>202507</v>
      </c>
      <c r="F9" s="4"/>
      <c r="G9" s="6"/>
      <c r="H9" s="6"/>
      <c r="I9" s="7">
        <f t="shared" si="0"/>
        <v>35</v>
      </c>
    </row>
    <row r="10" spans="1:15" x14ac:dyDescent="0.4">
      <c r="A10" s="4" t="s">
        <v>948</v>
      </c>
      <c r="B10" s="4"/>
      <c r="C10" s="47">
        <f>100*0.7</f>
        <v>70</v>
      </c>
      <c r="D10" s="6" t="s">
        <v>7</v>
      </c>
      <c r="E10" s="6">
        <v>202501</v>
      </c>
      <c r="F10" s="4"/>
      <c r="G10" s="6"/>
      <c r="H10" s="6"/>
      <c r="I10" s="7">
        <f t="shared" si="0"/>
        <v>70</v>
      </c>
    </row>
    <row r="11" spans="1:15" x14ac:dyDescent="0.4">
      <c r="A11" s="4" t="s">
        <v>5</v>
      </c>
      <c r="B11" s="4"/>
      <c r="C11" s="4"/>
      <c r="D11" s="6"/>
      <c r="E11" s="6"/>
      <c r="F11" s="4"/>
      <c r="G11" s="6"/>
      <c r="H11" s="6"/>
      <c r="I11" s="7">
        <f t="shared" si="0"/>
        <v>0</v>
      </c>
    </row>
    <row r="12" spans="1:15" x14ac:dyDescent="0.4">
      <c r="C12" s="1"/>
      <c r="E12" s="1"/>
    </row>
    <row r="13" spans="1:15" x14ac:dyDescent="0.4">
      <c r="A13" s="3" t="s">
        <v>931</v>
      </c>
    </row>
    <row r="14" spans="1:15" ht="18" thickBot="1" x14ac:dyDescent="0.45">
      <c r="A14" s="8" t="s">
        <v>22</v>
      </c>
      <c r="B14" s="8" t="s">
        <v>23</v>
      </c>
      <c r="C14" s="8" t="s">
        <v>26</v>
      </c>
      <c r="D14" s="8" t="s">
        <v>1</v>
      </c>
      <c r="E14" s="8" t="s">
        <v>2</v>
      </c>
      <c r="F14" s="8" t="s">
        <v>13</v>
      </c>
      <c r="G14" s="8" t="s">
        <v>14</v>
      </c>
      <c r="H14" s="8" t="s">
        <v>31</v>
      </c>
      <c r="I14" s="8" t="s">
        <v>952</v>
      </c>
      <c r="K14" s="8" t="s">
        <v>933</v>
      </c>
      <c r="L14" s="8" t="s">
        <v>26</v>
      </c>
      <c r="M14" s="8" t="s">
        <v>1</v>
      </c>
      <c r="N14" s="8" t="s">
        <v>2</v>
      </c>
      <c r="O14" s="8" t="s">
        <v>3</v>
      </c>
    </row>
    <row r="15" spans="1:15" ht="18" thickTop="1" x14ac:dyDescent="0.4">
      <c r="A15" s="7" t="s">
        <v>9</v>
      </c>
      <c r="B15" s="7" t="s">
        <v>1157</v>
      </c>
      <c r="C15" s="7"/>
      <c r="D15" s="7">
        <v>4.4000000000000004</v>
      </c>
      <c r="E15" s="77"/>
      <c r="F15" s="10" t="s">
        <v>6</v>
      </c>
      <c r="G15" s="7">
        <f>SUM(C15:E15)</f>
        <v>4.4000000000000004</v>
      </c>
      <c r="H15" s="7"/>
      <c r="I15" s="100" t="s">
        <v>1154</v>
      </c>
      <c r="K15" s="7" t="s">
        <v>9</v>
      </c>
      <c r="L15" s="7">
        <f t="shared" ref="L15:N20" si="1">SUMIF($A$15:$A$27,$K15,C$15:C$27)</f>
        <v>50.4</v>
      </c>
      <c r="M15" s="7">
        <f t="shared" si="1"/>
        <v>64.099999999999994</v>
      </c>
      <c r="N15" s="7">
        <f t="shared" si="1"/>
        <v>8</v>
      </c>
      <c r="O15" s="7">
        <f t="shared" ref="O15:O20" si="2">SUM(L15:N15)</f>
        <v>122.5</v>
      </c>
    </row>
    <row r="16" spans="1:15" x14ac:dyDescent="0.4">
      <c r="A16" s="4" t="s">
        <v>9</v>
      </c>
      <c r="B16" s="4" t="s">
        <v>947</v>
      </c>
      <c r="C16" s="4"/>
      <c r="D16" s="4">
        <f>23.1+1.5</f>
        <v>24.6</v>
      </c>
      <c r="E16" s="76"/>
      <c r="F16" s="6" t="s">
        <v>6</v>
      </c>
      <c r="G16" s="4">
        <f t="shared" ref="G16:G24" si="3">SUM(C16:E16)</f>
        <v>24.6</v>
      </c>
      <c r="H16" s="4"/>
      <c r="I16" s="4" t="s">
        <v>1155</v>
      </c>
      <c r="K16" s="4" t="s">
        <v>17</v>
      </c>
      <c r="L16" s="4">
        <f t="shared" si="1"/>
        <v>0</v>
      </c>
      <c r="M16" s="4">
        <f t="shared" si="1"/>
        <v>0</v>
      </c>
      <c r="N16" s="4">
        <f t="shared" si="1"/>
        <v>0</v>
      </c>
      <c r="O16" s="4">
        <f t="shared" si="2"/>
        <v>0</v>
      </c>
    </row>
    <row r="17" spans="1:15" x14ac:dyDescent="0.4">
      <c r="A17" s="4" t="s">
        <v>9</v>
      </c>
      <c r="B17" s="4" t="s">
        <v>956</v>
      </c>
      <c r="C17" s="4"/>
      <c r="D17" s="4">
        <f>10+7.1</f>
        <v>17.100000000000001</v>
      </c>
      <c r="E17" s="4"/>
      <c r="F17" s="6" t="s">
        <v>6</v>
      </c>
      <c r="G17" s="4">
        <f t="shared" si="3"/>
        <v>17.100000000000001</v>
      </c>
      <c r="H17" s="4"/>
      <c r="I17" s="4" t="s">
        <v>986</v>
      </c>
      <c r="K17" s="4" t="s">
        <v>18</v>
      </c>
      <c r="L17" s="4">
        <f t="shared" si="1"/>
        <v>0</v>
      </c>
      <c r="M17" s="4">
        <f t="shared" si="1"/>
        <v>0</v>
      </c>
      <c r="N17" s="4">
        <f t="shared" si="1"/>
        <v>0</v>
      </c>
      <c r="O17" s="4">
        <f t="shared" si="2"/>
        <v>0</v>
      </c>
    </row>
    <row r="18" spans="1:15" x14ac:dyDescent="0.4">
      <c r="A18" s="4" t="s">
        <v>9</v>
      </c>
      <c r="B18" s="4" t="s">
        <v>912</v>
      </c>
      <c r="C18" s="4">
        <v>13</v>
      </c>
      <c r="D18" s="4"/>
      <c r="E18" s="40"/>
      <c r="F18" s="6" t="s">
        <v>6</v>
      </c>
      <c r="G18" s="4">
        <f t="shared" si="3"/>
        <v>13</v>
      </c>
      <c r="H18" s="4"/>
      <c r="I18" s="4"/>
      <c r="K18" s="4" t="s">
        <v>19</v>
      </c>
      <c r="L18" s="4">
        <f t="shared" si="1"/>
        <v>35</v>
      </c>
      <c r="M18" s="4">
        <f t="shared" si="1"/>
        <v>0</v>
      </c>
      <c r="N18" s="4">
        <f t="shared" si="1"/>
        <v>0</v>
      </c>
      <c r="O18" s="4">
        <f t="shared" si="2"/>
        <v>35</v>
      </c>
    </row>
    <row r="19" spans="1:15" x14ac:dyDescent="0.4">
      <c r="A19" s="4" t="s">
        <v>9</v>
      </c>
      <c r="B19" s="4" t="s">
        <v>12</v>
      </c>
      <c r="C19" s="4"/>
      <c r="D19" s="4">
        <v>8</v>
      </c>
      <c r="E19" s="78">
        <v>8</v>
      </c>
      <c r="F19" s="6" t="s">
        <v>6</v>
      </c>
      <c r="G19" s="4">
        <f t="shared" si="3"/>
        <v>16</v>
      </c>
      <c r="H19" s="4"/>
      <c r="I19" s="4"/>
      <c r="K19" s="4" t="s">
        <v>20</v>
      </c>
      <c r="L19" s="4">
        <f t="shared" si="1"/>
        <v>61.3</v>
      </c>
      <c r="M19" s="4">
        <f t="shared" si="1"/>
        <v>0</v>
      </c>
      <c r="N19" s="4">
        <f t="shared" si="1"/>
        <v>0</v>
      </c>
      <c r="O19" s="4">
        <f t="shared" si="2"/>
        <v>61.3</v>
      </c>
    </row>
    <row r="20" spans="1:15" x14ac:dyDescent="0.4">
      <c r="A20" s="4" t="s">
        <v>9</v>
      </c>
      <c r="B20" s="4" t="s">
        <v>949</v>
      </c>
      <c r="C20" s="4">
        <f>2.2+1.4+0.8</f>
        <v>4.4000000000000004</v>
      </c>
      <c r="D20" s="4"/>
      <c r="E20" s="4"/>
      <c r="F20" s="6" t="s">
        <v>6</v>
      </c>
      <c r="G20" s="4">
        <f t="shared" si="3"/>
        <v>4.4000000000000004</v>
      </c>
      <c r="H20" s="4"/>
      <c r="I20" s="4" t="s">
        <v>965</v>
      </c>
      <c r="K20" s="4" t="s">
        <v>5</v>
      </c>
      <c r="L20" s="4">
        <f t="shared" si="1"/>
        <v>35</v>
      </c>
      <c r="M20" s="4">
        <f t="shared" si="1"/>
        <v>0</v>
      </c>
      <c r="N20" s="4">
        <f t="shared" si="1"/>
        <v>0</v>
      </c>
      <c r="O20" s="4">
        <f t="shared" si="2"/>
        <v>35</v>
      </c>
    </row>
    <row r="21" spans="1:15" x14ac:dyDescent="0.4">
      <c r="A21" s="4" t="s">
        <v>9</v>
      </c>
      <c r="B21" s="4" t="s">
        <v>18</v>
      </c>
      <c r="C21" s="4"/>
      <c r="D21" s="4">
        <v>10</v>
      </c>
      <c r="E21" s="4"/>
      <c r="F21" s="6" t="s">
        <v>6</v>
      </c>
      <c r="G21" s="4">
        <f>SUM(C21:E21)</f>
        <v>10</v>
      </c>
      <c r="H21" s="4"/>
      <c r="I21" s="76" t="s">
        <v>1156</v>
      </c>
    </row>
    <row r="22" spans="1:15" x14ac:dyDescent="0.4">
      <c r="A22" s="4" t="s">
        <v>9</v>
      </c>
      <c r="B22" s="4" t="s">
        <v>16</v>
      </c>
      <c r="C22" s="4">
        <v>33</v>
      </c>
      <c r="D22" s="4"/>
      <c r="E22" s="4"/>
      <c r="F22" s="6" t="s">
        <v>6</v>
      </c>
      <c r="G22" s="4">
        <f t="shared" si="3"/>
        <v>33</v>
      </c>
      <c r="H22" s="4"/>
      <c r="I22" s="4"/>
    </row>
    <row r="23" spans="1:15" x14ac:dyDescent="0.4">
      <c r="A23" s="4" t="s">
        <v>19</v>
      </c>
      <c r="B23" s="4"/>
      <c r="C23" s="4">
        <v>35</v>
      </c>
      <c r="D23" s="4"/>
      <c r="E23" s="4"/>
      <c r="F23" s="6" t="s">
        <v>6</v>
      </c>
      <c r="G23" s="4">
        <f t="shared" si="3"/>
        <v>35</v>
      </c>
      <c r="H23" s="4"/>
      <c r="I23" s="4"/>
    </row>
    <row r="24" spans="1:15" x14ac:dyDescent="0.4">
      <c r="A24" s="4" t="s">
        <v>20</v>
      </c>
      <c r="B24" s="4" t="s">
        <v>24</v>
      </c>
      <c r="C24" s="4">
        <v>30</v>
      </c>
      <c r="D24" s="4"/>
      <c r="E24" s="4"/>
      <c r="F24" s="6" t="s">
        <v>7</v>
      </c>
      <c r="G24" s="4">
        <f t="shared" si="3"/>
        <v>30</v>
      </c>
      <c r="H24" s="4">
        <v>202207</v>
      </c>
      <c r="I24" s="4"/>
    </row>
    <row r="25" spans="1:15" x14ac:dyDescent="0.4">
      <c r="A25" s="4" t="s">
        <v>20</v>
      </c>
      <c r="B25" s="4" t="s">
        <v>24</v>
      </c>
      <c r="C25" s="4">
        <v>30</v>
      </c>
      <c r="D25" s="4"/>
      <c r="E25" s="4"/>
      <c r="F25" s="6" t="s">
        <v>7</v>
      </c>
      <c r="G25" s="4">
        <f t="shared" ref="G25" si="4">SUM(C25:E25)</f>
        <v>30</v>
      </c>
      <c r="H25" s="4">
        <v>202209</v>
      </c>
      <c r="I25" s="4"/>
    </row>
    <row r="26" spans="1:15" ht="18" thickBot="1" x14ac:dyDescent="0.45">
      <c r="A26" s="4" t="s">
        <v>20</v>
      </c>
      <c r="B26" s="4" t="s">
        <v>25</v>
      </c>
      <c r="C26" s="4">
        <v>1.3</v>
      </c>
      <c r="D26" s="4"/>
      <c r="E26" s="4"/>
      <c r="F26" s="6" t="s">
        <v>7</v>
      </c>
      <c r="G26" s="4">
        <f t="shared" ref="G26:G27" si="5">SUM(C26:E26)</f>
        <v>1.3</v>
      </c>
      <c r="H26" s="4">
        <v>202208</v>
      </c>
      <c r="I26" s="4"/>
      <c r="K26" s="9" t="s">
        <v>932</v>
      </c>
      <c r="L26" s="8" t="s">
        <v>26</v>
      </c>
      <c r="M26" s="8" t="s">
        <v>1</v>
      </c>
      <c r="N26" s="8" t="s">
        <v>2</v>
      </c>
      <c r="O26" s="8" t="s">
        <v>3</v>
      </c>
    </row>
    <row r="27" spans="1:15" ht="18" thickTop="1" x14ac:dyDescent="0.4">
      <c r="A27" s="4" t="s">
        <v>5</v>
      </c>
      <c r="B27" s="4"/>
      <c r="C27" s="4">
        <v>35</v>
      </c>
      <c r="D27" s="4"/>
      <c r="E27" s="4"/>
      <c r="F27" s="6" t="s">
        <v>987</v>
      </c>
      <c r="G27" s="4">
        <f t="shared" si="5"/>
        <v>35</v>
      </c>
      <c r="H27" s="4"/>
      <c r="I27" s="4"/>
      <c r="K27" s="7" t="s">
        <v>15</v>
      </c>
      <c r="L27" s="7">
        <f>SUMIF($A$31:$A$32,$K27,C$31:C$32)</f>
        <v>90</v>
      </c>
      <c r="M27" s="7">
        <f>SUMIF($A$15:$A$27,$K27,D$15:D$27)</f>
        <v>0</v>
      </c>
      <c r="N27" s="7">
        <f>SUMIF($A$15:$A$27,$K27,E$15:E$27)</f>
        <v>0</v>
      </c>
      <c r="O27" s="7">
        <f>SUM(L27:N27)</f>
        <v>90</v>
      </c>
    </row>
    <row r="28" spans="1:15" x14ac:dyDescent="0.4">
      <c r="K28" s="4" t="s">
        <v>30</v>
      </c>
      <c r="L28" s="4">
        <f>SUMIF($A$31:$A$32,$K28,C$31:C$32)</f>
        <v>0</v>
      </c>
      <c r="M28" s="4">
        <f>SUMIF($A$15:$A$27,$K28,D$15:D$27)</f>
        <v>0</v>
      </c>
      <c r="N28" s="4">
        <f>SUMIF($A$15:$A$27,$K28,E$15:E$27)</f>
        <v>0</v>
      </c>
      <c r="O28" s="4">
        <f>SUM(L28:N28)</f>
        <v>0</v>
      </c>
    </row>
    <row r="29" spans="1:15" x14ac:dyDescent="0.4">
      <c r="A29" s="3" t="s">
        <v>932</v>
      </c>
    </row>
    <row r="30" spans="1:15" ht="18" thickBot="1" x14ac:dyDescent="0.45">
      <c r="A30" s="8" t="s">
        <v>22</v>
      </c>
      <c r="B30" s="8" t="s">
        <v>23</v>
      </c>
      <c r="C30" s="8" t="s">
        <v>26</v>
      </c>
      <c r="D30" s="8" t="s">
        <v>1</v>
      </c>
      <c r="E30" s="8" t="s">
        <v>2</v>
      </c>
      <c r="F30" s="8" t="s">
        <v>13</v>
      </c>
      <c r="K30" s="1" t="s">
        <v>934</v>
      </c>
      <c r="L30" s="35" t="s">
        <v>26</v>
      </c>
      <c r="M30" s="35" t="s">
        <v>1</v>
      </c>
      <c r="N30" s="35" t="s">
        <v>2</v>
      </c>
      <c r="O30" s="35" t="s">
        <v>3</v>
      </c>
    </row>
    <row r="31" spans="1:15" ht="18" thickTop="1" x14ac:dyDescent="0.4">
      <c r="A31" s="4" t="s">
        <v>15</v>
      </c>
      <c r="B31" s="4" t="s">
        <v>911</v>
      </c>
      <c r="C31" s="4">
        <v>90</v>
      </c>
      <c r="D31" s="4"/>
      <c r="E31" s="4"/>
      <c r="F31" s="6" t="s">
        <v>6</v>
      </c>
      <c r="K31" s="33" t="s">
        <v>935</v>
      </c>
      <c r="L31" s="4">
        <f>SUMIF($F$15:$F$27,"M",C$15:C$27)</f>
        <v>120.4</v>
      </c>
      <c r="M31" s="4">
        <f>SUMIF($F$15:$F$27,"M",D$15:D$27)</f>
        <v>64.099999999999994</v>
      </c>
      <c r="N31" s="4">
        <f>SUMIF($F$15:$F$27,"M",E$15:E$27)</f>
        <v>8</v>
      </c>
      <c r="O31" s="5">
        <f>SUM(L31:N31)</f>
        <v>192.5</v>
      </c>
    </row>
    <row r="32" spans="1:15" x14ac:dyDescent="0.4">
      <c r="A32" s="4" t="s">
        <v>30</v>
      </c>
      <c r="B32" s="4" t="s">
        <v>30</v>
      </c>
      <c r="C32" s="4"/>
      <c r="D32" s="4"/>
      <c r="E32" s="4"/>
      <c r="F32" s="6" t="s">
        <v>6</v>
      </c>
      <c r="K32" s="34" t="s">
        <v>936</v>
      </c>
      <c r="L32" s="4">
        <f>SUMIF($F$15:$F$32,"M",C$15:C$32)</f>
        <v>210.4</v>
      </c>
      <c r="M32" s="4">
        <f>SUMIF($F$15:$F$33,"M",D$15:D$33)</f>
        <v>64.099999999999994</v>
      </c>
      <c r="N32" s="4">
        <f>SUMIF($F$15:$F$33,"M",E$15:E$33)</f>
        <v>8</v>
      </c>
      <c r="O32" s="4">
        <f>SUM(L32:N32)</f>
        <v>282.5</v>
      </c>
    </row>
    <row r="33" spans="11:15" x14ac:dyDescent="0.4">
      <c r="K33" s="34" t="s">
        <v>982</v>
      </c>
      <c r="L33" s="4">
        <f>SUMIF($F$15:$F$27,"Y",C$15:C$27)</f>
        <v>61.3</v>
      </c>
      <c r="M33" s="4">
        <f>SUMIF($F$15:$F$27,"Y",D$15:D$27)</f>
        <v>0</v>
      </c>
      <c r="N33" s="4">
        <f>SUMIF($F$15:$F$27,"Y",E$15:E$27)</f>
        <v>0</v>
      </c>
      <c r="O33" s="4">
        <f>SUM(L33:N33)</f>
        <v>61.3</v>
      </c>
    </row>
    <row r="34" spans="11:15" x14ac:dyDescent="0.4">
      <c r="K34" s="34" t="s">
        <v>983</v>
      </c>
      <c r="L34" s="4">
        <f>SUMIF($F$15:$F$32,"Y",C$15:C$32)</f>
        <v>61.3</v>
      </c>
      <c r="M34" s="4">
        <f>SUMIF($F$15:$F$32,"Y",D$15:D$32)</f>
        <v>0</v>
      </c>
      <c r="N34" s="4">
        <f>SUMIF($F$15:$F$32,"Y",E$15:E$32)</f>
        <v>0</v>
      </c>
      <c r="O34" s="4">
        <f>SUM(L34:N34)</f>
        <v>61.3</v>
      </c>
    </row>
    <row r="35" spans="11:15" x14ac:dyDescent="0.4">
      <c r="K35" s="34" t="s">
        <v>984</v>
      </c>
      <c r="L35" s="4">
        <f>L31*12+L33</f>
        <v>1506.1000000000001</v>
      </c>
      <c r="M35" s="4">
        <f>M31*12+M33</f>
        <v>769.19999999999993</v>
      </c>
      <c r="N35" s="4">
        <f>N31*12+N33</f>
        <v>96</v>
      </c>
      <c r="O35" s="4">
        <f>O31*12+O33</f>
        <v>2371.3000000000002</v>
      </c>
    </row>
    <row r="36" spans="11:15" x14ac:dyDescent="0.4">
      <c r="K36" s="34" t="s">
        <v>985</v>
      </c>
      <c r="L36" s="4">
        <f>L32*12+L34</f>
        <v>2586.1000000000004</v>
      </c>
      <c r="M36" s="4">
        <f>M32*12+M34</f>
        <v>769.19999999999993</v>
      </c>
      <c r="N36" s="4">
        <f>N32*12+N34</f>
        <v>96</v>
      </c>
      <c r="O36" s="4">
        <f>SUM(L36:N36)</f>
        <v>3451.3</v>
      </c>
    </row>
    <row r="37" spans="11:15" x14ac:dyDescent="0.4">
      <c r="K37" s="2"/>
    </row>
    <row r="38" spans="11:15" x14ac:dyDescent="0.4">
      <c r="K38" s="1" t="s">
        <v>928</v>
      </c>
      <c r="L38" s="6" t="s">
        <v>929</v>
      </c>
    </row>
    <row r="39" spans="11:15" x14ac:dyDescent="0.4">
      <c r="K39" s="33" t="s">
        <v>32</v>
      </c>
      <c r="L39" s="66">
        <f>N4-O32</f>
        <v>277.31989999999996</v>
      </c>
    </row>
    <row r="40" spans="11:15" x14ac:dyDescent="0.4">
      <c r="K40" s="48" t="s">
        <v>34</v>
      </c>
      <c r="L40" s="67">
        <f>N4-O31</f>
        <v>367.31989999999996</v>
      </c>
    </row>
    <row r="41" spans="11:15" x14ac:dyDescent="0.4">
      <c r="K41" s="33" t="s">
        <v>33</v>
      </c>
      <c r="L41" s="66">
        <f>N6-O36</f>
        <v>5472.5387999999994</v>
      </c>
    </row>
    <row r="42" spans="11:15" x14ac:dyDescent="0.4">
      <c r="K42" s="34" t="s">
        <v>35</v>
      </c>
      <c r="L42" s="65">
        <f>'수입&amp;예산'!N6-O35</f>
        <v>6552.5387999999994</v>
      </c>
    </row>
    <row r="49" spans="1:1" x14ac:dyDescent="0.4">
      <c r="A49" s="3"/>
    </row>
    <row r="57" spans="1:1" x14ac:dyDescent="0.4">
      <c r="A57" s="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7CF3-E1CB-449F-85A2-B4D830FE3CA5}">
  <dimension ref="A2:I363"/>
  <sheetViews>
    <sheetView workbookViewId="0">
      <pane ySplit="3" topLeftCell="A79" activePane="bottomLeft" state="frozen"/>
      <selection pane="bottomLeft" activeCell="G92" sqref="G92"/>
    </sheetView>
  </sheetViews>
  <sheetFormatPr defaultRowHeight="17.399999999999999" x14ac:dyDescent="0.4"/>
  <cols>
    <col min="1" max="1" width="4.3984375" bestFit="1" customWidth="1"/>
    <col min="2" max="2" width="7.3984375" bestFit="1" customWidth="1"/>
    <col min="3" max="3" width="10.8984375" bestFit="1" customWidth="1"/>
    <col min="4" max="4" width="9.19921875" bestFit="1" customWidth="1"/>
    <col min="5" max="6" width="7.69921875" bestFit="1" customWidth="1"/>
    <col min="7" max="7" width="11.19921875" bestFit="1" customWidth="1"/>
    <col min="8" max="9" width="10.8984375" bestFit="1" customWidth="1"/>
  </cols>
  <sheetData>
    <row r="2" spans="1:9" ht="17.399999999999999" customHeight="1" x14ac:dyDescent="0.4">
      <c r="A2" s="128" t="s">
        <v>36</v>
      </c>
      <c r="B2" s="129" t="s">
        <v>37</v>
      </c>
      <c r="C2" s="130"/>
      <c r="D2" s="128" t="s">
        <v>38</v>
      </c>
      <c r="E2" s="128" t="s">
        <v>38</v>
      </c>
      <c r="F2" s="128" t="s">
        <v>38</v>
      </c>
      <c r="G2" s="128" t="s">
        <v>38</v>
      </c>
      <c r="H2" s="128" t="s">
        <v>39</v>
      </c>
      <c r="I2" s="128" t="s">
        <v>39</v>
      </c>
    </row>
    <row r="3" spans="1:9" x14ac:dyDescent="0.4">
      <c r="A3" s="128" t="s">
        <v>36</v>
      </c>
      <c r="B3" s="11" t="s">
        <v>898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899</v>
      </c>
      <c r="H3" s="11" t="s">
        <v>44</v>
      </c>
      <c r="I3" s="11" t="s">
        <v>45</v>
      </c>
    </row>
    <row r="4" spans="1:9" x14ac:dyDescent="0.4">
      <c r="A4" s="15">
        <v>1</v>
      </c>
      <c r="B4" s="15">
        <v>201808</v>
      </c>
      <c r="C4" s="15" t="s">
        <v>47</v>
      </c>
      <c r="D4" s="16">
        <v>1282130</v>
      </c>
      <c r="E4" s="16">
        <v>555555</v>
      </c>
      <c r="F4" s="16">
        <v>726575</v>
      </c>
      <c r="G4" s="16">
        <v>199444445</v>
      </c>
      <c r="H4" s="15" t="s">
        <v>48</v>
      </c>
      <c r="I4" s="15" t="s">
        <v>49</v>
      </c>
    </row>
    <row r="5" spans="1:9" x14ac:dyDescent="0.4">
      <c r="A5" s="15">
        <v>2</v>
      </c>
      <c r="B5" s="15">
        <v>201809</v>
      </c>
      <c r="C5" s="15" t="s">
        <v>51</v>
      </c>
      <c r="D5" s="16">
        <v>987502</v>
      </c>
      <c r="E5" s="16">
        <v>555555</v>
      </c>
      <c r="F5" s="16">
        <v>431947</v>
      </c>
      <c r="G5" s="16">
        <v>198888890</v>
      </c>
      <c r="H5" s="15" t="s">
        <v>46</v>
      </c>
      <c r="I5" s="15" t="s">
        <v>52</v>
      </c>
    </row>
    <row r="6" spans="1:9" x14ac:dyDescent="0.4">
      <c r="A6" s="36">
        <v>3</v>
      </c>
      <c r="B6" s="36">
        <v>201810</v>
      </c>
      <c r="C6" s="36" t="s">
        <v>53</v>
      </c>
      <c r="D6" s="16">
        <v>972404</v>
      </c>
      <c r="E6" s="16">
        <v>555555</v>
      </c>
      <c r="F6" s="16">
        <v>416849</v>
      </c>
      <c r="G6" s="16">
        <v>198333335</v>
      </c>
      <c r="H6" s="36" t="s">
        <v>50</v>
      </c>
      <c r="I6" s="36" t="s">
        <v>54</v>
      </c>
    </row>
    <row r="7" spans="1:9" x14ac:dyDescent="0.4">
      <c r="A7" s="36">
        <v>4</v>
      </c>
      <c r="B7" s="36">
        <v>201811</v>
      </c>
      <c r="C7" s="36" t="s">
        <v>56</v>
      </c>
      <c r="D7" s="16">
        <v>985096</v>
      </c>
      <c r="E7" s="16">
        <v>555555</v>
      </c>
      <c r="F7" s="16">
        <v>429541</v>
      </c>
      <c r="G7" s="16">
        <v>197777780</v>
      </c>
      <c r="H7" s="36" t="s">
        <v>53</v>
      </c>
      <c r="I7" s="36" t="s">
        <v>57</v>
      </c>
    </row>
    <row r="8" spans="1:9" x14ac:dyDescent="0.4">
      <c r="A8" s="36">
        <v>5</v>
      </c>
      <c r="B8" s="36">
        <v>201812</v>
      </c>
      <c r="C8" s="36" t="s">
        <v>59</v>
      </c>
      <c r="D8" s="16">
        <v>970075</v>
      </c>
      <c r="E8" s="16">
        <v>555555</v>
      </c>
      <c r="F8" s="16">
        <v>414520</v>
      </c>
      <c r="G8" s="16">
        <v>197222225</v>
      </c>
      <c r="H8" s="36" t="s">
        <v>55</v>
      </c>
      <c r="I8" s="36" t="s">
        <v>60</v>
      </c>
    </row>
    <row r="9" spans="1:9" x14ac:dyDescent="0.4">
      <c r="A9" s="36">
        <v>6</v>
      </c>
      <c r="B9" s="36">
        <v>201901</v>
      </c>
      <c r="C9" s="36" t="s">
        <v>61</v>
      </c>
      <c r="D9" s="16">
        <v>982689</v>
      </c>
      <c r="E9" s="16">
        <v>555555</v>
      </c>
      <c r="F9" s="16">
        <v>427134</v>
      </c>
      <c r="G9" s="16">
        <v>196666670</v>
      </c>
      <c r="H9" s="36" t="s">
        <v>58</v>
      </c>
      <c r="I9" s="36" t="s">
        <v>62</v>
      </c>
    </row>
    <row r="10" spans="1:9" x14ac:dyDescent="0.4">
      <c r="A10" s="36">
        <v>7</v>
      </c>
      <c r="B10" s="36">
        <v>201902</v>
      </c>
      <c r="C10" s="36" t="s">
        <v>63</v>
      </c>
      <c r="D10" s="16">
        <v>981486</v>
      </c>
      <c r="E10" s="16">
        <v>555555</v>
      </c>
      <c r="F10" s="16">
        <v>425931</v>
      </c>
      <c r="G10" s="16">
        <v>196111115</v>
      </c>
      <c r="H10" s="36" t="s">
        <v>61</v>
      </c>
      <c r="I10" s="36" t="s">
        <v>64</v>
      </c>
    </row>
    <row r="11" spans="1:9" x14ac:dyDescent="0.4">
      <c r="A11" s="36">
        <v>8</v>
      </c>
      <c r="B11" s="36">
        <v>201903</v>
      </c>
      <c r="C11" s="36" t="s">
        <v>65</v>
      </c>
      <c r="D11" s="16">
        <v>939180</v>
      </c>
      <c r="E11" s="16">
        <v>555555</v>
      </c>
      <c r="F11" s="16">
        <v>383625</v>
      </c>
      <c r="G11" s="16">
        <v>195555560</v>
      </c>
      <c r="H11" s="36" t="s">
        <v>63</v>
      </c>
      <c r="I11" s="36" t="s">
        <v>66</v>
      </c>
    </row>
    <row r="12" spans="1:9" x14ac:dyDescent="0.4">
      <c r="A12" s="36">
        <v>9</v>
      </c>
      <c r="B12" s="36">
        <v>201904</v>
      </c>
      <c r="C12" s="36" t="s">
        <v>67</v>
      </c>
      <c r="D12" s="16">
        <v>979080</v>
      </c>
      <c r="E12" s="16">
        <v>555555</v>
      </c>
      <c r="F12" s="16">
        <v>423525</v>
      </c>
      <c r="G12" s="16">
        <v>195000005</v>
      </c>
      <c r="H12" s="36" t="s">
        <v>65</v>
      </c>
      <c r="I12" s="36" t="s">
        <v>68</v>
      </c>
    </row>
    <row r="13" spans="1:9" x14ac:dyDescent="0.4">
      <c r="A13" s="36">
        <v>10</v>
      </c>
      <c r="B13" s="36">
        <v>201905</v>
      </c>
      <c r="C13" s="36" t="s">
        <v>70</v>
      </c>
      <c r="D13" s="16">
        <v>964253</v>
      </c>
      <c r="E13" s="16">
        <v>555555</v>
      </c>
      <c r="F13" s="16">
        <v>408698</v>
      </c>
      <c r="G13" s="16">
        <v>194444450</v>
      </c>
      <c r="H13" s="36" t="s">
        <v>67</v>
      </c>
      <c r="I13" s="36" t="s">
        <v>71</v>
      </c>
    </row>
    <row r="14" spans="1:9" x14ac:dyDescent="0.4">
      <c r="A14" s="36">
        <v>11</v>
      </c>
      <c r="B14" s="36">
        <v>201906</v>
      </c>
      <c r="C14" s="36" t="s">
        <v>72</v>
      </c>
      <c r="D14" s="16">
        <v>976673</v>
      </c>
      <c r="E14" s="16">
        <v>555555</v>
      </c>
      <c r="F14" s="16">
        <v>421118</v>
      </c>
      <c r="G14" s="16">
        <v>193888895</v>
      </c>
      <c r="H14" s="36" t="s">
        <v>69</v>
      </c>
      <c r="I14" s="36" t="s">
        <v>73</v>
      </c>
    </row>
    <row r="15" spans="1:9" x14ac:dyDescent="0.4">
      <c r="A15" s="36">
        <v>12</v>
      </c>
      <c r="B15" s="36">
        <v>201907</v>
      </c>
      <c r="C15" s="36" t="s">
        <v>74</v>
      </c>
      <c r="D15" s="16">
        <v>961924</v>
      </c>
      <c r="E15" s="16">
        <v>555555</v>
      </c>
      <c r="F15" s="16">
        <v>406369</v>
      </c>
      <c r="G15" s="16">
        <v>193333340</v>
      </c>
      <c r="H15" s="36" t="s">
        <v>72</v>
      </c>
      <c r="I15" s="36" t="s">
        <v>75</v>
      </c>
    </row>
    <row r="16" spans="1:9" x14ac:dyDescent="0.4">
      <c r="A16" s="36">
        <v>13</v>
      </c>
      <c r="B16" s="36">
        <v>201908</v>
      </c>
      <c r="C16" s="36" t="s">
        <v>77</v>
      </c>
      <c r="D16" s="16">
        <v>974267</v>
      </c>
      <c r="E16" s="16">
        <v>555555</v>
      </c>
      <c r="F16" s="16">
        <v>418712</v>
      </c>
      <c r="G16" s="16">
        <v>192777785</v>
      </c>
      <c r="H16" s="36" t="s">
        <v>74</v>
      </c>
      <c r="I16" s="36" t="s">
        <v>78</v>
      </c>
    </row>
    <row r="17" spans="1:9" x14ac:dyDescent="0.4">
      <c r="A17" s="36">
        <v>14</v>
      </c>
      <c r="B17" s="36">
        <v>201909</v>
      </c>
      <c r="C17" s="36" t="s">
        <v>79</v>
      </c>
      <c r="D17" s="16">
        <v>973064</v>
      </c>
      <c r="E17" s="16">
        <v>555555</v>
      </c>
      <c r="F17" s="16">
        <v>417509</v>
      </c>
      <c r="G17" s="16">
        <v>192222230</v>
      </c>
      <c r="H17" s="36" t="s">
        <v>76</v>
      </c>
      <c r="I17" s="36" t="s">
        <v>80</v>
      </c>
    </row>
    <row r="18" spans="1:9" x14ac:dyDescent="0.4">
      <c r="A18" s="36">
        <v>15</v>
      </c>
      <c r="B18" s="36">
        <v>201910</v>
      </c>
      <c r="C18" s="36" t="s">
        <v>81</v>
      </c>
      <c r="D18" s="16">
        <v>958431</v>
      </c>
      <c r="E18" s="16">
        <v>555555</v>
      </c>
      <c r="F18" s="16">
        <v>402876</v>
      </c>
      <c r="G18" s="16">
        <v>191666675</v>
      </c>
      <c r="H18" s="36" t="s">
        <v>79</v>
      </c>
      <c r="I18" s="36" t="s">
        <v>82</v>
      </c>
    </row>
    <row r="19" spans="1:9" x14ac:dyDescent="0.4">
      <c r="A19" s="36">
        <v>16</v>
      </c>
      <c r="B19" s="36">
        <v>201911</v>
      </c>
      <c r="C19" s="36" t="s">
        <v>83</v>
      </c>
      <c r="D19" s="16">
        <v>970657</v>
      </c>
      <c r="E19" s="16">
        <v>555555</v>
      </c>
      <c r="F19" s="16">
        <v>415102</v>
      </c>
      <c r="G19" s="16">
        <v>191111120</v>
      </c>
      <c r="H19" s="36" t="s">
        <v>81</v>
      </c>
      <c r="I19" s="36" t="s">
        <v>84</v>
      </c>
    </row>
    <row r="20" spans="1:9" x14ac:dyDescent="0.4">
      <c r="A20" s="36">
        <v>17</v>
      </c>
      <c r="B20" s="36">
        <v>201912</v>
      </c>
      <c r="C20" s="36" t="s">
        <v>86</v>
      </c>
      <c r="D20" s="16">
        <v>956102</v>
      </c>
      <c r="E20" s="16">
        <v>555555</v>
      </c>
      <c r="F20" s="16">
        <v>400547</v>
      </c>
      <c r="G20" s="16">
        <v>190555565</v>
      </c>
      <c r="H20" s="36" t="s">
        <v>83</v>
      </c>
      <c r="I20" s="36" t="s">
        <v>87</v>
      </c>
    </row>
    <row r="21" spans="1:9" x14ac:dyDescent="0.4">
      <c r="A21" s="36">
        <v>18</v>
      </c>
      <c r="B21" s="36">
        <v>202001</v>
      </c>
      <c r="C21" s="36" t="s">
        <v>89</v>
      </c>
      <c r="D21" s="16">
        <v>967377</v>
      </c>
      <c r="E21" s="16">
        <v>555555</v>
      </c>
      <c r="F21" s="16">
        <v>411822</v>
      </c>
      <c r="G21" s="16">
        <v>190000010</v>
      </c>
      <c r="H21" s="36" t="s">
        <v>85</v>
      </c>
      <c r="I21" s="36" t="s">
        <v>90</v>
      </c>
    </row>
    <row r="22" spans="1:9" x14ac:dyDescent="0.4">
      <c r="A22" s="36">
        <v>19</v>
      </c>
      <c r="B22" s="36">
        <v>202002</v>
      </c>
      <c r="C22" s="36" t="s">
        <v>91</v>
      </c>
      <c r="D22" s="16">
        <v>965923</v>
      </c>
      <c r="E22" s="16">
        <v>555555</v>
      </c>
      <c r="F22" s="16">
        <v>410368</v>
      </c>
      <c r="G22" s="16">
        <v>189444455</v>
      </c>
      <c r="H22" s="36" t="s">
        <v>88</v>
      </c>
      <c r="I22" s="36" t="s">
        <v>92</v>
      </c>
    </row>
    <row r="23" spans="1:9" x14ac:dyDescent="0.4">
      <c r="A23" s="36">
        <v>20</v>
      </c>
      <c r="B23" s="36">
        <v>202003</v>
      </c>
      <c r="C23" s="36" t="s">
        <v>93</v>
      </c>
      <c r="D23" s="16">
        <v>938325</v>
      </c>
      <c r="E23" s="16">
        <v>555555</v>
      </c>
      <c r="F23" s="16">
        <v>382770</v>
      </c>
      <c r="G23" s="16">
        <v>188888900</v>
      </c>
      <c r="H23" s="36" t="s">
        <v>91</v>
      </c>
      <c r="I23" s="36" t="s">
        <v>94</v>
      </c>
    </row>
    <row r="24" spans="1:9" x14ac:dyDescent="0.4">
      <c r="A24" s="36">
        <v>21</v>
      </c>
      <c r="B24" s="36">
        <v>202004</v>
      </c>
      <c r="C24" s="36" t="s">
        <v>96</v>
      </c>
      <c r="D24" s="16">
        <v>963524</v>
      </c>
      <c r="E24" s="16">
        <v>555555</v>
      </c>
      <c r="F24" s="16">
        <v>407969</v>
      </c>
      <c r="G24" s="16">
        <v>188333345</v>
      </c>
      <c r="H24" s="36" t="s">
        <v>93</v>
      </c>
      <c r="I24" s="36" t="s">
        <v>97</v>
      </c>
    </row>
    <row r="25" spans="1:9" x14ac:dyDescent="0.4">
      <c r="A25" s="36">
        <v>22</v>
      </c>
      <c r="B25" s="36">
        <v>202005</v>
      </c>
      <c r="C25" s="36" t="s">
        <v>98</v>
      </c>
      <c r="D25" s="16">
        <v>949202</v>
      </c>
      <c r="E25" s="16">
        <v>555555</v>
      </c>
      <c r="F25" s="16">
        <v>393647</v>
      </c>
      <c r="G25" s="16">
        <v>187777790</v>
      </c>
      <c r="H25" s="36" t="s">
        <v>95</v>
      </c>
      <c r="I25" s="36" t="s">
        <v>99</v>
      </c>
    </row>
    <row r="26" spans="1:9" x14ac:dyDescent="0.4">
      <c r="A26" s="36">
        <v>23</v>
      </c>
      <c r="B26" s="36">
        <v>202006</v>
      </c>
      <c r="C26" s="36" t="s">
        <v>100</v>
      </c>
      <c r="D26" s="16">
        <v>961124</v>
      </c>
      <c r="E26" s="16">
        <v>555555</v>
      </c>
      <c r="F26" s="16">
        <v>405569</v>
      </c>
      <c r="G26" s="16">
        <v>187222235</v>
      </c>
      <c r="H26" s="36" t="s">
        <v>98</v>
      </c>
      <c r="I26" s="36" t="s">
        <v>101</v>
      </c>
    </row>
    <row r="27" spans="1:9" x14ac:dyDescent="0.4">
      <c r="A27" s="36">
        <v>24</v>
      </c>
      <c r="B27" s="36">
        <v>202007</v>
      </c>
      <c r="C27" s="36" t="s">
        <v>103</v>
      </c>
      <c r="D27" s="16">
        <v>946880</v>
      </c>
      <c r="E27" s="16">
        <v>555555</v>
      </c>
      <c r="F27" s="16">
        <v>391325</v>
      </c>
      <c r="G27" s="16">
        <v>186666680</v>
      </c>
      <c r="H27" s="36" t="s">
        <v>100</v>
      </c>
      <c r="I27" s="36" t="s">
        <v>104</v>
      </c>
    </row>
    <row r="28" spans="1:9" x14ac:dyDescent="0.4">
      <c r="A28" s="36">
        <v>25</v>
      </c>
      <c r="B28" s="36">
        <v>202008</v>
      </c>
      <c r="C28" s="36" t="s">
        <v>105</v>
      </c>
      <c r="D28" s="16">
        <v>958724</v>
      </c>
      <c r="E28" s="16">
        <v>555555</v>
      </c>
      <c r="F28" s="16">
        <v>403169</v>
      </c>
      <c r="G28" s="16">
        <v>186111125</v>
      </c>
      <c r="H28" s="36" t="s">
        <v>102</v>
      </c>
      <c r="I28" s="36" t="s">
        <v>106</v>
      </c>
    </row>
    <row r="29" spans="1:9" x14ac:dyDescent="0.4">
      <c r="A29" s="36">
        <v>26</v>
      </c>
      <c r="B29" s="36">
        <v>202009</v>
      </c>
      <c r="C29" s="36" t="s">
        <v>107</v>
      </c>
      <c r="D29" s="16">
        <v>957524</v>
      </c>
      <c r="E29" s="16">
        <v>555555</v>
      </c>
      <c r="F29" s="16">
        <v>401969</v>
      </c>
      <c r="G29" s="16">
        <v>185555570</v>
      </c>
      <c r="H29" s="36" t="s">
        <v>105</v>
      </c>
      <c r="I29" s="36" t="s">
        <v>108</v>
      </c>
    </row>
    <row r="30" spans="1:9" x14ac:dyDescent="0.4">
      <c r="A30" s="36">
        <v>27</v>
      </c>
      <c r="B30" s="36">
        <v>202010</v>
      </c>
      <c r="C30" s="36" t="s">
        <v>110</v>
      </c>
      <c r="D30" s="16">
        <v>943396</v>
      </c>
      <c r="E30" s="16">
        <v>555555</v>
      </c>
      <c r="F30" s="16">
        <v>387841</v>
      </c>
      <c r="G30" s="16">
        <v>185000015</v>
      </c>
      <c r="H30" s="36" t="s">
        <v>107</v>
      </c>
      <c r="I30" s="36" t="s">
        <v>111</v>
      </c>
    </row>
    <row r="31" spans="1:9" x14ac:dyDescent="0.4">
      <c r="A31" s="36">
        <v>28</v>
      </c>
      <c r="B31" s="36">
        <v>202011</v>
      </c>
      <c r="C31" s="36" t="s">
        <v>112</v>
      </c>
      <c r="D31" s="16">
        <v>955124</v>
      </c>
      <c r="E31" s="16">
        <v>555555</v>
      </c>
      <c r="F31" s="16">
        <v>399569</v>
      </c>
      <c r="G31" s="16">
        <v>184444460</v>
      </c>
      <c r="H31" s="36" t="s">
        <v>109</v>
      </c>
      <c r="I31" s="36" t="s">
        <v>113</v>
      </c>
    </row>
    <row r="32" spans="1:9" x14ac:dyDescent="0.4">
      <c r="A32" s="36">
        <v>29</v>
      </c>
      <c r="B32" s="36">
        <v>202012</v>
      </c>
      <c r="C32" s="36" t="s">
        <v>115</v>
      </c>
      <c r="D32" s="16">
        <v>941074</v>
      </c>
      <c r="E32" s="16">
        <v>555555</v>
      </c>
      <c r="F32" s="16">
        <v>385519</v>
      </c>
      <c r="G32" s="16">
        <v>183888905</v>
      </c>
      <c r="H32" s="36" t="s">
        <v>112</v>
      </c>
      <c r="I32" s="36" t="s">
        <v>116</v>
      </c>
    </row>
    <row r="33" spans="1:9" x14ac:dyDescent="0.4">
      <c r="A33" s="36">
        <v>30</v>
      </c>
      <c r="B33" s="36">
        <v>202101</v>
      </c>
      <c r="C33" s="36" t="s">
        <v>117</v>
      </c>
      <c r="D33" s="16">
        <v>953566</v>
      </c>
      <c r="E33" s="16">
        <v>555555</v>
      </c>
      <c r="F33" s="16">
        <v>398011</v>
      </c>
      <c r="G33" s="16">
        <v>183333350</v>
      </c>
      <c r="H33" s="36" t="s">
        <v>114</v>
      </c>
      <c r="I33" s="36" t="s">
        <v>118</v>
      </c>
    </row>
    <row r="34" spans="1:9" x14ac:dyDescent="0.4">
      <c r="A34" s="36">
        <v>31</v>
      </c>
      <c r="B34" s="36">
        <v>202102</v>
      </c>
      <c r="C34" s="36" t="s">
        <v>119</v>
      </c>
      <c r="D34" s="16">
        <v>952609</v>
      </c>
      <c r="E34" s="16">
        <v>555555</v>
      </c>
      <c r="F34" s="16">
        <v>397054</v>
      </c>
      <c r="G34" s="16">
        <v>182777795</v>
      </c>
      <c r="H34" s="36" t="s">
        <v>117</v>
      </c>
      <c r="I34" s="36" t="s">
        <v>120</v>
      </c>
    </row>
    <row r="35" spans="1:9" x14ac:dyDescent="0.4">
      <c r="A35" s="36">
        <v>32</v>
      </c>
      <c r="B35" s="36">
        <v>202103</v>
      </c>
      <c r="C35" s="36" t="s">
        <v>121</v>
      </c>
      <c r="D35" s="16">
        <v>913098</v>
      </c>
      <c r="E35" s="16">
        <v>555555</v>
      </c>
      <c r="F35" s="16">
        <v>357543</v>
      </c>
      <c r="G35" s="16">
        <v>182222240</v>
      </c>
      <c r="H35" s="36" t="s">
        <v>119</v>
      </c>
      <c r="I35" s="36" t="s">
        <v>122</v>
      </c>
    </row>
    <row r="36" spans="1:9" x14ac:dyDescent="0.4">
      <c r="A36" s="36">
        <v>33</v>
      </c>
      <c r="B36" s="36">
        <v>202104</v>
      </c>
      <c r="C36" s="36" t="s">
        <v>124</v>
      </c>
      <c r="D36" s="16">
        <v>950203</v>
      </c>
      <c r="E36" s="16">
        <v>555555</v>
      </c>
      <c r="F36" s="16">
        <v>394648</v>
      </c>
      <c r="G36" s="16">
        <v>181666685</v>
      </c>
      <c r="H36" s="36" t="s">
        <v>121</v>
      </c>
      <c r="I36" s="36" t="s">
        <v>125</v>
      </c>
    </row>
    <row r="37" spans="1:9" x14ac:dyDescent="0.4">
      <c r="A37" s="36">
        <v>34</v>
      </c>
      <c r="B37" s="36">
        <v>202105</v>
      </c>
      <c r="C37" s="36" t="s">
        <v>126</v>
      </c>
      <c r="D37" s="16">
        <v>936308</v>
      </c>
      <c r="E37" s="16">
        <v>555555</v>
      </c>
      <c r="F37" s="16">
        <v>380753</v>
      </c>
      <c r="G37" s="16">
        <v>181111130</v>
      </c>
      <c r="H37" s="36" t="s">
        <v>123</v>
      </c>
      <c r="I37" s="36" t="s">
        <v>127</v>
      </c>
    </row>
    <row r="38" spans="1:9" x14ac:dyDescent="0.4">
      <c r="A38" s="36">
        <v>35</v>
      </c>
      <c r="B38" s="36">
        <v>202106</v>
      </c>
      <c r="C38" s="36" t="s">
        <v>128</v>
      </c>
      <c r="D38" s="16">
        <v>947797</v>
      </c>
      <c r="E38" s="16">
        <v>555555</v>
      </c>
      <c r="F38" s="16">
        <v>392242</v>
      </c>
      <c r="G38" s="16">
        <v>180555575</v>
      </c>
      <c r="H38" s="36" t="s">
        <v>126</v>
      </c>
      <c r="I38" s="36" t="s">
        <v>129</v>
      </c>
    </row>
    <row r="39" spans="1:9" x14ac:dyDescent="0.4">
      <c r="A39" s="36">
        <v>36</v>
      </c>
      <c r="B39" s="36">
        <v>202107</v>
      </c>
      <c r="C39" s="36" t="s">
        <v>131</v>
      </c>
      <c r="D39" s="16">
        <v>933979</v>
      </c>
      <c r="E39" s="16">
        <v>555555</v>
      </c>
      <c r="F39" s="16">
        <v>378424</v>
      </c>
      <c r="G39" s="16">
        <v>180000020</v>
      </c>
      <c r="H39" s="36" t="s">
        <v>128</v>
      </c>
      <c r="I39" s="36" t="s">
        <v>132</v>
      </c>
    </row>
    <row r="40" spans="1:9" x14ac:dyDescent="0.4">
      <c r="A40" s="36">
        <v>37</v>
      </c>
      <c r="B40" s="36">
        <v>202108</v>
      </c>
      <c r="C40" s="36" t="s">
        <v>133</v>
      </c>
      <c r="D40" s="16">
        <v>945390</v>
      </c>
      <c r="E40" s="16">
        <v>555555</v>
      </c>
      <c r="F40" s="16">
        <v>389835</v>
      </c>
      <c r="G40" s="16">
        <v>179444465</v>
      </c>
      <c r="H40" s="36" t="s">
        <v>130</v>
      </c>
      <c r="I40" s="36" t="s">
        <v>134</v>
      </c>
    </row>
    <row r="41" spans="1:9" x14ac:dyDescent="0.4">
      <c r="A41" s="36">
        <v>38</v>
      </c>
      <c r="B41" s="36">
        <v>202109</v>
      </c>
      <c r="C41" s="36" t="s">
        <v>136</v>
      </c>
      <c r="D41" s="16">
        <v>944187</v>
      </c>
      <c r="E41" s="16">
        <v>555555</v>
      </c>
      <c r="F41" s="16">
        <v>388632</v>
      </c>
      <c r="G41" s="16">
        <v>178888910</v>
      </c>
      <c r="H41" s="36" t="s">
        <v>133</v>
      </c>
      <c r="I41" s="36" t="s">
        <v>137</v>
      </c>
    </row>
    <row r="42" spans="1:9" x14ac:dyDescent="0.4">
      <c r="A42" s="36">
        <v>39</v>
      </c>
      <c r="B42" s="36">
        <v>202110</v>
      </c>
      <c r="C42" s="36" t="s">
        <v>138</v>
      </c>
      <c r="D42" s="16">
        <v>930486</v>
      </c>
      <c r="E42" s="16">
        <v>555555</v>
      </c>
      <c r="F42" s="16">
        <v>374931</v>
      </c>
      <c r="G42" s="16">
        <v>178333355</v>
      </c>
      <c r="H42" s="36" t="s">
        <v>135</v>
      </c>
      <c r="I42" s="36" t="s">
        <v>139</v>
      </c>
    </row>
    <row r="43" spans="1:9" x14ac:dyDescent="0.4">
      <c r="A43" s="36">
        <v>40</v>
      </c>
      <c r="B43" s="36">
        <v>202111</v>
      </c>
      <c r="C43" s="36" t="s">
        <v>140</v>
      </c>
      <c r="D43" s="16">
        <v>941781</v>
      </c>
      <c r="E43" s="16">
        <v>555555</v>
      </c>
      <c r="F43" s="16">
        <v>386226</v>
      </c>
      <c r="G43" s="16">
        <v>177777800</v>
      </c>
      <c r="H43" s="36" t="s">
        <v>138</v>
      </c>
      <c r="I43" s="36" t="s">
        <v>141</v>
      </c>
    </row>
    <row r="44" spans="1:9" x14ac:dyDescent="0.4">
      <c r="A44" s="36">
        <v>41</v>
      </c>
      <c r="B44" s="36">
        <v>202112</v>
      </c>
      <c r="C44" s="36" t="s">
        <v>143</v>
      </c>
      <c r="D44" s="16">
        <v>928157</v>
      </c>
      <c r="E44" s="16">
        <v>555555</v>
      </c>
      <c r="F44" s="16">
        <v>372602</v>
      </c>
      <c r="G44" s="16">
        <v>177222245</v>
      </c>
      <c r="H44" s="36" t="s">
        <v>140</v>
      </c>
      <c r="I44" s="36" t="s">
        <v>144</v>
      </c>
    </row>
    <row r="45" spans="1:9" x14ac:dyDescent="0.4">
      <c r="A45" s="15">
        <v>42</v>
      </c>
      <c r="B45" s="15">
        <v>202201</v>
      </c>
      <c r="C45" s="15" t="s">
        <v>145</v>
      </c>
      <c r="D45" s="16">
        <v>939374</v>
      </c>
      <c r="E45" s="16">
        <v>555555</v>
      </c>
      <c r="F45" s="16">
        <v>383819</v>
      </c>
      <c r="G45" s="16">
        <v>176666690</v>
      </c>
      <c r="H45" s="36" t="s">
        <v>142</v>
      </c>
      <c r="I45" s="36" t="s">
        <v>146</v>
      </c>
    </row>
    <row r="46" spans="1:9" x14ac:dyDescent="0.4">
      <c r="A46" s="15">
        <v>43</v>
      </c>
      <c r="B46" s="15">
        <v>202202</v>
      </c>
      <c r="C46" s="15" t="s">
        <v>147</v>
      </c>
      <c r="D46" s="16">
        <v>938171</v>
      </c>
      <c r="E46" s="16">
        <v>555555</v>
      </c>
      <c r="F46" s="16">
        <v>382616</v>
      </c>
      <c r="G46" s="16">
        <v>176111135</v>
      </c>
      <c r="H46" s="15" t="s">
        <v>145</v>
      </c>
      <c r="I46" s="15" t="s">
        <v>148</v>
      </c>
    </row>
    <row r="47" spans="1:9" x14ac:dyDescent="0.4">
      <c r="A47" s="15">
        <v>44</v>
      </c>
      <c r="B47" s="15">
        <v>202203</v>
      </c>
      <c r="C47" s="15" t="s">
        <v>149</v>
      </c>
      <c r="D47" s="16">
        <v>900057</v>
      </c>
      <c r="E47" s="16">
        <v>555555</v>
      </c>
      <c r="F47" s="16">
        <v>344502</v>
      </c>
      <c r="G47" s="16">
        <v>175555580</v>
      </c>
      <c r="H47" s="15" t="s">
        <v>147</v>
      </c>
      <c r="I47" s="15" t="s">
        <v>150</v>
      </c>
    </row>
    <row r="48" spans="1:9" x14ac:dyDescent="0.4">
      <c r="A48" s="15">
        <v>45</v>
      </c>
      <c r="B48" s="15">
        <v>202204</v>
      </c>
      <c r="C48" s="15" t="s">
        <v>151</v>
      </c>
      <c r="D48" s="16">
        <v>935765</v>
      </c>
      <c r="E48" s="16">
        <v>555555</v>
      </c>
      <c r="F48" s="16">
        <v>380210</v>
      </c>
      <c r="G48" s="16">
        <v>175000025</v>
      </c>
      <c r="H48" s="15" t="s">
        <v>149</v>
      </c>
      <c r="I48" s="15" t="s">
        <v>152</v>
      </c>
    </row>
    <row r="49" spans="1:9" x14ac:dyDescent="0.4">
      <c r="A49" s="15">
        <v>46</v>
      </c>
      <c r="B49" s="15">
        <v>202205</v>
      </c>
      <c r="C49" s="15" t="s">
        <v>153</v>
      </c>
      <c r="D49" s="16">
        <v>922335</v>
      </c>
      <c r="E49" s="16">
        <v>555555</v>
      </c>
      <c r="F49" s="16">
        <v>366780</v>
      </c>
      <c r="G49" s="16">
        <v>174444470</v>
      </c>
      <c r="H49" s="15" t="s">
        <v>151</v>
      </c>
      <c r="I49" s="15" t="s">
        <v>154</v>
      </c>
    </row>
    <row r="50" spans="1:9" x14ac:dyDescent="0.4">
      <c r="A50" s="15">
        <v>47</v>
      </c>
      <c r="B50" s="15">
        <v>202206</v>
      </c>
      <c r="C50" s="15" t="s">
        <v>156</v>
      </c>
      <c r="D50" s="16">
        <v>933358</v>
      </c>
      <c r="E50" s="16">
        <v>555555</v>
      </c>
      <c r="F50" s="16">
        <v>377803</v>
      </c>
      <c r="G50" s="16">
        <v>173888915</v>
      </c>
      <c r="H50" s="15" t="s">
        <v>153</v>
      </c>
      <c r="I50" s="15" t="s">
        <v>157</v>
      </c>
    </row>
    <row r="51" spans="1:9" x14ac:dyDescent="0.4">
      <c r="A51" s="15">
        <v>48</v>
      </c>
      <c r="B51" s="15">
        <v>202207</v>
      </c>
      <c r="C51" s="15" t="s">
        <v>158</v>
      </c>
      <c r="D51" s="16">
        <v>920007</v>
      </c>
      <c r="E51" s="16">
        <v>555555</v>
      </c>
      <c r="F51" s="16">
        <v>364452</v>
      </c>
      <c r="G51" s="16">
        <v>173333360</v>
      </c>
      <c r="H51" s="15" t="s">
        <v>155</v>
      </c>
      <c r="I51" s="15" t="s">
        <v>159</v>
      </c>
    </row>
    <row r="52" spans="1:9" x14ac:dyDescent="0.4">
      <c r="A52" s="15">
        <v>49</v>
      </c>
      <c r="B52" s="15">
        <v>202208</v>
      </c>
      <c r="C52" s="15" t="s">
        <v>160</v>
      </c>
      <c r="D52" s="16">
        <v>930952</v>
      </c>
      <c r="E52" s="16">
        <v>555555</v>
      </c>
      <c r="F52" s="16">
        <v>375397</v>
      </c>
      <c r="G52" s="16">
        <v>172777805</v>
      </c>
      <c r="H52" s="15" t="s">
        <v>158</v>
      </c>
      <c r="I52" s="15" t="s">
        <v>161</v>
      </c>
    </row>
    <row r="53" spans="1:9" x14ac:dyDescent="0.4">
      <c r="A53" s="15">
        <v>50</v>
      </c>
      <c r="B53" s="15">
        <v>202209</v>
      </c>
      <c r="C53" s="15" t="s">
        <v>163</v>
      </c>
      <c r="D53" s="16">
        <v>929749</v>
      </c>
      <c r="E53" s="16">
        <v>555555</v>
      </c>
      <c r="F53" s="16">
        <v>374194</v>
      </c>
      <c r="G53" s="16">
        <v>172222250</v>
      </c>
      <c r="H53" s="15" t="s">
        <v>160</v>
      </c>
      <c r="I53" s="15" t="s">
        <v>164</v>
      </c>
    </row>
    <row r="54" spans="1:9" x14ac:dyDescent="0.4">
      <c r="A54" s="15">
        <v>51</v>
      </c>
      <c r="B54" s="15">
        <v>202210</v>
      </c>
      <c r="C54" s="15" t="s">
        <v>165</v>
      </c>
      <c r="D54" s="16">
        <v>916513</v>
      </c>
      <c r="E54" s="16">
        <v>555555</v>
      </c>
      <c r="F54" s="16">
        <v>360958</v>
      </c>
      <c r="G54" s="16">
        <v>171666695</v>
      </c>
      <c r="H54" s="15" t="s">
        <v>162</v>
      </c>
      <c r="I54" s="15" t="s">
        <v>166</v>
      </c>
    </row>
    <row r="55" spans="1:9" x14ac:dyDescent="0.4">
      <c r="A55" s="15">
        <v>52</v>
      </c>
      <c r="B55" s="15">
        <v>202211</v>
      </c>
      <c r="C55" s="15" t="s">
        <v>167</v>
      </c>
      <c r="D55" s="16">
        <v>927342</v>
      </c>
      <c r="E55" s="16">
        <v>555555</v>
      </c>
      <c r="F55" s="16">
        <v>371787</v>
      </c>
      <c r="G55" s="16">
        <v>171111140</v>
      </c>
      <c r="H55" s="15" t="s">
        <v>165</v>
      </c>
      <c r="I55" s="15" t="s">
        <v>168</v>
      </c>
    </row>
    <row r="56" spans="1:9" x14ac:dyDescent="0.4">
      <c r="A56" s="15">
        <v>53</v>
      </c>
      <c r="B56" s="15">
        <v>202212</v>
      </c>
      <c r="C56" s="15" t="s">
        <v>170</v>
      </c>
      <c r="D56" s="16">
        <v>914185</v>
      </c>
      <c r="E56" s="16">
        <v>555555</v>
      </c>
      <c r="F56" s="16">
        <v>358630</v>
      </c>
      <c r="G56" s="16">
        <v>170555585</v>
      </c>
      <c r="H56" s="15" t="s">
        <v>167</v>
      </c>
      <c r="I56" s="15" t="s">
        <v>171</v>
      </c>
    </row>
    <row r="57" spans="1:9" x14ac:dyDescent="0.4">
      <c r="A57" s="15">
        <v>54</v>
      </c>
      <c r="B57" s="15">
        <v>202301</v>
      </c>
      <c r="C57" s="15" t="s">
        <v>172</v>
      </c>
      <c r="D57" s="16">
        <v>924936</v>
      </c>
      <c r="E57" s="16">
        <v>555555</v>
      </c>
      <c r="F57" s="16">
        <v>369381</v>
      </c>
      <c r="G57" s="16">
        <v>170000030</v>
      </c>
      <c r="H57" s="15" t="s">
        <v>169</v>
      </c>
      <c r="I57" s="15" t="s">
        <v>173</v>
      </c>
    </row>
    <row r="58" spans="1:9" x14ac:dyDescent="0.4">
      <c r="A58" s="15">
        <v>55</v>
      </c>
      <c r="B58" s="15">
        <v>202302</v>
      </c>
      <c r="C58" s="15" t="s">
        <v>175</v>
      </c>
      <c r="D58" s="16">
        <v>923733</v>
      </c>
      <c r="E58" s="16">
        <v>555555</v>
      </c>
      <c r="F58" s="16">
        <v>368178</v>
      </c>
      <c r="G58" s="16">
        <v>169444475</v>
      </c>
      <c r="H58" s="15" t="s">
        <v>172</v>
      </c>
      <c r="I58" s="15" t="s">
        <v>176</v>
      </c>
    </row>
    <row r="59" spans="1:9" x14ac:dyDescent="0.4">
      <c r="A59" s="15">
        <v>56</v>
      </c>
      <c r="B59" s="15">
        <v>202303</v>
      </c>
      <c r="C59" s="15" t="s">
        <v>178</v>
      </c>
      <c r="D59" s="16">
        <v>887016</v>
      </c>
      <c r="E59" s="16">
        <v>555555</v>
      </c>
      <c r="F59" s="16">
        <v>331461</v>
      </c>
      <c r="G59" s="16">
        <v>168888920</v>
      </c>
      <c r="H59" s="15" t="s">
        <v>174</v>
      </c>
      <c r="I59" s="15" t="s">
        <v>179</v>
      </c>
    </row>
    <row r="60" spans="1:9" x14ac:dyDescent="0.4">
      <c r="A60" s="15">
        <v>57</v>
      </c>
      <c r="B60" s="15">
        <v>202304</v>
      </c>
      <c r="C60" s="15" t="s">
        <v>180</v>
      </c>
      <c r="D60" s="16">
        <v>921326</v>
      </c>
      <c r="E60" s="16">
        <v>555555</v>
      </c>
      <c r="F60" s="16">
        <v>365771</v>
      </c>
      <c r="G60" s="16">
        <v>168333365</v>
      </c>
      <c r="H60" s="15" t="s">
        <v>177</v>
      </c>
      <c r="I60" s="15" t="s">
        <v>181</v>
      </c>
    </row>
    <row r="61" spans="1:9" x14ac:dyDescent="0.4">
      <c r="A61" s="15">
        <v>58</v>
      </c>
      <c r="B61" s="15">
        <v>202305</v>
      </c>
      <c r="C61" s="15" t="s">
        <v>182</v>
      </c>
      <c r="D61" s="16">
        <v>908363</v>
      </c>
      <c r="E61" s="16">
        <v>555555</v>
      </c>
      <c r="F61" s="16">
        <v>352808</v>
      </c>
      <c r="G61" s="16">
        <v>167777810</v>
      </c>
      <c r="H61" s="15" t="s">
        <v>180</v>
      </c>
      <c r="I61" s="15" t="s">
        <v>183</v>
      </c>
    </row>
    <row r="62" spans="1:9" x14ac:dyDescent="0.4">
      <c r="A62" s="15">
        <v>59</v>
      </c>
      <c r="B62" s="15">
        <v>202306</v>
      </c>
      <c r="C62" s="15" t="s">
        <v>185</v>
      </c>
      <c r="D62" s="16">
        <v>918920</v>
      </c>
      <c r="E62" s="16">
        <v>555555</v>
      </c>
      <c r="F62" s="16">
        <v>363365</v>
      </c>
      <c r="G62" s="16">
        <v>167222255</v>
      </c>
      <c r="H62" s="15" t="s">
        <v>182</v>
      </c>
      <c r="I62" s="15" t="s">
        <v>186</v>
      </c>
    </row>
    <row r="63" spans="1:9" x14ac:dyDescent="0.4">
      <c r="A63" s="15">
        <v>60</v>
      </c>
      <c r="B63" s="15">
        <v>202307</v>
      </c>
      <c r="C63" s="15" t="s">
        <v>187</v>
      </c>
      <c r="D63" s="16">
        <v>906034</v>
      </c>
      <c r="E63" s="16">
        <v>555555</v>
      </c>
      <c r="F63" s="16">
        <v>350479</v>
      </c>
      <c r="G63" s="16">
        <v>166666700</v>
      </c>
      <c r="H63" s="15" t="s">
        <v>184</v>
      </c>
      <c r="I63" s="15" t="s">
        <v>188</v>
      </c>
    </row>
    <row r="64" spans="1:9" x14ac:dyDescent="0.4">
      <c r="A64" s="15">
        <v>61</v>
      </c>
      <c r="B64" s="15">
        <v>202308</v>
      </c>
      <c r="C64" s="15" t="s">
        <v>189</v>
      </c>
      <c r="D64" s="16">
        <v>916513</v>
      </c>
      <c r="E64" s="16">
        <v>555555</v>
      </c>
      <c r="F64" s="16">
        <v>360958</v>
      </c>
      <c r="G64" s="16">
        <v>166111145</v>
      </c>
      <c r="H64" s="15" t="s">
        <v>187</v>
      </c>
      <c r="I64" s="15" t="s">
        <v>190</v>
      </c>
    </row>
    <row r="65" spans="1:9" x14ac:dyDescent="0.4">
      <c r="A65" s="15">
        <v>62</v>
      </c>
      <c r="B65" s="15">
        <v>202309</v>
      </c>
      <c r="C65" s="15" t="s">
        <v>191</v>
      </c>
      <c r="D65" s="16">
        <v>915310</v>
      </c>
      <c r="E65" s="16">
        <v>555555</v>
      </c>
      <c r="F65" s="16">
        <v>359755</v>
      </c>
      <c r="G65" s="16">
        <v>165555590</v>
      </c>
      <c r="H65" s="15" t="s">
        <v>189</v>
      </c>
      <c r="I65" s="15" t="s">
        <v>192</v>
      </c>
    </row>
    <row r="66" spans="1:9" x14ac:dyDescent="0.4">
      <c r="A66" s="15">
        <v>63</v>
      </c>
      <c r="B66" s="15">
        <v>202310</v>
      </c>
      <c r="C66" s="15" t="s">
        <v>193</v>
      </c>
      <c r="D66" s="16">
        <v>902541</v>
      </c>
      <c r="E66" s="16">
        <v>555555</v>
      </c>
      <c r="F66" s="16">
        <v>346986</v>
      </c>
      <c r="G66" s="16">
        <v>165000035</v>
      </c>
      <c r="H66" s="15" t="s">
        <v>191</v>
      </c>
      <c r="I66" s="15" t="s">
        <v>194</v>
      </c>
    </row>
    <row r="67" spans="1:9" x14ac:dyDescent="0.4">
      <c r="A67" s="15">
        <v>64</v>
      </c>
      <c r="B67" s="15">
        <v>202311</v>
      </c>
      <c r="C67" s="15" t="s">
        <v>196</v>
      </c>
      <c r="D67" s="16">
        <v>912904</v>
      </c>
      <c r="E67" s="16">
        <v>555555</v>
      </c>
      <c r="F67" s="16">
        <v>357349</v>
      </c>
      <c r="G67" s="16">
        <v>164444480</v>
      </c>
      <c r="H67" s="15" t="s">
        <v>193</v>
      </c>
      <c r="I67" s="15" t="s">
        <v>197</v>
      </c>
    </row>
    <row r="68" spans="1:9" x14ac:dyDescent="0.4">
      <c r="A68" s="15">
        <v>65</v>
      </c>
      <c r="B68" s="15">
        <v>202312</v>
      </c>
      <c r="C68" s="15" t="s">
        <v>199</v>
      </c>
      <c r="D68" s="16">
        <v>900212</v>
      </c>
      <c r="E68" s="16">
        <v>555555</v>
      </c>
      <c r="F68" s="16">
        <v>344657</v>
      </c>
      <c r="G68" s="16">
        <v>163888925</v>
      </c>
      <c r="H68" s="15" t="s">
        <v>195</v>
      </c>
      <c r="I68" s="15" t="s">
        <v>200</v>
      </c>
    </row>
    <row r="69" spans="1:9" x14ac:dyDescent="0.4">
      <c r="A69" s="15">
        <v>66</v>
      </c>
      <c r="B69" s="15">
        <v>202401</v>
      </c>
      <c r="C69" s="15" t="s">
        <v>201</v>
      </c>
      <c r="D69" s="16">
        <v>909746</v>
      </c>
      <c r="E69" s="16">
        <v>555555</v>
      </c>
      <c r="F69" s="16">
        <v>354191</v>
      </c>
      <c r="G69" s="16">
        <v>163333370</v>
      </c>
      <c r="H69" s="15" t="s">
        <v>198</v>
      </c>
      <c r="I69" s="15" t="s">
        <v>202</v>
      </c>
    </row>
    <row r="70" spans="1:9" x14ac:dyDescent="0.4">
      <c r="A70" s="15">
        <v>67</v>
      </c>
      <c r="B70" s="15">
        <v>202402</v>
      </c>
      <c r="C70" s="15" t="s">
        <v>204</v>
      </c>
      <c r="D70" s="16">
        <v>908328</v>
      </c>
      <c r="E70" s="16">
        <v>555555</v>
      </c>
      <c r="F70" s="16">
        <v>352773</v>
      </c>
      <c r="G70" s="16">
        <v>162777815</v>
      </c>
      <c r="H70" s="15" t="s">
        <v>201</v>
      </c>
      <c r="I70" s="15" t="s">
        <v>205</v>
      </c>
    </row>
    <row r="71" spans="1:9" x14ac:dyDescent="0.4">
      <c r="A71" s="15">
        <v>68</v>
      </c>
      <c r="B71" s="15">
        <v>202403</v>
      </c>
      <c r="C71" s="15" t="s">
        <v>206</v>
      </c>
      <c r="D71" s="16">
        <v>884446</v>
      </c>
      <c r="E71" s="16">
        <v>555555</v>
      </c>
      <c r="F71" s="16">
        <v>328891</v>
      </c>
      <c r="G71" s="16">
        <v>162222260</v>
      </c>
      <c r="H71" s="15" t="s">
        <v>203</v>
      </c>
      <c r="I71" s="15" t="s">
        <v>207</v>
      </c>
    </row>
    <row r="72" spans="1:9" x14ac:dyDescent="0.4">
      <c r="A72" s="15">
        <v>69</v>
      </c>
      <c r="B72" s="15">
        <v>202404</v>
      </c>
      <c r="C72" s="15" t="s">
        <v>208</v>
      </c>
      <c r="D72" s="16">
        <v>905928</v>
      </c>
      <c r="E72" s="16">
        <v>555555</v>
      </c>
      <c r="F72" s="16">
        <v>350373</v>
      </c>
      <c r="G72" s="16">
        <v>161666705</v>
      </c>
      <c r="H72" s="15" t="s">
        <v>206</v>
      </c>
      <c r="I72" s="15" t="s">
        <v>209</v>
      </c>
    </row>
    <row r="73" spans="1:9" x14ac:dyDescent="0.4">
      <c r="A73" s="15">
        <v>70</v>
      </c>
      <c r="B73" s="15">
        <v>202405</v>
      </c>
      <c r="C73" s="15" t="s">
        <v>211</v>
      </c>
      <c r="D73" s="16">
        <v>893464</v>
      </c>
      <c r="E73" s="16">
        <v>555555</v>
      </c>
      <c r="F73" s="16">
        <v>337909</v>
      </c>
      <c r="G73" s="16">
        <v>161111150</v>
      </c>
      <c r="H73" s="15" t="s">
        <v>208</v>
      </c>
      <c r="I73" s="15" t="s">
        <v>212</v>
      </c>
    </row>
    <row r="74" spans="1:9" x14ac:dyDescent="0.4">
      <c r="A74" s="15">
        <v>71</v>
      </c>
      <c r="B74" s="15">
        <v>202406</v>
      </c>
      <c r="C74" s="15" t="s">
        <v>213</v>
      </c>
      <c r="D74" s="16">
        <v>903528</v>
      </c>
      <c r="E74" s="16">
        <v>555555</v>
      </c>
      <c r="F74" s="16">
        <v>347973</v>
      </c>
      <c r="G74" s="16">
        <v>160555595</v>
      </c>
      <c r="H74" s="15" t="s">
        <v>210</v>
      </c>
      <c r="I74" s="15" t="s">
        <v>214</v>
      </c>
    </row>
    <row r="75" spans="1:9" x14ac:dyDescent="0.4">
      <c r="A75" s="15">
        <v>72</v>
      </c>
      <c r="B75" s="15">
        <v>202407</v>
      </c>
      <c r="C75" s="15" t="s">
        <v>215</v>
      </c>
      <c r="D75" s="16">
        <v>891142</v>
      </c>
      <c r="E75" s="16">
        <v>555555</v>
      </c>
      <c r="F75" s="16">
        <v>335587</v>
      </c>
      <c r="G75" s="16">
        <v>160000040</v>
      </c>
      <c r="H75" s="15" t="s">
        <v>213</v>
      </c>
      <c r="I75" s="15" t="s">
        <v>216</v>
      </c>
    </row>
    <row r="76" spans="1:9" x14ac:dyDescent="0.4">
      <c r="A76" s="15">
        <v>73</v>
      </c>
      <c r="B76" s="15">
        <v>202408</v>
      </c>
      <c r="C76" s="15" t="s">
        <v>218</v>
      </c>
      <c r="D76" s="16">
        <v>901128</v>
      </c>
      <c r="E76" s="16">
        <v>555555</v>
      </c>
      <c r="F76" s="16">
        <v>345573</v>
      </c>
      <c r="G76" s="16">
        <v>159444485</v>
      </c>
      <c r="H76" s="15" t="s">
        <v>215</v>
      </c>
      <c r="I76" s="15" t="s">
        <v>219</v>
      </c>
    </row>
    <row r="77" spans="1:9" x14ac:dyDescent="0.4">
      <c r="A77" s="15">
        <v>74</v>
      </c>
      <c r="B77" s="15">
        <v>202409</v>
      </c>
      <c r="C77" s="15" t="s">
        <v>220</v>
      </c>
      <c r="D77" s="16">
        <v>899928</v>
      </c>
      <c r="E77" s="16">
        <v>555555</v>
      </c>
      <c r="F77" s="16">
        <v>344373</v>
      </c>
      <c r="G77" s="16">
        <v>158888930</v>
      </c>
      <c r="H77" s="15" t="s">
        <v>217</v>
      </c>
      <c r="I77" s="15" t="s">
        <v>221</v>
      </c>
    </row>
    <row r="78" spans="1:9" x14ac:dyDescent="0.4">
      <c r="A78" s="15">
        <v>75</v>
      </c>
      <c r="B78" s="15">
        <v>202410</v>
      </c>
      <c r="C78" s="15" t="s">
        <v>222</v>
      </c>
      <c r="D78" s="16">
        <v>887658</v>
      </c>
      <c r="E78" s="16">
        <v>555555</v>
      </c>
      <c r="F78" s="16">
        <v>332103</v>
      </c>
      <c r="G78" s="16">
        <v>158333375</v>
      </c>
      <c r="H78" s="15" t="s">
        <v>220</v>
      </c>
      <c r="I78" s="15" t="s">
        <v>223</v>
      </c>
    </row>
    <row r="79" spans="1:9" x14ac:dyDescent="0.4">
      <c r="A79" s="15">
        <v>76</v>
      </c>
      <c r="B79" s="15">
        <v>202411</v>
      </c>
      <c r="C79" s="15" t="s">
        <v>224</v>
      </c>
      <c r="D79" s="16">
        <v>897529</v>
      </c>
      <c r="E79" s="16">
        <v>555555</v>
      </c>
      <c r="F79" s="16">
        <v>341974</v>
      </c>
      <c r="G79" s="16">
        <v>157777820</v>
      </c>
      <c r="H79" s="15" t="s">
        <v>222</v>
      </c>
      <c r="I79" s="15" t="s">
        <v>225</v>
      </c>
    </row>
    <row r="80" spans="1:9" x14ac:dyDescent="0.4">
      <c r="A80" s="15">
        <v>77</v>
      </c>
      <c r="B80" s="15">
        <v>202412</v>
      </c>
      <c r="C80" s="15" t="s">
        <v>227</v>
      </c>
      <c r="D80" s="16">
        <v>885336</v>
      </c>
      <c r="E80" s="16">
        <v>555555</v>
      </c>
      <c r="F80" s="16">
        <v>329781</v>
      </c>
      <c r="G80" s="16">
        <v>157222265</v>
      </c>
      <c r="H80" s="15" t="s">
        <v>224</v>
      </c>
      <c r="I80" s="15" t="s">
        <v>228</v>
      </c>
    </row>
    <row r="81" spans="1:9" x14ac:dyDescent="0.4">
      <c r="A81" s="15">
        <v>78</v>
      </c>
      <c r="B81" s="15">
        <v>202501</v>
      </c>
      <c r="C81" s="15" t="s">
        <v>230</v>
      </c>
      <c r="D81" s="16">
        <v>895849</v>
      </c>
      <c r="E81" s="16">
        <v>555555</v>
      </c>
      <c r="F81" s="16">
        <v>340294</v>
      </c>
      <c r="G81" s="16">
        <v>156666710</v>
      </c>
      <c r="H81" s="15" t="s">
        <v>226</v>
      </c>
      <c r="I81" s="15" t="s">
        <v>231</v>
      </c>
    </row>
    <row r="82" spans="1:9" x14ac:dyDescent="0.4">
      <c r="A82" s="15">
        <v>79</v>
      </c>
      <c r="B82" s="15">
        <v>202502</v>
      </c>
      <c r="C82" s="15" t="s">
        <v>232</v>
      </c>
      <c r="D82" s="16">
        <v>894856</v>
      </c>
      <c r="E82" s="16">
        <v>555555</v>
      </c>
      <c r="F82" s="16">
        <v>339301</v>
      </c>
      <c r="G82" s="16">
        <v>156111155</v>
      </c>
      <c r="H82" s="15" t="s">
        <v>229</v>
      </c>
      <c r="I82" s="15" t="s">
        <v>233</v>
      </c>
    </row>
    <row r="83" spans="1:9" x14ac:dyDescent="0.4">
      <c r="A83" s="15">
        <v>80</v>
      </c>
      <c r="B83" s="15">
        <v>202503</v>
      </c>
      <c r="C83" s="15" t="s">
        <v>234</v>
      </c>
      <c r="D83" s="16">
        <v>860934</v>
      </c>
      <c r="E83" s="16">
        <v>555555</v>
      </c>
      <c r="F83" s="16">
        <v>305379</v>
      </c>
      <c r="G83" s="16">
        <v>155555600</v>
      </c>
      <c r="H83" s="15" t="s">
        <v>232</v>
      </c>
      <c r="I83" s="15" t="s">
        <v>235</v>
      </c>
    </row>
    <row r="84" spans="1:9" x14ac:dyDescent="0.4">
      <c r="A84" s="15">
        <v>81</v>
      </c>
      <c r="B84" s="15">
        <v>202504</v>
      </c>
      <c r="C84" s="15" t="s">
        <v>236</v>
      </c>
      <c r="D84" s="16">
        <v>892450</v>
      </c>
      <c r="E84" s="16">
        <v>555555</v>
      </c>
      <c r="F84" s="16">
        <v>336895</v>
      </c>
      <c r="G84" s="16">
        <v>155000045</v>
      </c>
      <c r="H84" s="15" t="s">
        <v>234</v>
      </c>
      <c r="I84" s="15" t="s">
        <v>237</v>
      </c>
    </row>
    <row r="85" spans="1:9" x14ac:dyDescent="0.4">
      <c r="A85" s="15">
        <v>82</v>
      </c>
      <c r="B85" s="15">
        <v>202505</v>
      </c>
      <c r="C85" s="15" t="s">
        <v>239</v>
      </c>
      <c r="D85" s="16">
        <v>880418</v>
      </c>
      <c r="E85" s="16">
        <v>555555</v>
      </c>
      <c r="F85" s="16">
        <v>324863</v>
      </c>
      <c r="G85" s="16">
        <v>154444490</v>
      </c>
      <c r="H85" s="15" t="s">
        <v>236</v>
      </c>
      <c r="I85" s="15" t="s">
        <v>240</v>
      </c>
    </row>
    <row r="86" spans="1:9" x14ac:dyDescent="0.4">
      <c r="A86" s="15">
        <v>83</v>
      </c>
      <c r="B86" s="15">
        <v>202506</v>
      </c>
      <c r="C86" s="15" t="s">
        <v>241</v>
      </c>
      <c r="D86" s="16">
        <v>890043</v>
      </c>
      <c r="E86" s="16">
        <v>555555</v>
      </c>
      <c r="F86" s="16">
        <v>334488</v>
      </c>
      <c r="G86" s="16">
        <v>153888935</v>
      </c>
      <c r="H86" s="15" t="s">
        <v>238</v>
      </c>
      <c r="I86" s="15" t="s">
        <v>242</v>
      </c>
    </row>
    <row r="87" spans="1:9" x14ac:dyDescent="0.4">
      <c r="A87" s="15">
        <v>84</v>
      </c>
      <c r="B87" s="15">
        <v>202507</v>
      </c>
      <c r="C87" s="15" t="s">
        <v>243</v>
      </c>
      <c r="D87" s="16">
        <v>878089</v>
      </c>
      <c r="E87" s="16">
        <v>555555</v>
      </c>
      <c r="F87" s="16">
        <v>322534</v>
      </c>
      <c r="G87" s="16">
        <v>153333380</v>
      </c>
      <c r="H87" s="15" t="s">
        <v>241</v>
      </c>
      <c r="I87" s="15" t="s">
        <v>244</v>
      </c>
    </row>
    <row r="88" spans="1:9" x14ac:dyDescent="0.4">
      <c r="A88" s="15">
        <v>85</v>
      </c>
      <c r="B88" s="15">
        <v>202508</v>
      </c>
      <c r="C88" s="15" t="s">
        <v>245</v>
      </c>
      <c r="D88" s="16">
        <v>887637</v>
      </c>
      <c r="E88" s="16">
        <v>555555</v>
      </c>
      <c r="F88" s="16">
        <v>332082</v>
      </c>
      <c r="G88" s="16">
        <v>152777825</v>
      </c>
      <c r="H88" s="15" t="s">
        <v>243</v>
      </c>
      <c r="I88" s="15" t="s">
        <v>246</v>
      </c>
    </row>
    <row r="89" spans="1:9" x14ac:dyDescent="0.4">
      <c r="A89" s="15">
        <v>86</v>
      </c>
      <c r="B89" s="15">
        <v>202509</v>
      </c>
      <c r="C89" s="15" t="s">
        <v>247</v>
      </c>
      <c r="D89" s="16">
        <v>886434</v>
      </c>
      <c r="E89" s="16">
        <v>555555</v>
      </c>
      <c r="F89" s="16">
        <v>330879</v>
      </c>
      <c r="G89" s="16">
        <v>152222270</v>
      </c>
      <c r="H89" s="15" t="s">
        <v>245</v>
      </c>
      <c r="I89" s="15" t="s">
        <v>248</v>
      </c>
    </row>
    <row r="90" spans="1:9" x14ac:dyDescent="0.4">
      <c r="A90" s="15">
        <v>87</v>
      </c>
      <c r="B90" s="15">
        <v>202510</v>
      </c>
      <c r="C90" s="15" t="s">
        <v>250</v>
      </c>
      <c r="D90" s="16">
        <v>874596</v>
      </c>
      <c r="E90" s="16">
        <v>555555</v>
      </c>
      <c r="F90" s="16">
        <v>319041</v>
      </c>
      <c r="G90" s="16">
        <v>151666715</v>
      </c>
      <c r="H90" s="15" t="s">
        <v>247</v>
      </c>
      <c r="I90" s="15" t="s">
        <v>251</v>
      </c>
    </row>
    <row r="91" spans="1:9" x14ac:dyDescent="0.4">
      <c r="A91" s="12">
        <v>88</v>
      </c>
      <c r="B91" s="12">
        <v>202511</v>
      </c>
      <c r="C91" s="12" t="s">
        <v>252</v>
      </c>
      <c r="D91" s="14">
        <v>884027</v>
      </c>
      <c r="E91" s="14">
        <v>555555</v>
      </c>
      <c r="F91" s="14">
        <v>328472</v>
      </c>
      <c r="G91" s="14">
        <v>151111160</v>
      </c>
      <c r="H91" s="12" t="s">
        <v>249</v>
      </c>
      <c r="I91" s="12" t="s">
        <v>253</v>
      </c>
    </row>
    <row r="92" spans="1:9" x14ac:dyDescent="0.4">
      <c r="A92" s="12">
        <v>89</v>
      </c>
      <c r="B92" s="12">
        <v>202512</v>
      </c>
      <c r="C92" s="12" t="s">
        <v>255</v>
      </c>
      <c r="D92" s="14">
        <v>872267</v>
      </c>
      <c r="E92" s="14">
        <v>555555</v>
      </c>
      <c r="F92" s="14">
        <v>316712</v>
      </c>
      <c r="G92" s="14">
        <v>150555605</v>
      </c>
      <c r="H92" s="12" t="s">
        <v>252</v>
      </c>
      <c r="I92" s="12" t="s">
        <v>256</v>
      </c>
    </row>
    <row r="93" spans="1:9" x14ac:dyDescent="0.4">
      <c r="A93" s="12">
        <v>90</v>
      </c>
      <c r="B93" s="12">
        <v>202601</v>
      </c>
      <c r="C93" s="12" t="s">
        <v>258</v>
      </c>
      <c r="D93" s="14">
        <v>881621</v>
      </c>
      <c r="E93" s="14">
        <v>555555</v>
      </c>
      <c r="F93" s="14">
        <v>326066</v>
      </c>
      <c r="G93" s="14">
        <v>150000050</v>
      </c>
      <c r="H93" s="12" t="s">
        <v>254</v>
      </c>
      <c r="I93" s="12" t="s">
        <v>259</v>
      </c>
    </row>
    <row r="94" spans="1:9" x14ac:dyDescent="0.4">
      <c r="A94" s="12">
        <v>91</v>
      </c>
      <c r="B94" s="12">
        <v>202602</v>
      </c>
      <c r="C94" s="12" t="s">
        <v>260</v>
      </c>
      <c r="D94" s="14">
        <v>880418</v>
      </c>
      <c r="E94" s="14">
        <v>555555</v>
      </c>
      <c r="F94" s="14">
        <v>324863</v>
      </c>
      <c r="G94" s="14">
        <v>149444495</v>
      </c>
      <c r="H94" s="12" t="s">
        <v>257</v>
      </c>
      <c r="I94" s="12" t="s">
        <v>261</v>
      </c>
    </row>
    <row r="95" spans="1:9" x14ac:dyDescent="0.4">
      <c r="A95" s="12">
        <v>92</v>
      </c>
      <c r="B95" s="12">
        <v>202603</v>
      </c>
      <c r="C95" s="12" t="s">
        <v>262</v>
      </c>
      <c r="D95" s="14">
        <v>847892</v>
      </c>
      <c r="E95" s="14">
        <v>555555</v>
      </c>
      <c r="F95" s="14">
        <v>292337</v>
      </c>
      <c r="G95" s="14">
        <v>148888940</v>
      </c>
      <c r="H95" s="12" t="s">
        <v>260</v>
      </c>
      <c r="I95" s="12" t="s">
        <v>263</v>
      </c>
    </row>
    <row r="96" spans="1:9" x14ac:dyDescent="0.4">
      <c r="A96" s="12">
        <v>93</v>
      </c>
      <c r="B96" s="12">
        <v>202604</v>
      </c>
      <c r="C96" s="12" t="s">
        <v>265</v>
      </c>
      <c r="D96" s="14">
        <v>878011</v>
      </c>
      <c r="E96" s="14">
        <v>555555</v>
      </c>
      <c r="F96" s="14">
        <v>322456</v>
      </c>
      <c r="G96" s="14">
        <v>148333385</v>
      </c>
      <c r="H96" s="12" t="s">
        <v>262</v>
      </c>
      <c r="I96" s="12" t="s">
        <v>266</v>
      </c>
    </row>
    <row r="97" spans="1:9" x14ac:dyDescent="0.4">
      <c r="A97" s="12">
        <v>94</v>
      </c>
      <c r="B97" s="12">
        <v>202605</v>
      </c>
      <c r="C97" s="12" t="s">
        <v>267</v>
      </c>
      <c r="D97" s="14">
        <v>866445</v>
      </c>
      <c r="E97" s="14">
        <v>555555</v>
      </c>
      <c r="F97" s="14">
        <v>310890</v>
      </c>
      <c r="G97" s="14">
        <v>147777830</v>
      </c>
      <c r="H97" s="12" t="s">
        <v>264</v>
      </c>
      <c r="I97" s="12" t="s">
        <v>268</v>
      </c>
    </row>
    <row r="98" spans="1:9" x14ac:dyDescent="0.4">
      <c r="A98" s="12">
        <v>95</v>
      </c>
      <c r="B98" s="12">
        <v>202606</v>
      </c>
      <c r="C98" s="12" t="s">
        <v>269</v>
      </c>
      <c r="D98" s="14">
        <v>875605</v>
      </c>
      <c r="E98" s="14">
        <v>555555</v>
      </c>
      <c r="F98" s="14">
        <v>320050</v>
      </c>
      <c r="G98" s="14">
        <v>147222275</v>
      </c>
      <c r="H98" s="12" t="s">
        <v>267</v>
      </c>
      <c r="I98" s="12" t="s">
        <v>270</v>
      </c>
    </row>
    <row r="99" spans="1:9" x14ac:dyDescent="0.4">
      <c r="A99" s="12">
        <v>96</v>
      </c>
      <c r="B99" s="12">
        <v>202607</v>
      </c>
      <c r="C99" s="12" t="s">
        <v>272</v>
      </c>
      <c r="D99" s="14">
        <v>864116</v>
      </c>
      <c r="E99" s="14">
        <v>555555</v>
      </c>
      <c r="F99" s="14">
        <v>308561</v>
      </c>
      <c r="G99" s="14">
        <v>146666720</v>
      </c>
      <c r="H99" s="12" t="s">
        <v>269</v>
      </c>
      <c r="I99" s="12" t="s">
        <v>273</v>
      </c>
    </row>
    <row r="100" spans="1:9" x14ac:dyDescent="0.4">
      <c r="A100" s="12">
        <v>97</v>
      </c>
      <c r="B100" s="12">
        <v>202608</v>
      </c>
      <c r="C100" s="12" t="s">
        <v>274</v>
      </c>
      <c r="D100" s="14">
        <v>873198</v>
      </c>
      <c r="E100" s="14">
        <v>555555</v>
      </c>
      <c r="F100" s="14">
        <v>317643</v>
      </c>
      <c r="G100" s="14">
        <v>146111165</v>
      </c>
      <c r="H100" s="12" t="s">
        <v>271</v>
      </c>
      <c r="I100" s="12" t="s">
        <v>275</v>
      </c>
    </row>
    <row r="101" spans="1:9" x14ac:dyDescent="0.4">
      <c r="A101" s="12">
        <v>98</v>
      </c>
      <c r="B101" s="12">
        <v>202609</v>
      </c>
      <c r="C101" s="12" t="s">
        <v>277</v>
      </c>
      <c r="D101" s="14">
        <v>871995</v>
      </c>
      <c r="E101" s="14">
        <v>555555</v>
      </c>
      <c r="F101" s="14">
        <v>316440</v>
      </c>
      <c r="G101" s="14">
        <v>145555610</v>
      </c>
      <c r="H101" s="12" t="s">
        <v>274</v>
      </c>
      <c r="I101" s="12" t="s">
        <v>278</v>
      </c>
    </row>
    <row r="102" spans="1:9" x14ac:dyDescent="0.4">
      <c r="A102" s="12">
        <v>99</v>
      </c>
      <c r="B102" s="12">
        <v>202610</v>
      </c>
      <c r="C102" s="12" t="s">
        <v>280</v>
      </c>
      <c r="D102" s="14">
        <v>860623</v>
      </c>
      <c r="E102" s="14">
        <v>555555</v>
      </c>
      <c r="F102" s="14">
        <v>305068</v>
      </c>
      <c r="G102" s="14">
        <v>145000055</v>
      </c>
      <c r="H102" s="12" t="s">
        <v>276</v>
      </c>
      <c r="I102" s="12" t="s">
        <v>281</v>
      </c>
    </row>
    <row r="103" spans="1:9" x14ac:dyDescent="0.4">
      <c r="A103" s="12">
        <v>100</v>
      </c>
      <c r="B103" s="12">
        <v>202611</v>
      </c>
      <c r="C103" s="12" t="s">
        <v>282</v>
      </c>
      <c r="D103" s="14">
        <v>869589</v>
      </c>
      <c r="E103" s="14">
        <v>555555</v>
      </c>
      <c r="F103" s="14">
        <v>314034</v>
      </c>
      <c r="G103" s="14">
        <v>144444500</v>
      </c>
      <c r="H103" s="12" t="s">
        <v>279</v>
      </c>
      <c r="I103" s="12" t="s">
        <v>283</v>
      </c>
    </row>
    <row r="104" spans="1:9" x14ac:dyDescent="0.4">
      <c r="A104" s="12">
        <v>101</v>
      </c>
      <c r="B104" s="12">
        <v>202612</v>
      </c>
      <c r="C104" s="12" t="s">
        <v>285</v>
      </c>
      <c r="D104" s="14">
        <v>858294</v>
      </c>
      <c r="E104" s="14">
        <v>555555</v>
      </c>
      <c r="F104" s="14">
        <v>302739</v>
      </c>
      <c r="G104" s="14">
        <v>143888945</v>
      </c>
      <c r="H104" s="12" t="s">
        <v>282</v>
      </c>
      <c r="I104" s="12" t="s">
        <v>286</v>
      </c>
    </row>
    <row r="105" spans="1:9" x14ac:dyDescent="0.4">
      <c r="A105" s="12">
        <v>102</v>
      </c>
      <c r="B105" s="12">
        <v>202701</v>
      </c>
      <c r="C105" s="12" t="s">
        <v>287</v>
      </c>
      <c r="D105" s="14">
        <v>867182</v>
      </c>
      <c r="E105" s="14">
        <v>555555</v>
      </c>
      <c r="F105" s="14">
        <v>311627</v>
      </c>
      <c r="G105" s="14">
        <v>143333390</v>
      </c>
      <c r="H105" s="12" t="s">
        <v>284</v>
      </c>
      <c r="I105" s="12" t="s">
        <v>288</v>
      </c>
    </row>
    <row r="106" spans="1:9" x14ac:dyDescent="0.4">
      <c r="A106" s="12">
        <v>103</v>
      </c>
      <c r="B106" s="12">
        <v>202702</v>
      </c>
      <c r="C106" s="12" t="s">
        <v>289</v>
      </c>
      <c r="D106" s="14">
        <v>865979</v>
      </c>
      <c r="E106" s="14">
        <v>555555</v>
      </c>
      <c r="F106" s="14">
        <v>310424</v>
      </c>
      <c r="G106" s="14">
        <v>142777835</v>
      </c>
      <c r="H106" s="12" t="s">
        <v>287</v>
      </c>
      <c r="I106" s="12" t="s">
        <v>290</v>
      </c>
    </row>
    <row r="107" spans="1:9" x14ac:dyDescent="0.4">
      <c r="A107" s="12">
        <v>104</v>
      </c>
      <c r="B107" s="12">
        <v>202703</v>
      </c>
      <c r="C107" s="12" t="s">
        <v>291</v>
      </c>
      <c r="D107" s="14">
        <v>834851</v>
      </c>
      <c r="E107" s="14">
        <v>555555</v>
      </c>
      <c r="F107" s="14">
        <v>279296</v>
      </c>
      <c r="G107" s="14">
        <v>142222280</v>
      </c>
      <c r="H107" s="12" t="s">
        <v>289</v>
      </c>
      <c r="I107" s="12" t="s">
        <v>292</v>
      </c>
    </row>
    <row r="108" spans="1:9" x14ac:dyDescent="0.4">
      <c r="A108" s="12">
        <v>105</v>
      </c>
      <c r="B108" s="12">
        <v>202704</v>
      </c>
      <c r="C108" s="12" t="s">
        <v>294</v>
      </c>
      <c r="D108" s="14">
        <v>863573</v>
      </c>
      <c r="E108" s="14">
        <v>555555</v>
      </c>
      <c r="F108" s="14">
        <v>308018</v>
      </c>
      <c r="G108" s="14">
        <v>141666725</v>
      </c>
      <c r="H108" s="12" t="s">
        <v>291</v>
      </c>
      <c r="I108" s="12" t="s">
        <v>295</v>
      </c>
    </row>
    <row r="109" spans="1:9" x14ac:dyDescent="0.4">
      <c r="A109" s="12">
        <v>106</v>
      </c>
      <c r="B109" s="12">
        <v>202705</v>
      </c>
      <c r="C109" s="12" t="s">
        <v>296</v>
      </c>
      <c r="D109" s="14">
        <v>852472</v>
      </c>
      <c r="E109" s="14">
        <v>555555</v>
      </c>
      <c r="F109" s="14">
        <v>296917</v>
      </c>
      <c r="G109" s="14">
        <v>141111170</v>
      </c>
      <c r="H109" s="12" t="s">
        <v>293</v>
      </c>
      <c r="I109" s="12" t="s">
        <v>297</v>
      </c>
    </row>
    <row r="110" spans="1:9" x14ac:dyDescent="0.4">
      <c r="A110" s="12">
        <v>107</v>
      </c>
      <c r="B110" s="12">
        <v>202706</v>
      </c>
      <c r="C110" s="12" t="s">
        <v>298</v>
      </c>
      <c r="D110" s="14">
        <v>861166</v>
      </c>
      <c r="E110" s="14">
        <v>555555</v>
      </c>
      <c r="F110" s="14">
        <v>305611</v>
      </c>
      <c r="G110" s="14">
        <v>140555615</v>
      </c>
      <c r="H110" s="12" t="s">
        <v>296</v>
      </c>
      <c r="I110" s="12" t="s">
        <v>299</v>
      </c>
    </row>
    <row r="111" spans="1:9" x14ac:dyDescent="0.4">
      <c r="A111" s="12">
        <v>108</v>
      </c>
      <c r="B111" s="12">
        <v>202707</v>
      </c>
      <c r="C111" s="12" t="s">
        <v>301</v>
      </c>
      <c r="D111" s="14">
        <v>850144</v>
      </c>
      <c r="E111" s="14">
        <v>555555</v>
      </c>
      <c r="F111" s="14">
        <v>294589</v>
      </c>
      <c r="G111" s="14">
        <v>140000060</v>
      </c>
      <c r="H111" s="12" t="s">
        <v>298</v>
      </c>
      <c r="I111" s="12" t="s">
        <v>302</v>
      </c>
    </row>
    <row r="112" spans="1:9" x14ac:dyDescent="0.4">
      <c r="A112" s="12">
        <v>109</v>
      </c>
      <c r="B112" s="12">
        <v>202708</v>
      </c>
      <c r="C112" s="12" t="s">
        <v>303</v>
      </c>
      <c r="D112" s="14">
        <v>858760</v>
      </c>
      <c r="E112" s="14">
        <v>555555</v>
      </c>
      <c r="F112" s="14">
        <v>303205</v>
      </c>
      <c r="G112" s="14">
        <v>139444505</v>
      </c>
      <c r="H112" s="12" t="s">
        <v>300</v>
      </c>
      <c r="I112" s="12" t="s">
        <v>304</v>
      </c>
    </row>
    <row r="113" spans="1:9" x14ac:dyDescent="0.4">
      <c r="A113" s="12">
        <v>110</v>
      </c>
      <c r="B113" s="12">
        <v>202709</v>
      </c>
      <c r="C113" s="12" t="s">
        <v>306</v>
      </c>
      <c r="D113" s="14">
        <v>857557</v>
      </c>
      <c r="E113" s="14">
        <v>555555</v>
      </c>
      <c r="F113" s="14">
        <v>302002</v>
      </c>
      <c r="G113" s="14">
        <v>138888950</v>
      </c>
      <c r="H113" s="12" t="s">
        <v>303</v>
      </c>
      <c r="I113" s="12" t="s">
        <v>307</v>
      </c>
    </row>
    <row r="114" spans="1:9" x14ac:dyDescent="0.4">
      <c r="A114" s="12">
        <v>111</v>
      </c>
      <c r="B114" s="12">
        <v>202710</v>
      </c>
      <c r="C114" s="12" t="s">
        <v>308</v>
      </c>
      <c r="D114" s="14">
        <v>846651</v>
      </c>
      <c r="E114" s="14">
        <v>555555</v>
      </c>
      <c r="F114" s="14">
        <v>291096</v>
      </c>
      <c r="G114" s="14">
        <v>138333395</v>
      </c>
      <c r="H114" s="12" t="s">
        <v>305</v>
      </c>
      <c r="I114" s="12" t="s">
        <v>309</v>
      </c>
    </row>
    <row r="115" spans="1:9" x14ac:dyDescent="0.4">
      <c r="A115" s="12">
        <v>112</v>
      </c>
      <c r="B115" s="12">
        <v>202711</v>
      </c>
      <c r="C115" s="12" t="s">
        <v>310</v>
      </c>
      <c r="D115" s="14">
        <v>855151</v>
      </c>
      <c r="E115" s="14">
        <v>555555</v>
      </c>
      <c r="F115" s="14">
        <v>299596</v>
      </c>
      <c r="G115" s="14">
        <v>137777840</v>
      </c>
      <c r="H115" s="12" t="s">
        <v>308</v>
      </c>
      <c r="I115" s="12" t="s">
        <v>311</v>
      </c>
    </row>
    <row r="116" spans="1:9" x14ac:dyDescent="0.4">
      <c r="A116" s="12">
        <v>113</v>
      </c>
      <c r="B116" s="12">
        <v>202712</v>
      </c>
      <c r="C116" s="12" t="s">
        <v>313</v>
      </c>
      <c r="D116" s="14">
        <v>844322</v>
      </c>
      <c r="E116" s="14">
        <v>555555</v>
      </c>
      <c r="F116" s="14">
        <v>288767</v>
      </c>
      <c r="G116" s="14">
        <v>137222285</v>
      </c>
      <c r="H116" s="12" t="s">
        <v>310</v>
      </c>
      <c r="I116" s="12" t="s">
        <v>314</v>
      </c>
    </row>
    <row r="117" spans="1:9" x14ac:dyDescent="0.4">
      <c r="A117" s="12">
        <v>114</v>
      </c>
      <c r="B117" s="12">
        <v>202801</v>
      </c>
      <c r="C117" s="12" t="s">
        <v>315</v>
      </c>
      <c r="D117" s="14">
        <v>852115</v>
      </c>
      <c r="E117" s="14">
        <v>555555</v>
      </c>
      <c r="F117" s="14">
        <v>296560</v>
      </c>
      <c r="G117" s="14">
        <v>136666730</v>
      </c>
      <c r="H117" s="12" t="s">
        <v>312</v>
      </c>
      <c r="I117" s="12" t="s">
        <v>316</v>
      </c>
    </row>
    <row r="118" spans="1:9" x14ac:dyDescent="0.4">
      <c r="A118" s="12">
        <v>115</v>
      </c>
      <c r="B118" s="12">
        <v>202802</v>
      </c>
      <c r="C118" s="12" t="s">
        <v>317</v>
      </c>
      <c r="D118" s="14">
        <v>850732</v>
      </c>
      <c r="E118" s="14">
        <v>555555</v>
      </c>
      <c r="F118" s="14">
        <v>295177</v>
      </c>
      <c r="G118" s="14">
        <v>136111175</v>
      </c>
      <c r="H118" s="12" t="s">
        <v>315</v>
      </c>
      <c r="I118" s="12" t="s">
        <v>318</v>
      </c>
    </row>
    <row r="119" spans="1:9" x14ac:dyDescent="0.4">
      <c r="A119" s="12">
        <v>116</v>
      </c>
      <c r="B119" s="12">
        <v>202803</v>
      </c>
      <c r="C119" s="12" t="s">
        <v>320</v>
      </c>
      <c r="D119" s="14">
        <v>830566</v>
      </c>
      <c r="E119" s="14">
        <v>555555</v>
      </c>
      <c r="F119" s="14">
        <v>275011</v>
      </c>
      <c r="G119" s="14">
        <v>135555620</v>
      </c>
      <c r="H119" s="12" t="s">
        <v>317</v>
      </c>
      <c r="I119" s="12" t="s">
        <v>321</v>
      </c>
    </row>
    <row r="120" spans="1:9" x14ac:dyDescent="0.4">
      <c r="A120" s="12">
        <v>117</v>
      </c>
      <c r="B120" s="12">
        <v>202804</v>
      </c>
      <c r="C120" s="12" t="s">
        <v>322</v>
      </c>
      <c r="D120" s="14">
        <v>848332</v>
      </c>
      <c r="E120" s="14">
        <v>555555</v>
      </c>
      <c r="F120" s="14">
        <v>292777</v>
      </c>
      <c r="G120" s="14">
        <v>135000065</v>
      </c>
      <c r="H120" s="12" t="s">
        <v>319</v>
      </c>
      <c r="I120" s="12" t="s">
        <v>323</v>
      </c>
    </row>
    <row r="121" spans="1:9" x14ac:dyDescent="0.4">
      <c r="A121" s="12">
        <v>118</v>
      </c>
      <c r="B121" s="12">
        <v>202805</v>
      </c>
      <c r="C121" s="12" t="s">
        <v>324</v>
      </c>
      <c r="D121" s="14">
        <v>837727</v>
      </c>
      <c r="E121" s="14">
        <v>555555</v>
      </c>
      <c r="F121" s="14">
        <v>282172</v>
      </c>
      <c r="G121" s="14">
        <v>134444510</v>
      </c>
      <c r="H121" s="12" t="s">
        <v>322</v>
      </c>
      <c r="I121" s="12" t="s">
        <v>325</v>
      </c>
    </row>
    <row r="122" spans="1:9" x14ac:dyDescent="0.4">
      <c r="A122" s="12">
        <v>119</v>
      </c>
      <c r="B122" s="12">
        <v>202806</v>
      </c>
      <c r="C122" s="12" t="s">
        <v>327</v>
      </c>
      <c r="D122" s="14">
        <v>845933</v>
      </c>
      <c r="E122" s="14">
        <v>555555</v>
      </c>
      <c r="F122" s="14">
        <v>290378</v>
      </c>
      <c r="G122" s="14">
        <v>133888955</v>
      </c>
      <c r="H122" s="12" t="s">
        <v>324</v>
      </c>
      <c r="I122" s="12" t="s">
        <v>328</v>
      </c>
    </row>
    <row r="123" spans="1:9" x14ac:dyDescent="0.4">
      <c r="A123" s="12">
        <v>120</v>
      </c>
      <c r="B123" s="12">
        <v>202807</v>
      </c>
      <c r="C123" s="12" t="s">
        <v>329</v>
      </c>
      <c r="D123" s="14">
        <v>835404</v>
      </c>
      <c r="E123" s="14">
        <v>555555</v>
      </c>
      <c r="F123" s="14">
        <v>279849</v>
      </c>
      <c r="G123" s="14">
        <v>133333400</v>
      </c>
      <c r="H123" s="12" t="s">
        <v>326</v>
      </c>
      <c r="I123" s="12" t="s">
        <v>330</v>
      </c>
    </row>
    <row r="124" spans="1:9" x14ac:dyDescent="0.4">
      <c r="A124" s="12">
        <v>121</v>
      </c>
      <c r="B124" s="12">
        <v>202808</v>
      </c>
      <c r="C124" s="12" t="s">
        <v>331</v>
      </c>
      <c r="D124" s="14">
        <v>843533</v>
      </c>
      <c r="E124" s="14">
        <v>555555</v>
      </c>
      <c r="F124" s="14">
        <v>287978</v>
      </c>
      <c r="G124" s="14">
        <v>132777845</v>
      </c>
      <c r="H124" s="12" t="s">
        <v>329</v>
      </c>
      <c r="I124" s="12" t="s">
        <v>332</v>
      </c>
    </row>
    <row r="125" spans="1:9" x14ac:dyDescent="0.4">
      <c r="A125" s="12">
        <v>122</v>
      </c>
      <c r="B125" s="12">
        <v>202809</v>
      </c>
      <c r="C125" s="12" t="s">
        <v>333</v>
      </c>
      <c r="D125" s="14">
        <v>842333</v>
      </c>
      <c r="E125" s="14">
        <v>555555</v>
      </c>
      <c r="F125" s="14">
        <v>286778</v>
      </c>
      <c r="G125" s="14">
        <v>132222290</v>
      </c>
      <c r="H125" s="12" t="s">
        <v>331</v>
      </c>
      <c r="I125" s="12" t="s">
        <v>334</v>
      </c>
    </row>
    <row r="126" spans="1:9" x14ac:dyDescent="0.4">
      <c r="A126" s="12">
        <v>123</v>
      </c>
      <c r="B126" s="12">
        <v>202810</v>
      </c>
      <c r="C126" s="12" t="s">
        <v>335</v>
      </c>
      <c r="D126" s="14">
        <v>831921</v>
      </c>
      <c r="E126" s="14">
        <v>555555</v>
      </c>
      <c r="F126" s="14">
        <v>276366</v>
      </c>
      <c r="G126" s="14">
        <v>131666735</v>
      </c>
      <c r="H126" s="12" t="s">
        <v>333</v>
      </c>
      <c r="I126" s="12" t="s">
        <v>336</v>
      </c>
    </row>
    <row r="127" spans="1:9" x14ac:dyDescent="0.4">
      <c r="A127" s="12">
        <v>124</v>
      </c>
      <c r="B127" s="12">
        <v>202811</v>
      </c>
      <c r="C127" s="12" t="s">
        <v>338</v>
      </c>
      <c r="D127" s="14">
        <v>839933</v>
      </c>
      <c r="E127" s="14">
        <v>555555</v>
      </c>
      <c r="F127" s="14">
        <v>284378</v>
      </c>
      <c r="G127" s="14">
        <v>131111180</v>
      </c>
      <c r="H127" s="12" t="s">
        <v>335</v>
      </c>
      <c r="I127" s="12" t="s">
        <v>339</v>
      </c>
    </row>
    <row r="128" spans="1:9" x14ac:dyDescent="0.4">
      <c r="A128" s="12">
        <v>125</v>
      </c>
      <c r="B128" s="12">
        <v>202812</v>
      </c>
      <c r="C128" s="12" t="s">
        <v>341</v>
      </c>
      <c r="D128" s="14">
        <v>829598</v>
      </c>
      <c r="E128" s="14">
        <v>555555</v>
      </c>
      <c r="F128" s="14">
        <v>274043</v>
      </c>
      <c r="G128" s="14">
        <v>130555625</v>
      </c>
      <c r="H128" s="12" t="s">
        <v>337</v>
      </c>
      <c r="I128" s="12" t="s">
        <v>342</v>
      </c>
    </row>
    <row r="129" spans="1:9" x14ac:dyDescent="0.4">
      <c r="A129" s="12">
        <v>126</v>
      </c>
      <c r="B129" s="12">
        <v>202901</v>
      </c>
      <c r="C129" s="12" t="s">
        <v>343</v>
      </c>
      <c r="D129" s="14">
        <v>838131</v>
      </c>
      <c r="E129" s="14">
        <v>555555</v>
      </c>
      <c r="F129" s="14">
        <v>282576</v>
      </c>
      <c r="G129" s="14">
        <v>130000070</v>
      </c>
      <c r="H129" s="12" t="s">
        <v>340</v>
      </c>
      <c r="I129" s="12" t="s">
        <v>344</v>
      </c>
    </row>
    <row r="130" spans="1:9" x14ac:dyDescent="0.4">
      <c r="A130" s="12">
        <v>127</v>
      </c>
      <c r="B130" s="12">
        <v>202902</v>
      </c>
      <c r="C130" s="12" t="s">
        <v>346</v>
      </c>
      <c r="D130" s="14">
        <v>837103</v>
      </c>
      <c r="E130" s="14">
        <v>555555</v>
      </c>
      <c r="F130" s="14">
        <v>281548</v>
      </c>
      <c r="G130" s="14">
        <v>129444515</v>
      </c>
      <c r="H130" s="12" t="s">
        <v>343</v>
      </c>
      <c r="I130" s="12" t="s">
        <v>347</v>
      </c>
    </row>
    <row r="131" spans="1:9" x14ac:dyDescent="0.4">
      <c r="A131" s="12">
        <v>128</v>
      </c>
      <c r="B131" s="12">
        <v>202903</v>
      </c>
      <c r="C131" s="12" t="s">
        <v>349</v>
      </c>
      <c r="D131" s="14">
        <v>808769</v>
      </c>
      <c r="E131" s="14">
        <v>555555</v>
      </c>
      <c r="F131" s="14">
        <v>253214</v>
      </c>
      <c r="G131" s="14">
        <v>128888960</v>
      </c>
      <c r="H131" s="12" t="s">
        <v>345</v>
      </c>
      <c r="I131" s="12" t="s">
        <v>350</v>
      </c>
    </row>
    <row r="132" spans="1:9" x14ac:dyDescent="0.4">
      <c r="A132" s="12">
        <v>129</v>
      </c>
      <c r="B132" s="12">
        <v>202904</v>
      </c>
      <c r="C132" s="12" t="s">
        <v>351</v>
      </c>
      <c r="D132" s="14">
        <v>834696</v>
      </c>
      <c r="E132" s="14">
        <v>555555</v>
      </c>
      <c r="F132" s="14">
        <v>279141</v>
      </c>
      <c r="G132" s="14">
        <v>128333405</v>
      </c>
      <c r="H132" s="12" t="s">
        <v>348</v>
      </c>
      <c r="I132" s="12" t="s">
        <v>352</v>
      </c>
    </row>
    <row r="133" spans="1:9" x14ac:dyDescent="0.4">
      <c r="A133" s="12">
        <v>130</v>
      </c>
      <c r="B133" s="12">
        <v>202905</v>
      </c>
      <c r="C133" s="12" t="s">
        <v>353</v>
      </c>
      <c r="D133" s="14">
        <v>824527</v>
      </c>
      <c r="E133" s="14">
        <v>555555</v>
      </c>
      <c r="F133" s="14">
        <v>268972</v>
      </c>
      <c r="G133" s="14">
        <v>127777850</v>
      </c>
      <c r="H133" s="12" t="s">
        <v>351</v>
      </c>
      <c r="I133" s="12" t="s">
        <v>354</v>
      </c>
    </row>
    <row r="134" spans="1:9" x14ac:dyDescent="0.4">
      <c r="A134" s="12">
        <v>131</v>
      </c>
      <c r="B134" s="12">
        <v>202906</v>
      </c>
      <c r="C134" s="12" t="s">
        <v>355</v>
      </c>
      <c r="D134" s="14">
        <v>832290</v>
      </c>
      <c r="E134" s="14">
        <v>555555</v>
      </c>
      <c r="F134" s="14">
        <v>276735</v>
      </c>
      <c r="G134" s="14">
        <v>127222295</v>
      </c>
      <c r="H134" s="12" t="s">
        <v>353</v>
      </c>
      <c r="I134" s="12" t="s">
        <v>356</v>
      </c>
    </row>
    <row r="135" spans="1:9" x14ac:dyDescent="0.4">
      <c r="A135" s="12">
        <v>132</v>
      </c>
      <c r="B135" s="12">
        <v>202907</v>
      </c>
      <c r="C135" s="12" t="s">
        <v>357</v>
      </c>
      <c r="D135" s="14">
        <v>822198</v>
      </c>
      <c r="E135" s="14">
        <v>555555</v>
      </c>
      <c r="F135" s="14">
        <v>266643</v>
      </c>
      <c r="G135" s="14">
        <v>126666740</v>
      </c>
      <c r="H135" s="12" t="s">
        <v>355</v>
      </c>
      <c r="I135" s="12" t="s">
        <v>358</v>
      </c>
    </row>
    <row r="136" spans="1:9" x14ac:dyDescent="0.4">
      <c r="A136" s="12">
        <v>133</v>
      </c>
      <c r="B136" s="12">
        <v>202908</v>
      </c>
      <c r="C136" s="12" t="s">
        <v>360</v>
      </c>
      <c r="D136" s="14">
        <v>829883</v>
      </c>
      <c r="E136" s="14">
        <v>555555</v>
      </c>
      <c r="F136" s="14">
        <v>274328</v>
      </c>
      <c r="G136" s="14">
        <v>126111185</v>
      </c>
      <c r="H136" s="12" t="s">
        <v>357</v>
      </c>
      <c r="I136" s="12" t="s">
        <v>361</v>
      </c>
    </row>
    <row r="137" spans="1:9" x14ac:dyDescent="0.4">
      <c r="A137" s="12">
        <v>134</v>
      </c>
      <c r="B137" s="12">
        <v>202909</v>
      </c>
      <c r="C137" s="12" t="s">
        <v>362</v>
      </c>
      <c r="D137" s="14">
        <v>828680</v>
      </c>
      <c r="E137" s="14">
        <v>555555</v>
      </c>
      <c r="F137" s="14">
        <v>273125</v>
      </c>
      <c r="G137" s="14">
        <v>125555630</v>
      </c>
      <c r="H137" s="12" t="s">
        <v>359</v>
      </c>
      <c r="I137" s="12" t="s">
        <v>363</v>
      </c>
    </row>
    <row r="138" spans="1:9" x14ac:dyDescent="0.4">
      <c r="A138" s="12">
        <v>135</v>
      </c>
      <c r="B138" s="12">
        <v>202910</v>
      </c>
      <c r="C138" s="12" t="s">
        <v>364</v>
      </c>
      <c r="D138" s="14">
        <v>818705</v>
      </c>
      <c r="E138" s="14">
        <v>555555</v>
      </c>
      <c r="F138" s="14">
        <v>263150</v>
      </c>
      <c r="G138" s="14">
        <v>125000075</v>
      </c>
      <c r="H138" s="12" t="s">
        <v>362</v>
      </c>
      <c r="I138" s="12" t="s">
        <v>365</v>
      </c>
    </row>
    <row r="139" spans="1:9" x14ac:dyDescent="0.4">
      <c r="A139" s="12">
        <v>136</v>
      </c>
      <c r="B139" s="12">
        <v>202911</v>
      </c>
      <c r="C139" s="12" t="s">
        <v>367</v>
      </c>
      <c r="D139" s="14">
        <v>826274</v>
      </c>
      <c r="E139" s="14">
        <v>555555</v>
      </c>
      <c r="F139" s="14">
        <v>270719</v>
      </c>
      <c r="G139" s="14">
        <v>124444520</v>
      </c>
      <c r="H139" s="12" t="s">
        <v>364</v>
      </c>
      <c r="I139" s="12" t="s">
        <v>368</v>
      </c>
    </row>
    <row r="140" spans="1:9" x14ac:dyDescent="0.4">
      <c r="A140" s="12">
        <v>137</v>
      </c>
      <c r="B140" s="12">
        <v>202912</v>
      </c>
      <c r="C140" s="12" t="s">
        <v>370</v>
      </c>
      <c r="D140" s="14">
        <v>816377</v>
      </c>
      <c r="E140" s="14">
        <v>555555</v>
      </c>
      <c r="F140" s="14">
        <v>260822</v>
      </c>
      <c r="G140" s="14">
        <v>123888965</v>
      </c>
      <c r="H140" s="12" t="s">
        <v>366</v>
      </c>
      <c r="I140" s="12" t="s">
        <v>371</v>
      </c>
    </row>
    <row r="141" spans="1:9" x14ac:dyDescent="0.4">
      <c r="A141" s="12">
        <v>138</v>
      </c>
      <c r="B141" s="12">
        <v>203001</v>
      </c>
      <c r="C141" s="12" t="s">
        <v>372</v>
      </c>
      <c r="D141" s="14">
        <v>823867</v>
      </c>
      <c r="E141" s="14">
        <v>555555</v>
      </c>
      <c r="F141" s="14">
        <v>268312</v>
      </c>
      <c r="G141" s="14">
        <v>123333410</v>
      </c>
      <c r="H141" s="12" t="s">
        <v>369</v>
      </c>
      <c r="I141" s="12" t="s">
        <v>373</v>
      </c>
    </row>
    <row r="142" spans="1:9" x14ac:dyDescent="0.4">
      <c r="A142" s="12">
        <v>139</v>
      </c>
      <c r="B142" s="12">
        <v>203002</v>
      </c>
      <c r="C142" s="12" t="s">
        <v>374</v>
      </c>
      <c r="D142" s="14">
        <v>822664</v>
      </c>
      <c r="E142" s="14">
        <v>555555</v>
      </c>
      <c r="F142" s="14">
        <v>267109</v>
      </c>
      <c r="G142" s="14">
        <v>122777855</v>
      </c>
      <c r="H142" s="12" t="s">
        <v>372</v>
      </c>
      <c r="I142" s="12" t="s">
        <v>375</v>
      </c>
    </row>
    <row r="143" spans="1:9" x14ac:dyDescent="0.4">
      <c r="A143" s="12">
        <v>140</v>
      </c>
      <c r="B143" s="12">
        <v>203003</v>
      </c>
      <c r="C143" s="12" t="s">
        <v>376</v>
      </c>
      <c r="D143" s="14">
        <v>795728</v>
      </c>
      <c r="E143" s="14">
        <v>555555</v>
      </c>
      <c r="F143" s="14">
        <v>240173</v>
      </c>
      <c r="G143" s="14">
        <v>122222300</v>
      </c>
      <c r="H143" s="12" t="s">
        <v>374</v>
      </c>
      <c r="I143" s="12" t="s">
        <v>377</v>
      </c>
    </row>
    <row r="144" spans="1:9" x14ac:dyDescent="0.4">
      <c r="A144" s="12">
        <v>141</v>
      </c>
      <c r="B144" s="12">
        <v>203004</v>
      </c>
      <c r="C144" s="12" t="s">
        <v>378</v>
      </c>
      <c r="D144" s="14">
        <v>820258</v>
      </c>
      <c r="E144" s="14">
        <v>555555</v>
      </c>
      <c r="F144" s="14">
        <v>264703</v>
      </c>
      <c r="G144" s="14">
        <v>121666745</v>
      </c>
      <c r="H144" s="12" t="s">
        <v>376</v>
      </c>
      <c r="I144" s="12" t="s">
        <v>379</v>
      </c>
    </row>
    <row r="145" spans="1:9" x14ac:dyDescent="0.4">
      <c r="A145" s="12">
        <v>142</v>
      </c>
      <c r="B145" s="12">
        <v>203005</v>
      </c>
      <c r="C145" s="12" t="s">
        <v>381</v>
      </c>
      <c r="D145" s="14">
        <v>810555</v>
      </c>
      <c r="E145" s="14">
        <v>555555</v>
      </c>
      <c r="F145" s="14">
        <v>255000</v>
      </c>
      <c r="G145" s="14">
        <v>121111190</v>
      </c>
      <c r="H145" s="12" t="s">
        <v>378</v>
      </c>
      <c r="I145" s="12" t="s">
        <v>382</v>
      </c>
    </row>
    <row r="146" spans="1:9" x14ac:dyDescent="0.4">
      <c r="A146" s="12">
        <v>143</v>
      </c>
      <c r="B146" s="12">
        <v>203006</v>
      </c>
      <c r="C146" s="12" t="s">
        <v>383</v>
      </c>
      <c r="D146" s="14">
        <v>817851</v>
      </c>
      <c r="E146" s="14">
        <v>555555</v>
      </c>
      <c r="F146" s="14">
        <v>262296</v>
      </c>
      <c r="G146" s="14">
        <v>120555635</v>
      </c>
      <c r="H146" s="12" t="s">
        <v>380</v>
      </c>
      <c r="I146" s="12" t="s">
        <v>384</v>
      </c>
    </row>
    <row r="147" spans="1:9" x14ac:dyDescent="0.4">
      <c r="A147" s="12">
        <v>144</v>
      </c>
      <c r="B147" s="12">
        <v>203007</v>
      </c>
      <c r="C147" s="12" t="s">
        <v>385</v>
      </c>
      <c r="D147" s="14">
        <v>808226</v>
      </c>
      <c r="E147" s="14">
        <v>555555</v>
      </c>
      <c r="F147" s="14">
        <v>252671</v>
      </c>
      <c r="G147" s="14">
        <v>120000080</v>
      </c>
      <c r="H147" s="12" t="s">
        <v>383</v>
      </c>
      <c r="I147" s="12" t="s">
        <v>386</v>
      </c>
    </row>
    <row r="148" spans="1:9" x14ac:dyDescent="0.4">
      <c r="A148" s="12">
        <v>145</v>
      </c>
      <c r="B148" s="12">
        <v>203008</v>
      </c>
      <c r="C148" s="12" t="s">
        <v>388</v>
      </c>
      <c r="D148" s="14">
        <v>815445</v>
      </c>
      <c r="E148" s="14">
        <v>555555</v>
      </c>
      <c r="F148" s="14">
        <v>259890</v>
      </c>
      <c r="G148" s="14">
        <v>119444525</v>
      </c>
      <c r="H148" s="12" t="s">
        <v>385</v>
      </c>
      <c r="I148" s="12" t="s">
        <v>389</v>
      </c>
    </row>
    <row r="149" spans="1:9" x14ac:dyDescent="0.4">
      <c r="A149" s="12">
        <v>146</v>
      </c>
      <c r="B149" s="12">
        <v>203009</v>
      </c>
      <c r="C149" s="12" t="s">
        <v>390</v>
      </c>
      <c r="D149" s="14">
        <v>814242</v>
      </c>
      <c r="E149" s="14">
        <v>555555</v>
      </c>
      <c r="F149" s="14">
        <v>258687</v>
      </c>
      <c r="G149" s="14">
        <v>118888970</v>
      </c>
      <c r="H149" s="12" t="s">
        <v>387</v>
      </c>
      <c r="I149" s="12" t="s">
        <v>391</v>
      </c>
    </row>
    <row r="150" spans="1:9" x14ac:dyDescent="0.4">
      <c r="A150" s="12">
        <v>147</v>
      </c>
      <c r="B150" s="12">
        <v>203010</v>
      </c>
      <c r="C150" s="12" t="s">
        <v>392</v>
      </c>
      <c r="D150" s="14">
        <v>804733</v>
      </c>
      <c r="E150" s="14">
        <v>555555</v>
      </c>
      <c r="F150" s="14">
        <v>249178</v>
      </c>
      <c r="G150" s="14">
        <v>118333415</v>
      </c>
      <c r="H150" s="12" t="s">
        <v>390</v>
      </c>
      <c r="I150" s="12" t="s">
        <v>393</v>
      </c>
    </row>
    <row r="151" spans="1:9" x14ac:dyDescent="0.4">
      <c r="A151" s="12">
        <v>148</v>
      </c>
      <c r="B151" s="12">
        <v>203011</v>
      </c>
      <c r="C151" s="12" t="s">
        <v>394</v>
      </c>
      <c r="D151" s="14">
        <v>811835</v>
      </c>
      <c r="E151" s="14">
        <v>555555</v>
      </c>
      <c r="F151" s="14">
        <v>256280</v>
      </c>
      <c r="G151" s="14">
        <v>117777860</v>
      </c>
      <c r="H151" s="12" t="s">
        <v>392</v>
      </c>
      <c r="I151" s="12" t="s">
        <v>395</v>
      </c>
    </row>
    <row r="152" spans="1:9" x14ac:dyDescent="0.4">
      <c r="A152" s="12">
        <v>149</v>
      </c>
      <c r="B152" s="12">
        <v>203012</v>
      </c>
      <c r="C152" s="12" t="s">
        <v>397</v>
      </c>
      <c r="D152" s="14">
        <v>802404</v>
      </c>
      <c r="E152" s="14">
        <v>555555</v>
      </c>
      <c r="F152" s="14">
        <v>246849</v>
      </c>
      <c r="G152" s="14">
        <v>117222305</v>
      </c>
      <c r="H152" s="12" t="s">
        <v>394</v>
      </c>
      <c r="I152" s="12" t="s">
        <v>398</v>
      </c>
    </row>
    <row r="153" spans="1:9" x14ac:dyDescent="0.4">
      <c r="A153" s="12">
        <v>150</v>
      </c>
      <c r="B153" s="12">
        <v>203101</v>
      </c>
      <c r="C153" s="12" t="s">
        <v>400</v>
      </c>
      <c r="D153" s="14">
        <v>809429</v>
      </c>
      <c r="E153" s="14">
        <v>555555</v>
      </c>
      <c r="F153" s="14">
        <v>253874</v>
      </c>
      <c r="G153" s="14">
        <v>116666750</v>
      </c>
      <c r="H153" s="12" t="s">
        <v>396</v>
      </c>
      <c r="I153" s="12" t="s">
        <v>401</v>
      </c>
    </row>
    <row r="154" spans="1:9" x14ac:dyDescent="0.4">
      <c r="A154" s="12">
        <v>151</v>
      </c>
      <c r="B154" s="12">
        <v>203102</v>
      </c>
      <c r="C154" s="12" t="s">
        <v>402</v>
      </c>
      <c r="D154" s="14">
        <v>808226</v>
      </c>
      <c r="E154" s="14">
        <v>555555</v>
      </c>
      <c r="F154" s="14">
        <v>252671</v>
      </c>
      <c r="G154" s="14">
        <v>116111195</v>
      </c>
      <c r="H154" s="12" t="s">
        <v>399</v>
      </c>
      <c r="I154" s="12" t="s">
        <v>403</v>
      </c>
    </row>
    <row r="155" spans="1:9" x14ac:dyDescent="0.4">
      <c r="A155" s="12">
        <v>152</v>
      </c>
      <c r="B155" s="12">
        <v>203103</v>
      </c>
      <c r="C155" s="12" t="s">
        <v>404</v>
      </c>
      <c r="D155" s="14">
        <v>782687</v>
      </c>
      <c r="E155" s="14">
        <v>555555</v>
      </c>
      <c r="F155" s="14">
        <v>227132</v>
      </c>
      <c r="G155" s="14">
        <v>115555640</v>
      </c>
      <c r="H155" s="12" t="s">
        <v>402</v>
      </c>
      <c r="I155" s="12" t="s">
        <v>405</v>
      </c>
    </row>
    <row r="156" spans="1:9" x14ac:dyDescent="0.4">
      <c r="A156" s="12">
        <v>153</v>
      </c>
      <c r="B156" s="12">
        <v>203104</v>
      </c>
      <c r="C156" s="12" t="s">
        <v>406</v>
      </c>
      <c r="D156" s="14">
        <v>805820</v>
      </c>
      <c r="E156" s="14">
        <v>555555</v>
      </c>
      <c r="F156" s="14">
        <v>250265</v>
      </c>
      <c r="G156" s="14">
        <v>115000085</v>
      </c>
      <c r="H156" s="12" t="s">
        <v>404</v>
      </c>
      <c r="I156" s="12" t="s">
        <v>407</v>
      </c>
    </row>
    <row r="157" spans="1:9" x14ac:dyDescent="0.4">
      <c r="A157" s="12">
        <v>154</v>
      </c>
      <c r="B157" s="12">
        <v>203105</v>
      </c>
      <c r="C157" s="12" t="s">
        <v>409</v>
      </c>
      <c r="D157" s="14">
        <v>796582</v>
      </c>
      <c r="E157" s="14">
        <v>555555</v>
      </c>
      <c r="F157" s="14">
        <v>241027</v>
      </c>
      <c r="G157" s="14">
        <v>114444530</v>
      </c>
      <c r="H157" s="12" t="s">
        <v>406</v>
      </c>
      <c r="I157" s="12" t="s">
        <v>410</v>
      </c>
    </row>
    <row r="158" spans="1:9" x14ac:dyDescent="0.4">
      <c r="A158" s="12">
        <v>155</v>
      </c>
      <c r="B158" s="12">
        <v>203106</v>
      </c>
      <c r="C158" s="12" t="s">
        <v>411</v>
      </c>
      <c r="D158" s="14">
        <v>803413</v>
      </c>
      <c r="E158" s="14">
        <v>555555</v>
      </c>
      <c r="F158" s="14">
        <v>247858</v>
      </c>
      <c r="G158" s="14">
        <v>113888975</v>
      </c>
      <c r="H158" s="12" t="s">
        <v>408</v>
      </c>
      <c r="I158" s="12" t="s">
        <v>412</v>
      </c>
    </row>
    <row r="159" spans="1:9" x14ac:dyDescent="0.4">
      <c r="A159" s="12">
        <v>156</v>
      </c>
      <c r="B159" s="12">
        <v>203107</v>
      </c>
      <c r="C159" s="12" t="s">
        <v>413</v>
      </c>
      <c r="D159" s="14">
        <v>794253</v>
      </c>
      <c r="E159" s="14">
        <v>555555</v>
      </c>
      <c r="F159" s="14">
        <v>238698</v>
      </c>
      <c r="G159" s="14">
        <v>113333420</v>
      </c>
      <c r="H159" s="12" t="s">
        <v>411</v>
      </c>
      <c r="I159" s="12" t="s">
        <v>414</v>
      </c>
    </row>
    <row r="160" spans="1:9" x14ac:dyDescent="0.4">
      <c r="A160" s="12">
        <v>157</v>
      </c>
      <c r="B160" s="12">
        <v>203108</v>
      </c>
      <c r="C160" s="12" t="s">
        <v>415</v>
      </c>
      <c r="D160" s="14">
        <v>801007</v>
      </c>
      <c r="E160" s="14">
        <v>555555</v>
      </c>
      <c r="F160" s="14">
        <v>245452</v>
      </c>
      <c r="G160" s="14">
        <v>112777865</v>
      </c>
      <c r="H160" s="12" t="s">
        <v>413</v>
      </c>
      <c r="I160" s="12" t="s">
        <v>416</v>
      </c>
    </row>
    <row r="161" spans="1:9" x14ac:dyDescent="0.4">
      <c r="A161" s="12">
        <v>158</v>
      </c>
      <c r="B161" s="12">
        <v>203109</v>
      </c>
      <c r="C161" s="12" t="s">
        <v>417</v>
      </c>
      <c r="D161" s="14">
        <v>799804</v>
      </c>
      <c r="E161" s="14">
        <v>555555</v>
      </c>
      <c r="F161" s="14">
        <v>244249</v>
      </c>
      <c r="G161" s="14">
        <v>112222310</v>
      </c>
      <c r="H161" s="12" t="s">
        <v>415</v>
      </c>
      <c r="I161" s="12" t="s">
        <v>418</v>
      </c>
    </row>
    <row r="162" spans="1:9" x14ac:dyDescent="0.4">
      <c r="A162" s="12">
        <v>159</v>
      </c>
      <c r="B162" s="12">
        <v>203110</v>
      </c>
      <c r="C162" s="12" t="s">
        <v>420</v>
      </c>
      <c r="D162" s="14">
        <v>790760</v>
      </c>
      <c r="E162" s="14">
        <v>555555</v>
      </c>
      <c r="F162" s="14">
        <v>235205</v>
      </c>
      <c r="G162" s="14">
        <v>111666755</v>
      </c>
      <c r="H162" s="12" t="s">
        <v>417</v>
      </c>
      <c r="I162" s="12" t="s">
        <v>421</v>
      </c>
    </row>
    <row r="163" spans="1:9" x14ac:dyDescent="0.4">
      <c r="A163" s="12">
        <v>160</v>
      </c>
      <c r="B163" s="12">
        <v>203111</v>
      </c>
      <c r="C163" s="12" t="s">
        <v>422</v>
      </c>
      <c r="D163" s="14">
        <v>797397</v>
      </c>
      <c r="E163" s="14">
        <v>555555</v>
      </c>
      <c r="F163" s="14">
        <v>241842</v>
      </c>
      <c r="G163" s="14">
        <v>111111200</v>
      </c>
      <c r="H163" s="12" t="s">
        <v>419</v>
      </c>
      <c r="I163" s="12" t="s">
        <v>423</v>
      </c>
    </row>
    <row r="164" spans="1:9" x14ac:dyDescent="0.4">
      <c r="A164" s="12">
        <v>161</v>
      </c>
      <c r="B164" s="12">
        <v>203112</v>
      </c>
      <c r="C164" s="12" t="s">
        <v>425</v>
      </c>
      <c r="D164" s="14">
        <v>788431</v>
      </c>
      <c r="E164" s="14">
        <v>555555</v>
      </c>
      <c r="F164" s="14">
        <v>232876</v>
      </c>
      <c r="G164" s="14">
        <v>110555645</v>
      </c>
      <c r="H164" s="12" t="s">
        <v>422</v>
      </c>
      <c r="I164" s="12" t="s">
        <v>426</v>
      </c>
    </row>
    <row r="165" spans="1:9" x14ac:dyDescent="0.4">
      <c r="A165" s="12">
        <v>162</v>
      </c>
      <c r="B165" s="12">
        <v>203201</v>
      </c>
      <c r="C165" s="12" t="s">
        <v>428</v>
      </c>
      <c r="D165" s="14">
        <v>794484</v>
      </c>
      <c r="E165" s="14">
        <v>555555</v>
      </c>
      <c r="F165" s="14">
        <v>238929</v>
      </c>
      <c r="G165" s="14">
        <v>110000090</v>
      </c>
      <c r="H165" s="12" t="s">
        <v>424</v>
      </c>
      <c r="I165" s="12" t="s">
        <v>429</v>
      </c>
    </row>
    <row r="166" spans="1:9" x14ac:dyDescent="0.4">
      <c r="A166" s="12">
        <v>163</v>
      </c>
      <c r="B166" s="12">
        <v>203202</v>
      </c>
      <c r="C166" s="12" t="s">
        <v>430</v>
      </c>
      <c r="D166" s="14">
        <v>793137</v>
      </c>
      <c r="E166" s="14">
        <v>555555</v>
      </c>
      <c r="F166" s="14">
        <v>237582</v>
      </c>
      <c r="G166" s="14">
        <v>109444535</v>
      </c>
      <c r="H166" s="12" t="s">
        <v>427</v>
      </c>
      <c r="I166" s="12" t="s">
        <v>431</v>
      </c>
    </row>
    <row r="167" spans="1:9" x14ac:dyDescent="0.4">
      <c r="A167" s="12">
        <v>164</v>
      </c>
      <c r="B167" s="12">
        <v>203203</v>
      </c>
      <c r="C167" s="12" t="s">
        <v>432</v>
      </c>
      <c r="D167" s="14">
        <v>776686</v>
      </c>
      <c r="E167" s="14">
        <v>555555</v>
      </c>
      <c r="F167" s="14">
        <v>221131</v>
      </c>
      <c r="G167" s="14">
        <v>108888980</v>
      </c>
      <c r="H167" s="12" t="s">
        <v>430</v>
      </c>
      <c r="I167" s="12" t="s">
        <v>433</v>
      </c>
    </row>
    <row r="168" spans="1:9" x14ac:dyDescent="0.4">
      <c r="A168" s="12">
        <v>165</v>
      </c>
      <c r="B168" s="12">
        <v>203204</v>
      </c>
      <c r="C168" s="12" t="s">
        <v>435</v>
      </c>
      <c r="D168" s="14">
        <v>790737</v>
      </c>
      <c r="E168" s="14">
        <v>555555</v>
      </c>
      <c r="F168" s="14">
        <v>235182</v>
      </c>
      <c r="G168" s="14">
        <v>108333425</v>
      </c>
      <c r="H168" s="12" t="s">
        <v>432</v>
      </c>
      <c r="I168" s="12" t="s">
        <v>436</v>
      </c>
    </row>
    <row r="169" spans="1:9" x14ac:dyDescent="0.4">
      <c r="A169" s="12">
        <v>166</v>
      </c>
      <c r="B169" s="12">
        <v>203205</v>
      </c>
      <c r="C169" s="12" t="s">
        <v>437</v>
      </c>
      <c r="D169" s="14">
        <v>781989</v>
      </c>
      <c r="E169" s="14">
        <v>555555</v>
      </c>
      <c r="F169" s="14">
        <v>226434</v>
      </c>
      <c r="G169" s="14">
        <v>107777870</v>
      </c>
      <c r="H169" s="12" t="s">
        <v>434</v>
      </c>
      <c r="I169" s="12" t="s">
        <v>438</v>
      </c>
    </row>
    <row r="170" spans="1:9" x14ac:dyDescent="0.4">
      <c r="A170" s="12">
        <v>167</v>
      </c>
      <c r="B170" s="12">
        <v>203206</v>
      </c>
      <c r="C170" s="12" t="s">
        <v>439</v>
      </c>
      <c r="D170" s="14">
        <v>788337</v>
      </c>
      <c r="E170" s="14">
        <v>555555</v>
      </c>
      <c r="F170" s="14">
        <v>232782</v>
      </c>
      <c r="G170" s="14">
        <v>107222315</v>
      </c>
      <c r="H170" s="12" t="s">
        <v>437</v>
      </c>
      <c r="I170" s="12" t="s">
        <v>440</v>
      </c>
    </row>
    <row r="171" spans="1:9" x14ac:dyDescent="0.4">
      <c r="A171" s="12">
        <v>168</v>
      </c>
      <c r="B171" s="12">
        <v>203207</v>
      </c>
      <c r="C171" s="12" t="s">
        <v>442</v>
      </c>
      <c r="D171" s="14">
        <v>779667</v>
      </c>
      <c r="E171" s="14">
        <v>555555</v>
      </c>
      <c r="F171" s="14">
        <v>224112</v>
      </c>
      <c r="G171" s="14">
        <v>106666760</v>
      </c>
      <c r="H171" s="12" t="s">
        <v>439</v>
      </c>
      <c r="I171" s="12" t="s">
        <v>443</v>
      </c>
    </row>
    <row r="172" spans="1:9" x14ac:dyDescent="0.4">
      <c r="A172" s="12">
        <v>169</v>
      </c>
      <c r="B172" s="12">
        <v>203208</v>
      </c>
      <c r="C172" s="12" t="s">
        <v>444</v>
      </c>
      <c r="D172" s="14">
        <v>785937</v>
      </c>
      <c r="E172" s="14">
        <v>555555</v>
      </c>
      <c r="F172" s="14">
        <v>230382</v>
      </c>
      <c r="G172" s="14">
        <v>106111205</v>
      </c>
      <c r="H172" s="12" t="s">
        <v>441</v>
      </c>
      <c r="I172" s="12" t="s">
        <v>445</v>
      </c>
    </row>
    <row r="173" spans="1:9" x14ac:dyDescent="0.4">
      <c r="A173" s="12">
        <v>170</v>
      </c>
      <c r="B173" s="12">
        <v>203209</v>
      </c>
      <c r="C173" s="12" t="s">
        <v>447</v>
      </c>
      <c r="D173" s="14">
        <v>784737</v>
      </c>
      <c r="E173" s="14">
        <v>555555</v>
      </c>
      <c r="F173" s="14">
        <v>229182</v>
      </c>
      <c r="G173" s="14">
        <v>105555650</v>
      </c>
      <c r="H173" s="12" t="s">
        <v>444</v>
      </c>
      <c r="I173" s="12" t="s">
        <v>448</v>
      </c>
    </row>
    <row r="174" spans="1:9" x14ac:dyDescent="0.4">
      <c r="A174" s="12">
        <v>171</v>
      </c>
      <c r="B174" s="12">
        <v>203210</v>
      </c>
      <c r="C174" s="12" t="s">
        <v>449</v>
      </c>
      <c r="D174" s="14">
        <v>776183</v>
      </c>
      <c r="E174" s="14">
        <v>555555</v>
      </c>
      <c r="F174" s="14">
        <v>220628</v>
      </c>
      <c r="G174" s="14">
        <v>105000095</v>
      </c>
      <c r="H174" s="12" t="s">
        <v>446</v>
      </c>
      <c r="I174" s="12" t="s">
        <v>450</v>
      </c>
    </row>
    <row r="175" spans="1:9" x14ac:dyDescent="0.4">
      <c r="A175" s="12">
        <v>172</v>
      </c>
      <c r="B175" s="12">
        <v>203211</v>
      </c>
      <c r="C175" s="12" t="s">
        <v>451</v>
      </c>
      <c r="D175" s="14">
        <v>782337</v>
      </c>
      <c r="E175" s="14">
        <v>555555</v>
      </c>
      <c r="F175" s="14">
        <v>226782</v>
      </c>
      <c r="G175" s="14">
        <v>104444540</v>
      </c>
      <c r="H175" s="12" t="s">
        <v>449</v>
      </c>
      <c r="I175" s="12" t="s">
        <v>452</v>
      </c>
    </row>
    <row r="176" spans="1:9" x14ac:dyDescent="0.4">
      <c r="A176" s="12">
        <v>173</v>
      </c>
      <c r="B176" s="12">
        <v>203212</v>
      </c>
      <c r="C176" s="12" t="s">
        <v>454</v>
      </c>
      <c r="D176" s="14">
        <v>773861</v>
      </c>
      <c r="E176" s="14">
        <v>555555</v>
      </c>
      <c r="F176" s="14">
        <v>218306</v>
      </c>
      <c r="G176" s="14">
        <v>103888985</v>
      </c>
      <c r="H176" s="12" t="s">
        <v>451</v>
      </c>
      <c r="I176" s="12" t="s">
        <v>455</v>
      </c>
    </row>
    <row r="177" spans="1:9" x14ac:dyDescent="0.4">
      <c r="A177" s="12">
        <v>174</v>
      </c>
      <c r="B177" s="12">
        <v>203301</v>
      </c>
      <c r="C177" s="12" t="s">
        <v>456</v>
      </c>
      <c r="D177" s="14">
        <v>780413</v>
      </c>
      <c r="E177" s="14">
        <v>555555</v>
      </c>
      <c r="F177" s="14">
        <v>224858</v>
      </c>
      <c r="G177" s="14">
        <v>103333430</v>
      </c>
      <c r="H177" s="12" t="s">
        <v>453</v>
      </c>
      <c r="I177" s="12" t="s">
        <v>457</v>
      </c>
    </row>
    <row r="178" spans="1:9" x14ac:dyDescent="0.4">
      <c r="A178" s="12">
        <v>175</v>
      </c>
      <c r="B178" s="12">
        <v>203302</v>
      </c>
      <c r="C178" s="12" t="s">
        <v>458</v>
      </c>
      <c r="D178" s="14">
        <v>779349</v>
      </c>
      <c r="E178" s="14">
        <v>555555</v>
      </c>
      <c r="F178" s="14">
        <v>223794</v>
      </c>
      <c r="G178" s="14">
        <v>102777875</v>
      </c>
      <c r="H178" s="12" t="s">
        <v>456</v>
      </c>
      <c r="I178" s="12" t="s">
        <v>459</v>
      </c>
    </row>
    <row r="179" spans="1:9" x14ac:dyDescent="0.4">
      <c r="A179" s="12">
        <v>176</v>
      </c>
      <c r="B179" s="12">
        <v>203303</v>
      </c>
      <c r="C179" s="12" t="s">
        <v>460</v>
      </c>
      <c r="D179" s="14">
        <v>756605</v>
      </c>
      <c r="E179" s="14">
        <v>555555</v>
      </c>
      <c r="F179" s="14">
        <v>201050</v>
      </c>
      <c r="G179" s="14">
        <v>102222320</v>
      </c>
      <c r="H179" s="12" t="s">
        <v>458</v>
      </c>
      <c r="I179" s="12" t="s">
        <v>461</v>
      </c>
    </row>
    <row r="180" spans="1:9" x14ac:dyDescent="0.4">
      <c r="A180" s="12">
        <v>177</v>
      </c>
      <c r="B180" s="12">
        <v>203304</v>
      </c>
      <c r="C180" s="12" t="s">
        <v>462</v>
      </c>
      <c r="D180" s="14">
        <v>776943</v>
      </c>
      <c r="E180" s="14">
        <v>555555</v>
      </c>
      <c r="F180" s="14">
        <v>221388</v>
      </c>
      <c r="G180" s="14">
        <v>101666765</v>
      </c>
      <c r="H180" s="12" t="s">
        <v>460</v>
      </c>
      <c r="I180" s="12" t="s">
        <v>463</v>
      </c>
    </row>
    <row r="181" spans="1:9" x14ac:dyDescent="0.4">
      <c r="A181" s="12">
        <v>178</v>
      </c>
      <c r="B181" s="12">
        <v>203305</v>
      </c>
      <c r="C181" s="12" t="s">
        <v>464</v>
      </c>
      <c r="D181" s="14">
        <v>768637</v>
      </c>
      <c r="E181" s="14">
        <v>555555</v>
      </c>
      <c r="F181" s="14">
        <v>213082</v>
      </c>
      <c r="G181" s="14">
        <v>101111210</v>
      </c>
      <c r="H181" s="12" t="s">
        <v>462</v>
      </c>
      <c r="I181" s="12" t="s">
        <v>465</v>
      </c>
    </row>
    <row r="182" spans="1:9" x14ac:dyDescent="0.4">
      <c r="A182" s="12">
        <v>179</v>
      </c>
      <c r="B182" s="12">
        <v>203306</v>
      </c>
      <c r="C182" s="12" t="s">
        <v>467</v>
      </c>
      <c r="D182" s="14">
        <v>774536</v>
      </c>
      <c r="E182" s="14">
        <v>555555</v>
      </c>
      <c r="F182" s="14">
        <v>218981</v>
      </c>
      <c r="G182" s="14">
        <v>100555655</v>
      </c>
      <c r="H182" s="12" t="s">
        <v>464</v>
      </c>
      <c r="I182" s="12" t="s">
        <v>468</v>
      </c>
    </row>
    <row r="183" spans="1:9" x14ac:dyDescent="0.4">
      <c r="A183" s="12">
        <v>180</v>
      </c>
      <c r="B183" s="12">
        <v>203307</v>
      </c>
      <c r="C183" s="12" t="s">
        <v>469</v>
      </c>
      <c r="D183" s="14">
        <v>766308</v>
      </c>
      <c r="E183" s="14">
        <v>555555</v>
      </c>
      <c r="F183" s="14">
        <v>210753</v>
      </c>
      <c r="G183" s="14">
        <v>100000100</v>
      </c>
      <c r="H183" s="12" t="s">
        <v>466</v>
      </c>
      <c r="I183" s="12" t="s">
        <v>470</v>
      </c>
    </row>
    <row r="184" spans="1:9" x14ac:dyDescent="0.4">
      <c r="A184" s="12">
        <v>181</v>
      </c>
      <c r="B184" s="12">
        <v>203308</v>
      </c>
      <c r="C184" s="12" t="s">
        <v>471</v>
      </c>
      <c r="D184" s="14">
        <v>772130</v>
      </c>
      <c r="E184" s="14">
        <v>555555</v>
      </c>
      <c r="F184" s="14">
        <v>216575</v>
      </c>
      <c r="G184" s="14">
        <v>99444545</v>
      </c>
      <c r="H184" s="12" t="s">
        <v>469</v>
      </c>
      <c r="I184" s="12" t="s">
        <v>472</v>
      </c>
    </row>
    <row r="185" spans="1:9" x14ac:dyDescent="0.4">
      <c r="A185" s="12">
        <v>182</v>
      </c>
      <c r="B185" s="12">
        <v>203309</v>
      </c>
      <c r="C185" s="12" t="s">
        <v>474</v>
      </c>
      <c r="D185" s="14">
        <v>770927</v>
      </c>
      <c r="E185" s="14">
        <v>555555</v>
      </c>
      <c r="F185" s="14">
        <v>215372</v>
      </c>
      <c r="G185" s="14">
        <v>98888990</v>
      </c>
      <c r="H185" s="12" t="s">
        <v>471</v>
      </c>
      <c r="I185" s="12" t="s">
        <v>475</v>
      </c>
    </row>
    <row r="186" spans="1:9" x14ac:dyDescent="0.4">
      <c r="A186" s="12">
        <v>183</v>
      </c>
      <c r="B186" s="12">
        <v>203310</v>
      </c>
      <c r="C186" s="12" t="s">
        <v>476</v>
      </c>
      <c r="D186" s="14">
        <v>762815</v>
      </c>
      <c r="E186" s="14">
        <v>555555</v>
      </c>
      <c r="F186" s="14">
        <v>207260</v>
      </c>
      <c r="G186" s="14">
        <v>98333435</v>
      </c>
      <c r="H186" s="12" t="s">
        <v>473</v>
      </c>
      <c r="I186" s="12" t="s">
        <v>477</v>
      </c>
    </row>
    <row r="187" spans="1:9" x14ac:dyDescent="0.4">
      <c r="A187" s="12">
        <v>184</v>
      </c>
      <c r="B187" s="12">
        <v>203311</v>
      </c>
      <c r="C187" s="12" t="s">
        <v>478</v>
      </c>
      <c r="D187" s="14">
        <v>768520</v>
      </c>
      <c r="E187" s="14">
        <v>555555</v>
      </c>
      <c r="F187" s="14">
        <v>212965</v>
      </c>
      <c r="G187" s="14">
        <v>97777880</v>
      </c>
      <c r="H187" s="12" t="s">
        <v>476</v>
      </c>
      <c r="I187" s="12" t="s">
        <v>479</v>
      </c>
    </row>
    <row r="188" spans="1:9" x14ac:dyDescent="0.4">
      <c r="A188" s="12">
        <v>185</v>
      </c>
      <c r="B188" s="12">
        <v>203312</v>
      </c>
      <c r="C188" s="12" t="s">
        <v>481</v>
      </c>
      <c r="D188" s="14">
        <v>760486</v>
      </c>
      <c r="E188" s="14">
        <v>555555</v>
      </c>
      <c r="F188" s="14">
        <v>204931</v>
      </c>
      <c r="G188" s="14">
        <v>97222325</v>
      </c>
      <c r="H188" s="12" t="s">
        <v>478</v>
      </c>
      <c r="I188" s="12" t="s">
        <v>482</v>
      </c>
    </row>
    <row r="189" spans="1:9" x14ac:dyDescent="0.4">
      <c r="A189" s="12">
        <v>186</v>
      </c>
      <c r="B189" s="12">
        <v>203401</v>
      </c>
      <c r="C189" s="12" t="s">
        <v>483</v>
      </c>
      <c r="D189" s="14">
        <v>766114</v>
      </c>
      <c r="E189" s="14">
        <v>555555</v>
      </c>
      <c r="F189" s="14">
        <v>210559</v>
      </c>
      <c r="G189" s="14">
        <v>96666770</v>
      </c>
      <c r="H189" s="12" t="s">
        <v>480</v>
      </c>
      <c r="I189" s="12" t="s">
        <v>484</v>
      </c>
    </row>
    <row r="190" spans="1:9" x14ac:dyDescent="0.4">
      <c r="A190" s="12">
        <v>187</v>
      </c>
      <c r="B190" s="12">
        <v>203402</v>
      </c>
      <c r="C190" s="12" t="s">
        <v>486</v>
      </c>
      <c r="D190" s="14">
        <v>764911</v>
      </c>
      <c r="E190" s="14">
        <v>555555</v>
      </c>
      <c r="F190" s="14">
        <v>209356</v>
      </c>
      <c r="G190" s="14">
        <v>96111215</v>
      </c>
      <c r="H190" s="12" t="s">
        <v>483</v>
      </c>
      <c r="I190" s="12" t="s">
        <v>487</v>
      </c>
    </row>
    <row r="191" spans="1:9" x14ac:dyDescent="0.4">
      <c r="A191" s="12">
        <v>188</v>
      </c>
      <c r="B191" s="12">
        <v>203403</v>
      </c>
      <c r="C191" s="12" t="s">
        <v>489</v>
      </c>
      <c r="D191" s="14">
        <v>743564</v>
      </c>
      <c r="E191" s="14">
        <v>555555</v>
      </c>
      <c r="F191" s="14">
        <v>188009</v>
      </c>
      <c r="G191" s="14">
        <v>95555660</v>
      </c>
      <c r="H191" s="12" t="s">
        <v>485</v>
      </c>
      <c r="I191" s="12" t="s">
        <v>490</v>
      </c>
    </row>
    <row r="192" spans="1:9" x14ac:dyDescent="0.4">
      <c r="A192" s="12">
        <v>189</v>
      </c>
      <c r="B192" s="12">
        <v>203404</v>
      </c>
      <c r="C192" s="12" t="s">
        <v>491</v>
      </c>
      <c r="D192" s="14">
        <v>762504</v>
      </c>
      <c r="E192" s="14">
        <v>555555</v>
      </c>
      <c r="F192" s="14">
        <v>206949</v>
      </c>
      <c r="G192" s="14">
        <v>95000105</v>
      </c>
      <c r="H192" s="12" t="s">
        <v>488</v>
      </c>
      <c r="I192" s="12" t="s">
        <v>492</v>
      </c>
    </row>
    <row r="193" spans="1:9" x14ac:dyDescent="0.4">
      <c r="A193" s="12">
        <v>190</v>
      </c>
      <c r="B193" s="12">
        <v>203405</v>
      </c>
      <c r="C193" s="12" t="s">
        <v>494</v>
      </c>
      <c r="D193" s="14">
        <v>754664</v>
      </c>
      <c r="E193" s="14">
        <v>555555</v>
      </c>
      <c r="F193" s="14">
        <v>199109</v>
      </c>
      <c r="G193" s="14">
        <v>94444550</v>
      </c>
      <c r="H193" s="12" t="s">
        <v>491</v>
      </c>
      <c r="I193" s="12" t="s">
        <v>495</v>
      </c>
    </row>
    <row r="194" spans="1:9" x14ac:dyDescent="0.4">
      <c r="A194" s="12">
        <v>191</v>
      </c>
      <c r="B194" s="12">
        <v>203406</v>
      </c>
      <c r="C194" s="12" t="s">
        <v>497</v>
      </c>
      <c r="D194" s="14">
        <v>760098</v>
      </c>
      <c r="E194" s="14">
        <v>555555</v>
      </c>
      <c r="F194" s="14">
        <v>204543</v>
      </c>
      <c r="G194" s="14">
        <v>93888995</v>
      </c>
      <c r="H194" s="12" t="s">
        <v>493</v>
      </c>
      <c r="I194" s="12" t="s">
        <v>498</v>
      </c>
    </row>
    <row r="195" spans="1:9" x14ac:dyDescent="0.4">
      <c r="A195" s="12">
        <v>192</v>
      </c>
      <c r="B195" s="12">
        <v>203407</v>
      </c>
      <c r="C195" s="12" t="s">
        <v>499</v>
      </c>
      <c r="D195" s="14">
        <v>752336</v>
      </c>
      <c r="E195" s="14">
        <v>555555</v>
      </c>
      <c r="F195" s="14">
        <v>196781</v>
      </c>
      <c r="G195" s="14">
        <v>93333440</v>
      </c>
      <c r="H195" s="12" t="s">
        <v>496</v>
      </c>
      <c r="I195" s="12" t="s">
        <v>500</v>
      </c>
    </row>
    <row r="196" spans="1:9" x14ac:dyDescent="0.4">
      <c r="A196" s="12">
        <v>193</v>
      </c>
      <c r="B196" s="12">
        <v>203408</v>
      </c>
      <c r="C196" s="12" t="s">
        <v>501</v>
      </c>
      <c r="D196" s="14">
        <v>757692</v>
      </c>
      <c r="E196" s="14">
        <v>555555</v>
      </c>
      <c r="F196" s="14">
        <v>202137</v>
      </c>
      <c r="G196" s="14">
        <v>92777885</v>
      </c>
      <c r="H196" s="12" t="s">
        <v>499</v>
      </c>
      <c r="I196" s="12" t="s">
        <v>502</v>
      </c>
    </row>
    <row r="197" spans="1:9" x14ac:dyDescent="0.4">
      <c r="A197" s="12">
        <v>194</v>
      </c>
      <c r="B197" s="12">
        <v>203409</v>
      </c>
      <c r="C197" s="12" t="s">
        <v>503</v>
      </c>
      <c r="D197" s="14">
        <v>756489</v>
      </c>
      <c r="E197" s="14">
        <v>555555</v>
      </c>
      <c r="F197" s="14">
        <v>200934</v>
      </c>
      <c r="G197" s="14">
        <v>92222330</v>
      </c>
      <c r="H197" s="12" t="s">
        <v>501</v>
      </c>
      <c r="I197" s="12" t="s">
        <v>504</v>
      </c>
    </row>
    <row r="198" spans="1:9" x14ac:dyDescent="0.4">
      <c r="A198" s="12">
        <v>195</v>
      </c>
      <c r="B198" s="12">
        <v>203410</v>
      </c>
      <c r="C198" s="12" t="s">
        <v>505</v>
      </c>
      <c r="D198" s="14">
        <v>748842</v>
      </c>
      <c r="E198" s="14">
        <v>555555</v>
      </c>
      <c r="F198" s="14">
        <v>193287</v>
      </c>
      <c r="G198" s="14">
        <v>91666775</v>
      </c>
      <c r="H198" s="12" t="s">
        <v>503</v>
      </c>
      <c r="I198" s="12" t="s">
        <v>506</v>
      </c>
    </row>
    <row r="199" spans="1:9" x14ac:dyDescent="0.4">
      <c r="A199" s="12">
        <v>196</v>
      </c>
      <c r="B199" s="12">
        <v>203411</v>
      </c>
      <c r="C199" s="12" t="s">
        <v>508</v>
      </c>
      <c r="D199" s="14">
        <v>754082</v>
      </c>
      <c r="E199" s="14">
        <v>555555</v>
      </c>
      <c r="F199" s="14">
        <v>198527</v>
      </c>
      <c r="G199" s="14">
        <v>91111220</v>
      </c>
      <c r="H199" s="12" t="s">
        <v>505</v>
      </c>
      <c r="I199" s="12" t="s">
        <v>509</v>
      </c>
    </row>
    <row r="200" spans="1:9" x14ac:dyDescent="0.4">
      <c r="A200" s="12">
        <v>197</v>
      </c>
      <c r="B200" s="12">
        <v>203412</v>
      </c>
      <c r="C200" s="12" t="s">
        <v>511</v>
      </c>
      <c r="D200" s="14">
        <v>746514</v>
      </c>
      <c r="E200" s="14">
        <v>555555</v>
      </c>
      <c r="F200" s="14">
        <v>190959</v>
      </c>
      <c r="G200" s="14">
        <v>90555665</v>
      </c>
      <c r="H200" s="12" t="s">
        <v>507</v>
      </c>
      <c r="I200" s="12" t="s">
        <v>512</v>
      </c>
    </row>
    <row r="201" spans="1:9" x14ac:dyDescent="0.4">
      <c r="A201" s="12">
        <v>198</v>
      </c>
      <c r="B201" s="12">
        <v>203501</v>
      </c>
      <c r="C201" s="12" t="s">
        <v>513</v>
      </c>
      <c r="D201" s="14">
        <v>751676</v>
      </c>
      <c r="E201" s="14">
        <v>555555</v>
      </c>
      <c r="F201" s="14">
        <v>196121</v>
      </c>
      <c r="G201" s="14">
        <v>90000110</v>
      </c>
      <c r="H201" s="12" t="s">
        <v>510</v>
      </c>
      <c r="I201" s="12" t="s">
        <v>514</v>
      </c>
    </row>
    <row r="202" spans="1:9" x14ac:dyDescent="0.4">
      <c r="A202" s="12">
        <v>199</v>
      </c>
      <c r="B202" s="12">
        <v>203502</v>
      </c>
      <c r="C202" s="12" t="s">
        <v>516</v>
      </c>
      <c r="D202" s="14">
        <v>750473</v>
      </c>
      <c r="E202" s="14">
        <v>555555</v>
      </c>
      <c r="F202" s="14">
        <v>194918</v>
      </c>
      <c r="G202" s="14">
        <v>89444555</v>
      </c>
      <c r="H202" s="12" t="s">
        <v>513</v>
      </c>
      <c r="I202" s="12" t="s">
        <v>517</v>
      </c>
    </row>
    <row r="203" spans="1:9" x14ac:dyDescent="0.4">
      <c r="A203" s="12">
        <v>200</v>
      </c>
      <c r="B203" s="12">
        <v>203503</v>
      </c>
      <c r="C203" s="12" t="s">
        <v>519</v>
      </c>
      <c r="D203" s="14">
        <v>730523</v>
      </c>
      <c r="E203" s="14">
        <v>555555</v>
      </c>
      <c r="F203" s="14">
        <v>174968</v>
      </c>
      <c r="G203" s="14">
        <v>88889000</v>
      </c>
      <c r="H203" s="12" t="s">
        <v>515</v>
      </c>
      <c r="I203" s="12" t="s">
        <v>520</v>
      </c>
    </row>
    <row r="204" spans="1:9" x14ac:dyDescent="0.4">
      <c r="A204" s="12">
        <v>201</v>
      </c>
      <c r="B204" s="12">
        <v>203504</v>
      </c>
      <c r="C204" s="12" t="s">
        <v>521</v>
      </c>
      <c r="D204" s="14">
        <v>748066</v>
      </c>
      <c r="E204" s="14">
        <v>555555</v>
      </c>
      <c r="F204" s="14">
        <v>192511</v>
      </c>
      <c r="G204" s="14">
        <v>88333445</v>
      </c>
      <c r="H204" s="12" t="s">
        <v>518</v>
      </c>
      <c r="I204" s="12" t="s">
        <v>522</v>
      </c>
    </row>
    <row r="205" spans="1:9" x14ac:dyDescent="0.4">
      <c r="A205" s="12">
        <v>202</v>
      </c>
      <c r="B205" s="12">
        <v>203505</v>
      </c>
      <c r="C205" s="12" t="s">
        <v>523</v>
      </c>
      <c r="D205" s="14">
        <v>740692</v>
      </c>
      <c r="E205" s="14">
        <v>555555</v>
      </c>
      <c r="F205" s="14">
        <v>185137</v>
      </c>
      <c r="G205" s="14">
        <v>87777890</v>
      </c>
      <c r="H205" s="12" t="s">
        <v>521</v>
      </c>
      <c r="I205" s="12" t="s">
        <v>524</v>
      </c>
    </row>
    <row r="206" spans="1:9" x14ac:dyDescent="0.4">
      <c r="A206" s="12">
        <v>203</v>
      </c>
      <c r="B206" s="12">
        <v>203506</v>
      </c>
      <c r="C206" s="12" t="s">
        <v>525</v>
      </c>
      <c r="D206" s="14">
        <v>745660</v>
      </c>
      <c r="E206" s="14">
        <v>555555</v>
      </c>
      <c r="F206" s="14">
        <v>190105</v>
      </c>
      <c r="G206" s="14">
        <v>87222335</v>
      </c>
      <c r="H206" s="12" t="s">
        <v>523</v>
      </c>
      <c r="I206" s="12" t="s">
        <v>526</v>
      </c>
    </row>
    <row r="207" spans="1:9" x14ac:dyDescent="0.4">
      <c r="A207" s="12">
        <v>204</v>
      </c>
      <c r="B207" s="12">
        <v>203507</v>
      </c>
      <c r="C207" s="12" t="s">
        <v>527</v>
      </c>
      <c r="D207" s="14">
        <v>738363</v>
      </c>
      <c r="E207" s="14">
        <v>555555</v>
      </c>
      <c r="F207" s="14">
        <v>182808</v>
      </c>
      <c r="G207" s="14">
        <v>86666780</v>
      </c>
      <c r="H207" s="12" t="s">
        <v>525</v>
      </c>
      <c r="I207" s="12" t="s">
        <v>528</v>
      </c>
    </row>
    <row r="208" spans="1:9" x14ac:dyDescent="0.4">
      <c r="A208" s="12">
        <v>205</v>
      </c>
      <c r="B208" s="12">
        <v>203508</v>
      </c>
      <c r="C208" s="12" t="s">
        <v>530</v>
      </c>
      <c r="D208" s="14">
        <v>743253</v>
      </c>
      <c r="E208" s="14">
        <v>555555</v>
      </c>
      <c r="F208" s="14">
        <v>187698</v>
      </c>
      <c r="G208" s="14">
        <v>86111225</v>
      </c>
      <c r="H208" s="12" t="s">
        <v>527</v>
      </c>
      <c r="I208" s="12" t="s">
        <v>531</v>
      </c>
    </row>
    <row r="209" spans="1:9" x14ac:dyDescent="0.4">
      <c r="A209" s="12">
        <v>206</v>
      </c>
      <c r="B209" s="12">
        <v>203509</v>
      </c>
      <c r="C209" s="12" t="s">
        <v>532</v>
      </c>
      <c r="D209" s="14">
        <v>742050</v>
      </c>
      <c r="E209" s="14">
        <v>555555</v>
      </c>
      <c r="F209" s="14">
        <v>186495</v>
      </c>
      <c r="G209" s="14">
        <v>85555670</v>
      </c>
      <c r="H209" s="12" t="s">
        <v>529</v>
      </c>
      <c r="I209" s="12" t="s">
        <v>533</v>
      </c>
    </row>
    <row r="210" spans="1:9" x14ac:dyDescent="0.4">
      <c r="A210" s="12">
        <v>207</v>
      </c>
      <c r="B210" s="12">
        <v>203510</v>
      </c>
      <c r="C210" s="12" t="s">
        <v>534</v>
      </c>
      <c r="D210" s="14">
        <v>734870</v>
      </c>
      <c r="E210" s="14">
        <v>555555</v>
      </c>
      <c r="F210" s="14">
        <v>179315</v>
      </c>
      <c r="G210" s="14">
        <v>85000115</v>
      </c>
      <c r="H210" s="12" t="s">
        <v>532</v>
      </c>
      <c r="I210" s="12" t="s">
        <v>535</v>
      </c>
    </row>
    <row r="211" spans="1:9" x14ac:dyDescent="0.4">
      <c r="A211" s="12">
        <v>208</v>
      </c>
      <c r="B211" s="12">
        <v>203511</v>
      </c>
      <c r="C211" s="12" t="s">
        <v>537</v>
      </c>
      <c r="D211" s="14">
        <v>739644</v>
      </c>
      <c r="E211" s="14">
        <v>555555</v>
      </c>
      <c r="F211" s="14">
        <v>184089</v>
      </c>
      <c r="G211" s="14">
        <v>84444560</v>
      </c>
      <c r="H211" s="12" t="s">
        <v>534</v>
      </c>
      <c r="I211" s="12" t="s">
        <v>538</v>
      </c>
    </row>
    <row r="212" spans="1:9" x14ac:dyDescent="0.4">
      <c r="A212" s="12">
        <v>209</v>
      </c>
      <c r="B212" s="12">
        <v>203512</v>
      </c>
      <c r="C212" s="12" t="s">
        <v>540</v>
      </c>
      <c r="D212" s="14">
        <v>732541</v>
      </c>
      <c r="E212" s="14">
        <v>555555</v>
      </c>
      <c r="F212" s="14">
        <v>176986</v>
      </c>
      <c r="G212" s="14">
        <v>83889005</v>
      </c>
      <c r="H212" s="12" t="s">
        <v>536</v>
      </c>
      <c r="I212" s="12" t="s">
        <v>541</v>
      </c>
    </row>
    <row r="213" spans="1:9" x14ac:dyDescent="0.4">
      <c r="A213" s="12">
        <v>210</v>
      </c>
      <c r="B213" s="12">
        <v>203601</v>
      </c>
      <c r="C213" s="12" t="s">
        <v>542</v>
      </c>
      <c r="D213" s="14">
        <v>736853</v>
      </c>
      <c r="E213" s="14">
        <v>555555</v>
      </c>
      <c r="F213" s="14">
        <v>181298</v>
      </c>
      <c r="G213" s="14">
        <v>83333450</v>
      </c>
      <c r="H213" s="12" t="s">
        <v>539</v>
      </c>
      <c r="I213" s="12" t="s">
        <v>543</v>
      </c>
    </row>
    <row r="214" spans="1:9" x14ac:dyDescent="0.4">
      <c r="A214" s="12">
        <v>211</v>
      </c>
      <c r="B214" s="12">
        <v>203602</v>
      </c>
      <c r="C214" s="12" t="s">
        <v>544</v>
      </c>
      <c r="D214" s="14">
        <v>735541</v>
      </c>
      <c r="E214" s="14">
        <v>555555</v>
      </c>
      <c r="F214" s="14">
        <v>179986</v>
      </c>
      <c r="G214" s="14">
        <v>82777895</v>
      </c>
      <c r="H214" s="12" t="s">
        <v>542</v>
      </c>
      <c r="I214" s="12" t="s">
        <v>545</v>
      </c>
    </row>
    <row r="215" spans="1:9" x14ac:dyDescent="0.4">
      <c r="A215" s="12">
        <v>212</v>
      </c>
      <c r="B215" s="12">
        <v>203603</v>
      </c>
      <c r="C215" s="12" t="s">
        <v>546</v>
      </c>
      <c r="D215" s="14">
        <v>722807</v>
      </c>
      <c r="E215" s="14">
        <v>555555</v>
      </c>
      <c r="F215" s="14">
        <v>167252</v>
      </c>
      <c r="G215" s="14">
        <v>82222340</v>
      </c>
      <c r="H215" s="12" t="s">
        <v>544</v>
      </c>
      <c r="I215" s="12" t="s">
        <v>547</v>
      </c>
    </row>
    <row r="216" spans="1:9" x14ac:dyDescent="0.4">
      <c r="A216" s="12">
        <v>213</v>
      </c>
      <c r="B216" s="12">
        <v>203604</v>
      </c>
      <c r="C216" s="12" t="s">
        <v>548</v>
      </c>
      <c r="D216" s="14">
        <v>733141</v>
      </c>
      <c r="E216" s="14">
        <v>555555</v>
      </c>
      <c r="F216" s="14">
        <v>177586</v>
      </c>
      <c r="G216" s="14">
        <v>81666785</v>
      </c>
      <c r="H216" s="12" t="s">
        <v>546</v>
      </c>
      <c r="I216" s="12" t="s">
        <v>549</v>
      </c>
    </row>
    <row r="217" spans="1:9" x14ac:dyDescent="0.4">
      <c r="A217" s="12">
        <v>214</v>
      </c>
      <c r="B217" s="12">
        <v>203605</v>
      </c>
      <c r="C217" s="12" t="s">
        <v>551</v>
      </c>
      <c r="D217" s="14">
        <v>726251</v>
      </c>
      <c r="E217" s="14">
        <v>555555</v>
      </c>
      <c r="F217" s="14">
        <v>170696</v>
      </c>
      <c r="G217" s="14">
        <v>81111230</v>
      </c>
      <c r="H217" s="12" t="s">
        <v>548</v>
      </c>
      <c r="I217" s="12" t="s">
        <v>552</v>
      </c>
    </row>
    <row r="218" spans="1:9" x14ac:dyDescent="0.4">
      <c r="A218" s="12">
        <v>215</v>
      </c>
      <c r="B218" s="12">
        <v>203606</v>
      </c>
      <c r="C218" s="12" t="s">
        <v>553</v>
      </c>
      <c r="D218" s="14">
        <v>730741</v>
      </c>
      <c r="E218" s="14">
        <v>555555</v>
      </c>
      <c r="F218" s="14">
        <v>175186</v>
      </c>
      <c r="G218" s="14">
        <v>80555675</v>
      </c>
      <c r="H218" s="12" t="s">
        <v>550</v>
      </c>
      <c r="I218" s="12" t="s">
        <v>554</v>
      </c>
    </row>
    <row r="219" spans="1:9" x14ac:dyDescent="0.4">
      <c r="A219" s="12">
        <v>216</v>
      </c>
      <c r="B219" s="12">
        <v>203607</v>
      </c>
      <c r="C219" s="12" t="s">
        <v>555</v>
      </c>
      <c r="D219" s="14">
        <v>723929</v>
      </c>
      <c r="E219" s="14">
        <v>555555</v>
      </c>
      <c r="F219" s="14">
        <v>168374</v>
      </c>
      <c r="G219" s="14">
        <v>80000120</v>
      </c>
      <c r="H219" s="12" t="s">
        <v>553</v>
      </c>
      <c r="I219" s="12" t="s">
        <v>556</v>
      </c>
    </row>
    <row r="220" spans="1:9" x14ac:dyDescent="0.4">
      <c r="A220" s="12">
        <v>217</v>
      </c>
      <c r="B220" s="12">
        <v>203608</v>
      </c>
      <c r="C220" s="12" t="s">
        <v>557</v>
      </c>
      <c r="D220" s="14">
        <v>728342</v>
      </c>
      <c r="E220" s="14">
        <v>555555</v>
      </c>
      <c r="F220" s="14">
        <v>172787</v>
      </c>
      <c r="G220" s="14">
        <v>79444565</v>
      </c>
      <c r="H220" s="12" t="s">
        <v>555</v>
      </c>
      <c r="I220" s="12" t="s">
        <v>558</v>
      </c>
    </row>
    <row r="221" spans="1:9" x14ac:dyDescent="0.4">
      <c r="A221" s="12">
        <v>218</v>
      </c>
      <c r="B221" s="12">
        <v>203609</v>
      </c>
      <c r="C221" s="12" t="s">
        <v>559</v>
      </c>
      <c r="D221" s="14">
        <v>727142</v>
      </c>
      <c r="E221" s="14">
        <v>555555</v>
      </c>
      <c r="F221" s="14">
        <v>171587</v>
      </c>
      <c r="G221" s="14">
        <v>78889010</v>
      </c>
      <c r="H221" s="12" t="s">
        <v>557</v>
      </c>
      <c r="I221" s="12" t="s">
        <v>560</v>
      </c>
    </row>
    <row r="222" spans="1:9" x14ac:dyDescent="0.4">
      <c r="A222" s="12">
        <v>219</v>
      </c>
      <c r="B222" s="12">
        <v>203610</v>
      </c>
      <c r="C222" s="12" t="s">
        <v>562</v>
      </c>
      <c r="D222" s="14">
        <v>720445</v>
      </c>
      <c r="E222" s="14">
        <v>555555</v>
      </c>
      <c r="F222" s="14">
        <v>164890</v>
      </c>
      <c r="G222" s="14">
        <v>78333455</v>
      </c>
      <c r="H222" s="12" t="s">
        <v>559</v>
      </c>
      <c r="I222" s="12" t="s">
        <v>563</v>
      </c>
    </row>
    <row r="223" spans="1:9" x14ac:dyDescent="0.4">
      <c r="A223" s="12">
        <v>220</v>
      </c>
      <c r="B223" s="12">
        <v>203611</v>
      </c>
      <c r="C223" s="12" t="s">
        <v>564</v>
      </c>
      <c r="D223" s="14">
        <v>724742</v>
      </c>
      <c r="E223" s="14">
        <v>555555</v>
      </c>
      <c r="F223" s="14">
        <v>169187</v>
      </c>
      <c r="G223" s="14">
        <v>77777900</v>
      </c>
      <c r="H223" s="12" t="s">
        <v>561</v>
      </c>
      <c r="I223" s="12" t="s">
        <v>565</v>
      </c>
    </row>
    <row r="224" spans="1:9" x14ac:dyDescent="0.4">
      <c r="A224" s="12">
        <v>221</v>
      </c>
      <c r="B224" s="12">
        <v>203612</v>
      </c>
      <c r="C224" s="12" t="s">
        <v>567</v>
      </c>
      <c r="D224" s="14">
        <v>718123</v>
      </c>
      <c r="E224" s="14">
        <v>555555</v>
      </c>
      <c r="F224" s="14">
        <v>162568</v>
      </c>
      <c r="G224" s="14">
        <v>77222345</v>
      </c>
      <c r="H224" s="12" t="s">
        <v>564</v>
      </c>
      <c r="I224" s="12" t="s">
        <v>568</v>
      </c>
    </row>
    <row r="225" spans="1:9" x14ac:dyDescent="0.4">
      <c r="A225" s="12">
        <v>222</v>
      </c>
      <c r="B225" s="12">
        <v>203701</v>
      </c>
      <c r="C225" s="12" t="s">
        <v>570</v>
      </c>
      <c r="D225" s="14">
        <v>722695</v>
      </c>
      <c r="E225" s="14">
        <v>555555</v>
      </c>
      <c r="F225" s="14">
        <v>167140</v>
      </c>
      <c r="G225" s="14">
        <v>76666790</v>
      </c>
      <c r="H225" s="12" t="s">
        <v>566</v>
      </c>
      <c r="I225" s="12" t="s">
        <v>571</v>
      </c>
    </row>
    <row r="226" spans="1:9" x14ac:dyDescent="0.4">
      <c r="A226" s="12">
        <v>223</v>
      </c>
      <c r="B226" s="12">
        <v>203702</v>
      </c>
      <c r="C226" s="12" t="s">
        <v>572</v>
      </c>
      <c r="D226" s="14">
        <v>721596</v>
      </c>
      <c r="E226" s="14">
        <v>555555</v>
      </c>
      <c r="F226" s="14">
        <v>166041</v>
      </c>
      <c r="G226" s="14">
        <v>76111235</v>
      </c>
      <c r="H226" s="12" t="s">
        <v>569</v>
      </c>
      <c r="I226" s="12" t="s">
        <v>573</v>
      </c>
    </row>
    <row r="227" spans="1:9" x14ac:dyDescent="0.4">
      <c r="A227" s="12">
        <v>224</v>
      </c>
      <c r="B227" s="12">
        <v>203703</v>
      </c>
      <c r="C227" s="12" t="s">
        <v>574</v>
      </c>
      <c r="D227" s="14">
        <v>704441</v>
      </c>
      <c r="E227" s="14">
        <v>555555</v>
      </c>
      <c r="F227" s="14">
        <v>148886</v>
      </c>
      <c r="G227" s="14">
        <v>75555680</v>
      </c>
      <c r="H227" s="12" t="s">
        <v>572</v>
      </c>
      <c r="I227" s="12" t="s">
        <v>575</v>
      </c>
    </row>
    <row r="228" spans="1:9" x14ac:dyDescent="0.4">
      <c r="A228" s="12">
        <v>225</v>
      </c>
      <c r="B228" s="12">
        <v>203704</v>
      </c>
      <c r="C228" s="12" t="s">
        <v>577</v>
      </c>
      <c r="D228" s="14">
        <v>719189</v>
      </c>
      <c r="E228" s="14">
        <v>555555</v>
      </c>
      <c r="F228" s="14">
        <v>163634</v>
      </c>
      <c r="G228" s="14">
        <v>75000125</v>
      </c>
      <c r="H228" s="12" t="s">
        <v>574</v>
      </c>
      <c r="I228" s="12" t="s">
        <v>578</v>
      </c>
    </row>
    <row r="229" spans="1:9" x14ac:dyDescent="0.4">
      <c r="A229" s="12">
        <v>226</v>
      </c>
      <c r="B229" s="12">
        <v>203705</v>
      </c>
      <c r="C229" s="12" t="s">
        <v>579</v>
      </c>
      <c r="D229" s="14">
        <v>712747</v>
      </c>
      <c r="E229" s="14">
        <v>555555</v>
      </c>
      <c r="F229" s="14">
        <v>157192</v>
      </c>
      <c r="G229" s="14">
        <v>74444570</v>
      </c>
      <c r="H229" s="12" t="s">
        <v>576</v>
      </c>
      <c r="I229" s="12" t="s">
        <v>580</v>
      </c>
    </row>
    <row r="230" spans="1:9" x14ac:dyDescent="0.4">
      <c r="A230" s="12">
        <v>227</v>
      </c>
      <c r="B230" s="12">
        <v>203706</v>
      </c>
      <c r="C230" s="12" t="s">
        <v>581</v>
      </c>
      <c r="D230" s="14">
        <v>716783</v>
      </c>
      <c r="E230" s="14">
        <v>555555</v>
      </c>
      <c r="F230" s="14">
        <v>161228</v>
      </c>
      <c r="G230" s="14">
        <v>73889015</v>
      </c>
      <c r="H230" s="12" t="s">
        <v>579</v>
      </c>
      <c r="I230" s="12" t="s">
        <v>582</v>
      </c>
    </row>
    <row r="231" spans="1:9" x14ac:dyDescent="0.4">
      <c r="A231" s="12">
        <v>228</v>
      </c>
      <c r="B231" s="12">
        <v>203707</v>
      </c>
      <c r="C231" s="12" t="s">
        <v>584</v>
      </c>
      <c r="D231" s="14">
        <v>710418</v>
      </c>
      <c r="E231" s="14">
        <v>555555</v>
      </c>
      <c r="F231" s="14">
        <v>154863</v>
      </c>
      <c r="G231" s="14">
        <v>73333460</v>
      </c>
      <c r="H231" s="12" t="s">
        <v>581</v>
      </c>
      <c r="I231" s="12" t="s">
        <v>585</v>
      </c>
    </row>
    <row r="232" spans="1:9" x14ac:dyDescent="0.4">
      <c r="A232" s="12">
        <v>229</v>
      </c>
      <c r="B232" s="12">
        <v>203708</v>
      </c>
      <c r="C232" s="12" t="s">
        <v>586</v>
      </c>
      <c r="D232" s="14">
        <v>714377</v>
      </c>
      <c r="E232" s="14">
        <v>555555</v>
      </c>
      <c r="F232" s="14">
        <v>158822</v>
      </c>
      <c r="G232" s="14">
        <v>72777905</v>
      </c>
      <c r="H232" s="12" t="s">
        <v>583</v>
      </c>
      <c r="I232" s="12" t="s">
        <v>587</v>
      </c>
    </row>
    <row r="233" spans="1:9" x14ac:dyDescent="0.4">
      <c r="A233" s="12">
        <v>230</v>
      </c>
      <c r="B233" s="12">
        <v>203709</v>
      </c>
      <c r="C233" s="12" t="s">
        <v>589</v>
      </c>
      <c r="D233" s="14">
        <v>713173</v>
      </c>
      <c r="E233" s="14">
        <v>555555</v>
      </c>
      <c r="F233" s="14">
        <v>157618</v>
      </c>
      <c r="G233" s="14">
        <v>72222350</v>
      </c>
      <c r="H233" s="12" t="s">
        <v>586</v>
      </c>
      <c r="I233" s="12" t="s">
        <v>590</v>
      </c>
    </row>
    <row r="234" spans="1:9" x14ac:dyDescent="0.4">
      <c r="A234" s="12">
        <v>231</v>
      </c>
      <c r="B234" s="12">
        <v>203710</v>
      </c>
      <c r="C234" s="12" t="s">
        <v>592</v>
      </c>
      <c r="D234" s="14">
        <v>706925</v>
      </c>
      <c r="E234" s="14">
        <v>555555</v>
      </c>
      <c r="F234" s="14">
        <v>151370</v>
      </c>
      <c r="G234" s="14">
        <v>71666795</v>
      </c>
      <c r="H234" s="12" t="s">
        <v>588</v>
      </c>
      <c r="I234" s="12" t="s">
        <v>593</v>
      </c>
    </row>
    <row r="235" spans="1:9" x14ac:dyDescent="0.4">
      <c r="A235" s="12">
        <v>232</v>
      </c>
      <c r="B235" s="12">
        <v>203711</v>
      </c>
      <c r="C235" s="12" t="s">
        <v>594</v>
      </c>
      <c r="D235" s="14">
        <v>710767</v>
      </c>
      <c r="E235" s="14">
        <v>555555</v>
      </c>
      <c r="F235" s="14">
        <v>155212</v>
      </c>
      <c r="G235" s="14">
        <v>71111240</v>
      </c>
      <c r="H235" s="12" t="s">
        <v>591</v>
      </c>
      <c r="I235" s="12" t="s">
        <v>595</v>
      </c>
    </row>
    <row r="236" spans="1:9" x14ac:dyDescent="0.4">
      <c r="A236" s="12">
        <v>233</v>
      </c>
      <c r="B236" s="12">
        <v>203712</v>
      </c>
      <c r="C236" s="12" t="s">
        <v>597</v>
      </c>
      <c r="D236" s="14">
        <v>704596</v>
      </c>
      <c r="E236" s="14">
        <v>555555</v>
      </c>
      <c r="F236" s="14">
        <v>149041</v>
      </c>
      <c r="G236" s="14">
        <v>70555685</v>
      </c>
      <c r="H236" s="12" t="s">
        <v>594</v>
      </c>
      <c r="I236" s="12" t="s">
        <v>598</v>
      </c>
    </row>
    <row r="237" spans="1:9" x14ac:dyDescent="0.4">
      <c r="A237" s="12">
        <v>234</v>
      </c>
      <c r="B237" s="12">
        <v>203801</v>
      </c>
      <c r="C237" s="12" t="s">
        <v>599</v>
      </c>
      <c r="D237" s="14">
        <v>708361</v>
      </c>
      <c r="E237" s="14">
        <v>555555</v>
      </c>
      <c r="F237" s="14">
        <v>152806</v>
      </c>
      <c r="G237" s="14">
        <v>70000130</v>
      </c>
      <c r="H237" s="12" t="s">
        <v>596</v>
      </c>
      <c r="I237" s="12" t="s">
        <v>600</v>
      </c>
    </row>
    <row r="238" spans="1:9" x14ac:dyDescent="0.4">
      <c r="A238" s="12">
        <v>235</v>
      </c>
      <c r="B238" s="12">
        <v>203802</v>
      </c>
      <c r="C238" s="12" t="s">
        <v>601</v>
      </c>
      <c r="D238" s="14">
        <v>707158</v>
      </c>
      <c r="E238" s="14">
        <v>555555</v>
      </c>
      <c r="F238" s="14">
        <v>151603</v>
      </c>
      <c r="G238" s="14">
        <v>69444575</v>
      </c>
      <c r="H238" s="12" t="s">
        <v>599</v>
      </c>
      <c r="I238" s="12" t="s">
        <v>602</v>
      </c>
    </row>
    <row r="239" spans="1:9" x14ac:dyDescent="0.4">
      <c r="A239" s="12">
        <v>236</v>
      </c>
      <c r="B239" s="12">
        <v>203803</v>
      </c>
      <c r="C239" s="12" t="s">
        <v>603</v>
      </c>
      <c r="D239" s="14">
        <v>691400</v>
      </c>
      <c r="E239" s="14">
        <v>555555</v>
      </c>
      <c r="F239" s="14">
        <v>135845</v>
      </c>
      <c r="G239" s="14">
        <v>68889020</v>
      </c>
      <c r="H239" s="12" t="s">
        <v>601</v>
      </c>
      <c r="I239" s="12" t="s">
        <v>604</v>
      </c>
    </row>
    <row r="240" spans="1:9" x14ac:dyDescent="0.4">
      <c r="A240" s="12">
        <v>237</v>
      </c>
      <c r="B240" s="12">
        <v>203804</v>
      </c>
      <c r="C240" s="12" t="s">
        <v>606</v>
      </c>
      <c r="D240" s="14">
        <v>704751</v>
      </c>
      <c r="E240" s="14">
        <v>555555</v>
      </c>
      <c r="F240" s="14">
        <v>149196</v>
      </c>
      <c r="G240" s="14">
        <v>68333465</v>
      </c>
      <c r="H240" s="12" t="s">
        <v>603</v>
      </c>
      <c r="I240" s="12" t="s">
        <v>607</v>
      </c>
    </row>
    <row r="241" spans="1:9" x14ac:dyDescent="0.4">
      <c r="A241" s="12">
        <v>238</v>
      </c>
      <c r="B241" s="12">
        <v>203805</v>
      </c>
      <c r="C241" s="12" t="s">
        <v>608</v>
      </c>
      <c r="D241" s="14">
        <v>698774</v>
      </c>
      <c r="E241" s="14">
        <v>555555</v>
      </c>
      <c r="F241" s="14">
        <v>143219</v>
      </c>
      <c r="G241" s="14">
        <v>67777910</v>
      </c>
      <c r="H241" s="12" t="s">
        <v>605</v>
      </c>
      <c r="I241" s="12" t="s">
        <v>609</v>
      </c>
    </row>
    <row r="242" spans="1:9" x14ac:dyDescent="0.4">
      <c r="A242" s="12">
        <v>239</v>
      </c>
      <c r="B242" s="12">
        <v>203806</v>
      </c>
      <c r="C242" s="12" t="s">
        <v>610</v>
      </c>
      <c r="D242" s="14">
        <v>702345</v>
      </c>
      <c r="E242" s="14">
        <v>555555</v>
      </c>
      <c r="F242" s="14">
        <v>146790</v>
      </c>
      <c r="G242" s="14">
        <v>67222355</v>
      </c>
      <c r="H242" s="12" t="s">
        <v>608</v>
      </c>
      <c r="I242" s="12" t="s">
        <v>611</v>
      </c>
    </row>
    <row r="243" spans="1:9" x14ac:dyDescent="0.4">
      <c r="A243" s="12">
        <v>240</v>
      </c>
      <c r="B243" s="12">
        <v>203807</v>
      </c>
      <c r="C243" s="12" t="s">
        <v>613</v>
      </c>
      <c r="D243" s="14">
        <v>696445</v>
      </c>
      <c r="E243" s="14">
        <v>555555</v>
      </c>
      <c r="F243" s="14">
        <v>140890</v>
      </c>
      <c r="G243" s="14">
        <v>66666800</v>
      </c>
      <c r="H243" s="12" t="s">
        <v>610</v>
      </c>
      <c r="I243" s="12" t="s">
        <v>614</v>
      </c>
    </row>
    <row r="244" spans="1:9" x14ac:dyDescent="0.4">
      <c r="A244" s="12">
        <v>241</v>
      </c>
      <c r="B244" s="12">
        <v>203808</v>
      </c>
      <c r="C244" s="12" t="s">
        <v>615</v>
      </c>
      <c r="D244" s="14">
        <v>699938</v>
      </c>
      <c r="E244" s="14">
        <v>555555</v>
      </c>
      <c r="F244" s="14">
        <v>144383</v>
      </c>
      <c r="G244" s="14">
        <v>66111245</v>
      </c>
      <c r="H244" s="12" t="s">
        <v>612</v>
      </c>
      <c r="I244" s="12" t="s">
        <v>616</v>
      </c>
    </row>
    <row r="245" spans="1:9" x14ac:dyDescent="0.4">
      <c r="A245" s="12">
        <v>242</v>
      </c>
      <c r="B245" s="12">
        <v>203809</v>
      </c>
      <c r="C245" s="12" t="s">
        <v>618</v>
      </c>
      <c r="D245" s="14">
        <v>698735</v>
      </c>
      <c r="E245" s="14">
        <v>555555</v>
      </c>
      <c r="F245" s="14">
        <v>143180</v>
      </c>
      <c r="G245" s="14">
        <v>65555690</v>
      </c>
      <c r="H245" s="12" t="s">
        <v>615</v>
      </c>
      <c r="I245" s="12" t="s">
        <v>619</v>
      </c>
    </row>
    <row r="246" spans="1:9" x14ac:dyDescent="0.4">
      <c r="A246" s="12">
        <v>243</v>
      </c>
      <c r="B246" s="12">
        <v>203810</v>
      </c>
      <c r="C246" s="12" t="s">
        <v>620</v>
      </c>
      <c r="D246" s="14">
        <v>692952</v>
      </c>
      <c r="E246" s="14">
        <v>555555</v>
      </c>
      <c r="F246" s="14">
        <v>137397</v>
      </c>
      <c r="G246" s="14">
        <v>65000135</v>
      </c>
      <c r="H246" s="12" t="s">
        <v>617</v>
      </c>
      <c r="I246" s="12" t="s">
        <v>621</v>
      </c>
    </row>
    <row r="247" spans="1:9" x14ac:dyDescent="0.4">
      <c r="A247" s="12">
        <v>244</v>
      </c>
      <c r="B247" s="12">
        <v>203811</v>
      </c>
      <c r="C247" s="12" t="s">
        <v>622</v>
      </c>
      <c r="D247" s="14">
        <v>696329</v>
      </c>
      <c r="E247" s="14">
        <v>555555</v>
      </c>
      <c r="F247" s="14">
        <v>140774</v>
      </c>
      <c r="G247" s="14">
        <v>64444580</v>
      </c>
      <c r="H247" s="12" t="s">
        <v>620</v>
      </c>
      <c r="I247" s="12" t="s">
        <v>623</v>
      </c>
    </row>
    <row r="248" spans="1:9" x14ac:dyDescent="0.4">
      <c r="A248" s="12">
        <v>245</v>
      </c>
      <c r="B248" s="12">
        <v>203812</v>
      </c>
      <c r="C248" s="12" t="s">
        <v>625</v>
      </c>
      <c r="D248" s="14">
        <v>690623</v>
      </c>
      <c r="E248" s="14">
        <v>555555</v>
      </c>
      <c r="F248" s="14">
        <v>135068</v>
      </c>
      <c r="G248" s="14">
        <v>63889025</v>
      </c>
      <c r="H248" s="12" t="s">
        <v>622</v>
      </c>
      <c r="I248" s="12" t="s">
        <v>626</v>
      </c>
    </row>
    <row r="249" spans="1:9" x14ac:dyDescent="0.4">
      <c r="A249" s="12">
        <v>246</v>
      </c>
      <c r="B249" s="12">
        <v>203901</v>
      </c>
      <c r="C249" s="12" t="s">
        <v>628</v>
      </c>
      <c r="D249" s="14">
        <v>693922</v>
      </c>
      <c r="E249" s="14">
        <v>555555</v>
      </c>
      <c r="F249" s="14">
        <v>138367</v>
      </c>
      <c r="G249" s="14">
        <v>63333470</v>
      </c>
      <c r="H249" s="12" t="s">
        <v>624</v>
      </c>
      <c r="I249" s="12" t="s">
        <v>629</v>
      </c>
    </row>
    <row r="250" spans="1:9" x14ac:dyDescent="0.4">
      <c r="A250" s="12">
        <v>247</v>
      </c>
      <c r="B250" s="12">
        <v>203902</v>
      </c>
      <c r="C250" s="12" t="s">
        <v>630</v>
      </c>
      <c r="D250" s="14">
        <v>692719</v>
      </c>
      <c r="E250" s="14">
        <v>555555</v>
      </c>
      <c r="F250" s="14">
        <v>137164</v>
      </c>
      <c r="G250" s="14">
        <v>62777915</v>
      </c>
      <c r="H250" s="12" t="s">
        <v>627</v>
      </c>
      <c r="I250" s="12" t="s">
        <v>631</v>
      </c>
    </row>
    <row r="251" spans="1:9" x14ac:dyDescent="0.4">
      <c r="A251" s="12">
        <v>248</v>
      </c>
      <c r="B251" s="12">
        <v>203903</v>
      </c>
      <c r="C251" s="12" t="s">
        <v>632</v>
      </c>
      <c r="D251" s="14">
        <v>678358</v>
      </c>
      <c r="E251" s="14">
        <v>555555</v>
      </c>
      <c r="F251" s="14">
        <v>122803</v>
      </c>
      <c r="G251" s="14">
        <v>62222360</v>
      </c>
      <c r="H251" s="12" t="s">
        <v>630</v>
      </c>
      <c r="I251" s="12" t="s">
        <v>633</v>
      </c>
    </row>
    <row r="252" spans="1:9" x14ac:dyDescent="0.4">
      <c r="A252" s="12">
        <v>249</v>
      </c>
      <c r="B252" s="12">
        <v>203904</v>
      </c>
      <c r="C252" s="12" t="s">
        <v>634</v>
      </c>
      <c r="D252" s="14">
        <v>690313</v>
      </c>
      <c r="E252" s="14">
        <v>555555</v>
      </c>
      <c r="F252" s="14">
        <v>134758</v>
      </c>
      <c r="G252" s="14">
        <v>61666805</v>
      </c>
      <c r="H252" s="12" t="s">
        <v>632</v>
      </c>
      <c r="I252" s="12" t="s">
        <v>635</v>
      </c>
    </row>
    <row r="253" spans="1:9" x14ac:dyDescent="0.4">
      <c r="A253" s="12">
        <v>250</v>
      </c>
      <c r="B253" s="12">
        <v>203905</v>
      </c>
      <c r="C253" s="12" t="s">
        <v>636</v>
      </c>
      <c r="D253" s="14">
        <v>684801</v>
      </c>
      <c r="E253" s="14">
        <v>555555</v>
      </c>
      <c r="F253" s="14">
        <v>129246</v>
      </c>
      <c r="G253" s="14">
        <v>61111250</v>
      </c>
      <c r="H253" s="12" t="s">
        <v>634</v>
      </c>
      <c r="I253" s="12" t="s">
        <v>637</v>
      </c>
    </row>
    <row r="254" spans="1:9" x14ac:dyDescent="0.4">
      <c r="A254" s="12">
        <v>251</v>
      </c>
      <c r="B254" s="12">
        <v>203906</v>
      </c>
      <c r="C254" s="12" t="s">
        <v>639</v>
      </c>
      <c r="D254" s="14">
        <v>687906</v>
      </c>
      <c r="E254" s="14">
        <v>555555</v>
      </c>
      <c r="F254" s="14">
        <v>132351</v>
      </c>
      <c r="G254" s="14">
        <v>60555695</v>
      </c>
      <c r="H254" s="12" t="s">
        <v>636</v>
      </c>
      <c r="I254" s="12" t="s">
        <v>640</v>
      </c>
    </row>
    <row r="255" spans="1:9" x14ac:dyDescent="0.4">
      <c r="A255" s="12">
        <v>252</v>
      </c>
      <c r="B255" s="12">
        <v>203907</v>
      </c>
      <c r="C255" s="12" t="s">
        <v>641</v>
      </c>
      <c r="D255" s="14">
        <v>682473</v>
      </c>
      <c r="E255" s="14">
        <v>555555</v>
      </c>
      <c r="F255" s="14">
        <v>126918</v>
      </c>
      <c r="G255" s="14">
        <v>60000140</v>
      </c>
      <c r="H255" s="12" t="s">
        <v>638</v>
      </c>
      <c r="I255" s="12" t="s">
        <v>642</v>
      </c>
    </row>
    <row r="256" spans="1:9" x14ac:dyDescent="0.4">
      <c r="A256" s="12">
        <v>253</v>
      </c>
      <c r="B256" s="12">
        <v>203908</v>
      </c>
      <c r="C256" s="12" t="s">
        <v>643</v>
      </c>
      <c r="D256" s="14">
        <v>685500</v>
      </c>
      <c r="E256" s="14">
        <v>555555</v>
      </c>
      <c r="F256" s="14">
        <v>129945</v>
      </c>
      <c r="G256" s="14">
        <v>59444585</v>
      </c>
      <c r="H256" s="12" t="s">
        <v>641</v>
      </c>
      <c r="I256" s="12" t="s">
        <v>644</v>
      </c>
    </row>
    <row r="257" spans="1:9" x14ac:dyDescent="0.4">
      <c r="A257" s="12">
        <v>254</v>
      </c>
      <c r="B257" s="12">
        <v>203909</v>
      </c>
      <c r="C257" s="12" t="s">
        <v>646</v>
      </c>
      <c r="D257" s="14">
        <v>684297</v>
      </c>
      <c r="E257" s="14">
        <v>555555</v>
      </c>
      <c r="F257" s="14">
        <v>128742</v>
      </c>
      <c r="G257" s="14">
        <v>58889030</v>
      </c>
      <c r="H257" s="12" t="s">
        <v>643</v>
      </c>
      <c r="I257" s="12" t="s">
        <v>647</v>
      </c>
    </row>
    <row r="258" spans="1:9" x14ac:dyDescent="0.4">
      <c r="A258" s="12">
        <v>255</v>
      </c>
      <c r="B258" s="12">
        <v>203910</v>
      </c>
      <c r="C258" s="12" t="s">
        <v>648</v>
      </c>
      <c r="D258" s="14">
        <v>678979</v>
      </c>
      <c r="E258" s="14">
        <v>555555</v>
      </c>
      <c r="F258" s="14">
        <v>123424</v>
      </c>
      <c r="G258" s="14">
        <v>58333475</v>
      </c>
      <c r="H258" s="12" t="s">
        <v>645</v>
      </c>
      <c r="I258" s="12" t="s">
        <v>649</v>
      </c>
    </row>
    <row r="259" spans="1:9" x14ac:dyDescent="0.4">
      <c r="A259" s="12">
        <v>256</v>
      </c>
      <c r="B259" s="12">
        <v>203911</v>
      </c>
      <c r="C259" s="12" t="s">
        <v>650</v>
      </c>
      <c r="D259" s="14">
        <v>681890</v>
      </c>
      <c r="E259" s="14">
        <v>555555</v>
      </c>
      <c r="F259" s="14">
        <v>126335</v>
      </c>
      <c r="G259" s="14">
        <v>57777920</v>
      </c>
      <c r="H259" s="12" t="s">
        <v>648</v>
      </c>
      <c r="I259" s="12" t="s">
        <v>651</v>
      </c>
    </row>
    <row r="260" spans="1:9" x14ac:dyDescent="0.4">
      <c r="A260" s="12">
        <v>257</v>
      </c>
      <c r="B260" s="12">
        <v>203912</v>
      </c>
      <c r="C260" s="12" t="s">
        <v>653</v>
      </c>
      <c r="D260" s="14">
        <v>676651</v>
      </c>
      <c r="E260" s="14">
        <v>555555</v>
      </c>
      <c r="F260" s="14">
        <v>121096</v>
      </c>
      <c r="G260" s="14">
        <v>57222365</v>
      </c>
      <c r="H260" s="12" t="s">
        <v>650</v>
      </c>
      <c r="I260" s="12" t="s">
        <v>654</v>
      </c>
    </row>
    <row r="261" spans="1:9" x14ac:dyDescent="0.4">
      <c r="A261" s="12">
        <v>258</v>
      </c>
      <c r="B261" s="12">
        <v>204001</v>
      </c>
      <c r="C261" s="12" t="s">
        <v>655</v>
      </c>
      <c r="D261" s="14">
        <v>679222</v>
      </c>
      <c r="E261" s="14">
        <v>555555</v>
      </c>
      <c r="F261" s="14">
        <v>123667</v>
      </c>
      <c r="G261" s="14">
        <v>56666810</v>
      </c>
      <c r="H261" s="12" t="s">
        <v>652</v>
      </c>
      <c r="I261" s="12" t="s">
        <v>656</v>
      </c>
    </row>
    <row r="262" spans="1:9" x14ac:dyDescent="0.4">
      <c r="A262" s="12">
        <v>259</v>
      </c>
      <c r="B262" s="12">
        <v>204002</v>
      </c>
      <c r="C262" s="12" t="s">
        <v>658</v>
      </c>
      <c r="D262" s="14">
        <v>677946</v>
      </c>
      <c r="E262" s="14">
        <v>555555</v>
      </c>
      <c r="F262" s="14">
        <v>122391</v>
      </c>
      <c r="G262" s="14">
        <v>56111255</v>
      </c>
      <c r="H262" s="12" t="s">
        <v>655</v>
      </c>
      <c r="I262" s="12" t="s">
        <v>659</v>
      </c>
    </row>
    <row r="263" spans="1:9" x14ac:dyDescent="0.4">
      <c r="A263" s="12">
        <v>260</v>
      </c>
      <c r="B263" s="12">
        <v>204003</v>
      </c>
      <c r="C263" s="12" t="s">
        <v>661</v>
      </c>
      <c r="D263" s="14">
        <v>668927</v>
      </c>
      <c r="E263" s="14">
        <v>555555</v>
      </c>
      <c r="F263" s="14">
        <v>113372</v>
      </c>
      <c r="G263" s="14">
        <v>55555700</v>
      </c>
      <c r="H263" s="12" t="s">
        <v>657</v>
      </c>
      <c r="I263" s="12" t="s">
        <v>662</v>
      </c>
    </row>
    <row r="264" spans="1:9" x14ac:dyDescent="0.4">
      <c r="A264" s="12">
        <v>261</v>
      </c>
      <c r="B264" s="12">
        <v>204004</v>
      </c>
      <c r="C264" s="12" t="s">
        <v>663</v>
      </c>
      <c r="D264" s="14">
        <v>675546</v>
      </c>
      <c r="E264" s="14">
        <v>555555</v>
      </c>
      <c r="F264" s="14">
        <v>119991</v>
      </c>
      <c r="G264" s="14">
        <v>55000145</v>
      </c>
      <c r="H264" s="12" t="s">
        <v>660</v>
      </c>
      <c r="I264" s="12" t="s">
        <v>664</v>
      </c>
    </row>
    <row r="265" spans="1:9" x14ac:dyDescent="0.4">
      <c r="A265" s="12">
        <v>262</v>
      </c>
      <c r="B265" s="12">
        <v>204005</v>
      </c>
      <c r="C265" s="12" t="s">
        <v>665</v>
      </c>
      <c r="D265" s="14">
        <v>670514</v>
      </c>
      <c r="E265" s="14">
        <v>555555</v>
      </c>
      <c r="F265" s="14">
        <v>114959</v>
      </c>
      <c r="G265" s="14">
        <v>54444590</v>
      </c>
      <c r="H265" s="12" t="s">
        <v>663</v>
      </c>
      <c r="I265" s="12" t="s">
        <v>666</v>
      </c>
    </row>
    <row r="266" spans="1:9" x14ac:dyDescent="0.4">
      <c r="A266" s="12">
        <v>263</v>
      </c>
      <c r="B266" s="12">
        <v>204006</v>
      </c>
      <c r="C266" s="12" t="s">
        <v>667</v>
      </c>
      <c r="D266" s="14">
        <v>673146</v>
      </c>
      <c r="E266" s="14">
        <v>555555</v>
      </c>
      <c r="F266" s="14">
        <v>117591</v>
      </c>
      <c r="G266" s="14">
        <v>53889035</v>
      </c>
      <c r="H266" s="12" t="s">
        <v>665</v>
      </c>
      <c r="I266" s="12" t="s">
        <v>668</v>
      </c>
    </row>
    <row r="267" spans="1:9" x14ac:dyDescent="0.4">
      <c r="A267" s="12">
        <v>264</v>
      </c>
      <c r="B267" s="12">
        <v>204007</v>
      </c>
      <c r="C267" s="12" t="s">
        <v>669</v>
      </c>
      <c r="D267" s="14">
        <v>668191</v>
      </c>
      <c r="E267" s="14">
        <v>555555</v>
      </c>
      <c r="F267" s="14">
        <v>112636</v>
      </c>
      <c r="G267" s="14">
        <v>53333480</v>
      </c>
      <c r="H267" s="12" t="s">
        <v>667</v>
      </c>
      <c r="I267" s="12" t="s">
        <v>670</v>
      </c>
    </row>
    <row r="268" spans="1:9" x14ac:dyDescent="0.4">
      <c r="A268" s="12">
        <v>265</v>
      </c>
      <c r="B268" s="12">
        <v>204008</v>
      </c>
      <c r="C268" s="12" t="s">
        <v>672</v>
      </c>
      <c r="D268" s="14">
        <v>670746</v>
      </c>
      <c r="E268" s="14">
        <v>555555</v>
      </c>
      <c r="F268" s="14">
        <v>115191</v>
      </c>
      <c r="G268" s="14">
        <v>52777925</v>
      </c>
      <c r="H268" s="12" t="s">
        <v>669</v>
      </c>
      <c r="I268" s="12" t="s">
        <v>673</v>
      </c>
    </row>
    <row r="269" spans="1:9" x14ac:dyDescent="0.4">
      <c r="A269" s="12">
        <v>266</v>
      </c>
      <c r="B269" s="12">
        <v>204009</v>
      </c>
      <c r="C269" s="12" t="s">
        <v>674</v>
      </c>
      <c r="D269" s="14">
        <v>669546</v>
      </c>
      <c r="E269" s="14">
        <v>555555</v>
      </c>
      <c r="F269" s="14">
        <v>113991</v>
      </c>
      <c r="G269" s="14">
        <v>52222370</v>
      </c>
      <c r="H269" s="12" t="s">
        <v>671</v>
      </c>
      <c r="I269" s="12" t="s">
        <v>675</v>
      </c>
    </row>
    <row r="270" spans="1:9" x14ac:dyDescent="0.4">
      <c r="A270" s="12">
        <v>267</v>
      </c>
      <c r="B270" s="12">
        <v>204010</v>
      </c>
      <c r="C270" s="12" t="s">
        <v>676</v>
      </c>
      <c r="D270" s="14">
        <v>664708</v>
      </c>
      <c r="E270" s="14">
        <v>555555</v>
      </c>
      <c r="F270" s="14">
        <v>109153</v>
      </c>
      <c r="G270" s="14">
        <v>51666815</v>
      </c>
      <c r="H270" s="12" t="s">
        <v>674</v>
      </c>
      <c r="I270" s="12" t="s">
        <v>677</v>
      </c>
    </row>
    <row r="271" spans="1:9" x14ac:dyDescent="0.4">
      <c r="A271" s="12">
        <v>268</v>
      </c>
      <c r="B271" s="12">
        <v>204011</v>
      </c>
      <c r="C271" s="12" t="s">
        <v>679</v>
      </c>
      <c r="D271" s="14">
        <v>667146</v>
      </c>
      <c r="E271" s="14">
        <v>555555</v>
      </c>
      <c r="F271" s="14">
        <v>111591</v>
      </c>
      <c r="G271" s="14">
        <v>51111260</v>
      </c>
      <c r="H271" s="12" t="s">
        <v>676</v>
      </c>
      <c r="I271" s="12" t="s">
        <v>680</v>
      </c>
    </row>
    <row r="272" spans="1:9" x14ac:dyDescent="0.4">
      <c r="A272" s="12">
        <v>269</v>
      </c>
      <c r="B272" s="12">
        <v>204012</v>
      </c>
      <c r="C272" s="12" t="s">
        <v>682</v>
      </c>
      <c r="D272" s="14">
        <v>662385</v>
      </c>
      <c r="E272" s="14">
        <v>555555</v>
      </c>
      <c r="F272" s="14">
        <v>106830</v>
      </c>
      <c r="G272" s="14">
        <v>50555705</v>
      </c>
      <c r="H272" s="12" t="s">
        <v>678</v>
      </c>
      <c r="I272" s="12" t="s">
        <v>683</v>
      </c>
    </row>
    <row r="273" spans="1:9" x14ac:dyDescent="0.4">
      <c r="A273" s="12">
        <v>270</v>
      </c>
      <c r="B273" s="12">
        <v>204101</v>
      </c>
      <c r="C273" s="12" t="s">
        <v>684</v>
      </c>
      <c r="D273" s="14">
        <v>664978</v>
      </c>
      <c r="E273" s="14">
        <v>555555</v>
      </c>
      <c r="F273" s="14">
        <v>109423</v>
      </c>
      <c r="G273" s="14">
        <v>50000150</v>
      </c>
      <c r="H273" s="12" t="s">
        <v>681</v>
      </c>
      <c r="I273" s="12" t="s">
        <v>685</v>
      </c>
    </row>
    <row r="274" spans="1:9" x14ac:dyDescent="0.4">
      <c r="A274" s="12">
        <v>271</v>
      </c>
      <c r="B274" s="12">
        <v>204102</v>
      </c>
      <c r="C274" s="12" t="s">
        <v>686</v>
      </c>
      <c r="D274" s="14">
        <v>663842</v>
      </c>
      <c r="E274" s="14">
        <v>555555</v>
      </c>
      <c r="F274" s="14">
        <v>108287</v>
      </c>
      <c r="G274" s="14">
        <v>49444595</v>
      </c>
      <c r="H274" s="12" t="s">
        <v>684</v>
      </c>
      <c r="I274" s="12" t="s">
        <v>687</v>
      </c>
    </row>
    <row r="275" spans="1:9" x14ac:dyDescent="0.4">
      <c r="A275" s="12">
        <v>272</v>
      </c>
      <c r="B275" s="12">
        <v>204103</v>
      </c>
      <c r="C275" s="12" t="s">
        <v>688</v>
      </c>
      <c r="D275" s="14">
        <v>652276</v>
      </c>
      <c r="E275" s="14">
        <v>555555</v>
      </c>
      <c r="F275" s="14">
        <v>96721</v>
      </c>
      <c r="G275" s="14">
        <v>48889040</v>
      </c>
      <c r="H275" s="12" t="s">
        <v>686</v>
      </c>
      <c r="I275" s="12" t="s">
        <v>689</v>
      </c>
    </row>
    <row r="276" spans="1:9" x14ac:dyDescent="0.4">
      <c r="A276" s="12">
        <v>273</v>
      </c>
      <c r="B276" s="12">
        <v>204104</v>
      </c>
      <c r="C276" s="12" t="s">
        <v>690</v>
      </c>
      <c r="D276" s="14">
        <v>661436</v>
      </c>
      <c r="E276" s="14">
        <v>555555</v>
      </c>
      <c r="F276" s="14">
        <v>105881</v>
      </c>
      <c r="G276" s="14">
        <v>48333485</v>
      </c>
      <c r="H276" s="12" t="s">
        <v>688</v>
      </c>
      <c r="I276" s="12" t="s">
        <v>691</v>
      </c>
    </row>
    <row r="277" spans="1:9" x14ac:dyDescent="0.4">
      <c r="A277" s="12">
        <v>274</v>
      </c>
      <c r="B277" s="12">
        <v>204105</v>
      </c>
      <c r="C277" s="12" t="s">
        <v>693</v>
      </c>
      <c r="D277" s="14">
        <v>656856</v>
      </c>
      <c r="E277" s="14">
        <v>555555</v>
      </c>
      <c r="F277" s="14">
        <v>101301</v>
      </c>
      <c r="G277" s="14">
        <v>47777930</v>
      </c>
      <c r="H277" s="12" t="s">
        <v>690</v>
      </c>
      <c r="I277" s="12" t="s">
        <v>694</v>
      </c>
    </row>
    <row r="278" spans="1:9" x14ac:dyDescent="0.4">
      <c r="A278" s="12">
        <v>275</v>
      </c>
      <c r="B278" s="12">
        <v>204106</v>
      </c>
      <c r="C278" s="12" t="s">
        <v>695</v>
      </c>
      <c r="D278" s="14">
        <v>659030</v>
      </c>
      <c r="E278" s="14">
        <v>555555</v>
      </c>
      <c r="F278" s="14">
        <v>103475</v>
      </c>
      <c r="G278" s="14">
        <v>47222375</v>
      </c>
      <c r="H278" s="12" t="s">
        <v>692</v>
      </c>
      <c r="I278" s="12" t="s">
        <v>696</v>
      </c>
    </row>
    <row r="279" spans="1:9" x14ac:dyDescent="0.4">
      <c r="A279" s="12">
        <v>276</v>
      </c>
      <c r="B279" s="12">
        <v>204107</v>
      </c>
      <c r="C279" s="12" t="s">
        <v>697</v>
      </c>
      <c r="D279" s="14">
        <v>654527</v>
      </c>
      <c r="E279" s="14">
        <v>555555</v>
      </c>
      <c r="F279" s="14">
        <v>98972</v>
      </c>
      <c r="G279" s="14">
        <v>46666820</v>
      </c>
      <c r="H279" s="12" t="s">
        <v>695</v>
      </c>
      <c r="I279" s="12" t="s">
        <v>698</v>
      </c>
    </row>
    <row r="280" spans="1:9" x14ac:dyDescent="0.4">
      <c r="A280" s="12">
        <v>277</v>
      </c>
      <c r="B280" s="12">
        <v>204108</v>
      </c>
      <c r="C280" s="12" t="s">
        <v>700</v>
      </c>
      <c r="D280" s="14">
        <v>656623</v>
      </c>
      <c r="E280" s="14">
        <v>555555</v>
      </c>
      <c r="F280" s="14">
        <v>101068</v>
      </c>
      <c r="G280" s="14">
        <v>46111265</v>
      </c>
      <c r="H280" s="12" t="s">
        <v>697</v>
      </c>
      <c r="I280" s="12" t="s">
        <v>701</v>
      </c>
    </row>
    <row r="281" spans="1:9" x14ac:dyDescent="0.4">
      <c r="A281" s="12">
        <v>278</v>
      </c>
      <c r="B281" s="12">
        <v>204109</v>
      </c>
      <c r="C281" s="12" t="s">
        <v>702</v>
      </c>
      <c r="D281" s="14">
        <v>655420</v>
      </c>
      <c r="E281" s="14">
        <v>555555</v>
      </c>
      <c r="F281" s="14">
        <v>99865</v>
      </c>
      <c r="G281" s="14">
        <v>45555710</v>
      </c>
      <c r="H281" s="12" t="s">
        <v>699</v>
      </c>
      <c r="I281" s="12" t="s">
        <v>703</v>
      </c>
    </row>
    <row r="282" spans="1:9" x14ac:dyDescent="0.4">
      <c r="A282" s="12">
        <v>279</v>
      </c>
      <c r="B282" s="12">
        <v>204110</v>
      </c>
      <c r="C282" s="12" t="s">
        <v>704</v>
      </c>
      <c r="D282" s="14">
        <v>651034</v>
      </c>
      <c r="E282" s="14">
        <v>555555</v>
      </c>
      <c r="F282" s="14">
        <v>95479</v>
      </c>
      <c r="G282" s="14">
        <v>45000155</v>
      </c>
      <c r="H282" s="12" t="s">
        <v>702</v>
      </c>
      <c r="I282" s="12" t="s">
        <v>705</v>
      </c>
    </row>
    <row r="283" spans="1:9" x14ac:dyDescent="0.4">
      <c r="A283" s="12">
        <v>280</v>
      </c>
      <c r="B283" s="12">
        <v>204111</v>
      </c>
      <c r="C283" s="12" t="s">
        <v>706</v>
      </c>
      <c r="D283" s="14">
        <v>653014</v>
      </c>
      <c r="E283" s="14">
        <v>555555</v>
      </c>
      <c r="F283" s="14">
        <v>97459</v>
      </c>
      <c r="G283" s="14">
        <v>44444600</v>
      </c>
      <c r="H283" s="12" t="s">
        <v>704</v>
      </c>
      <c r="I283" s="12" t="s">
        <v>707</v>
      </c>
    </row>
    <row r="284" spans="1:9" x14ac:dyDescent="0.4">
      <c r="A284" s="12">
        <v>281</v>
      </c>
      <c r="B284" s="12">
        <v>204112</v>
      </c>
      <c r="C284" s="12" t="s">
        <v>709</v>
      </c>
      <c r="D284" s="14">
        <v>648706</v>
      </c>
      <c r="E284" s="14">
        <v>555555</v>
      </c>
      <c r="F284" s="14">
        <v>93151</v>
      </c>
      <c r="G284" s="14">
        <v>43889045</v>
      </c>
      <c r="H284" s="12" t="s">
        <v>706</v>
      </c>
      <c r="I284" s="12" t="s">
        <v>710</v>
      </c>
    </row>
    <row r="285" spans="1:9" x14ac:dyDescent="0.4">
      <c r="A285" s="12">
        <v>282</v>
      </c>
      <c r="B285" s="12">
        <v>204201</v>
      </c>
      <c r="C285" s="12" t="s">
        <v>712</v>
      </c>
      <c r="D285" s="14">
        <v>650607</v>
      </c>
      <c r="E285" s="14">
        <v>555555</v>
      </c>
      <c r="F285" s="14">
        <v>95052</v>
      </c>
      <c r="G285" s="14">
        <v>43333490</v>
      </c>
      <c r="H285" s="12" t="s">
        <v>708</v>
      </c>
      <c r="I285" s="12" t="s">
        <v>713</v>
      </c>
    </row>
    <row r="286" spans="1:9" x14ac:dyDescent="0.4">
      <c r="A286" s="12">
        <v>283</v>
      </c>
      <c r="B286" s="12">
        <v>204202</v>
      </c>
      <c r="C286" s="12" t="s">
        <v>714</v>
      </c>
      <c r="D286" s="14">
        <v>649404</v>
      </c>
      <c r="E286" s="14">
        <v>555555</v>
      </c>
      <c r="F286" s="14">
        <v>93849</v>
      </c>
      <c r="G286" s="14">
        <v>42777935</v>
      </c>
      <c r="H286" s="12" t="s">
        <v>711</v>
      </c>
      <c r="I286" s="12" t="s">
        <v>715</v>
      </c>
    </row>
    <row r="287" spans="1:9" x14ac:dyDescent="0.4">
      <c r="A287" s="12">
        <v>284</v>
      </c>
      <c r="B287" s="12">
        <v>204203</v>
      </c>
      <c r="C287" s="12" t="s">
        <v>716</v>
      </c>
      <c r="D287" s="14">
        <v>639235</v>
      </c>
      <c r="E287" s="14">
        <v>555555</v>
      </c>
      <c r="F287" s="14">
        <v>83680</v>
      </c>
      <c r="G287" s="14">
        <v>42222380</v>
      </c>
      <c r="H287" s="12" t="s">
        <v>714</v>
      </c>
      <c r="I287" s="12" t="s">
        <v>717</v>
      </c>
    </row>
    <row r="288" spans="1:9" x14ac:dyDescent="0.4">
      <c r="A288" s="12">
        <v>285</v>
      </c>
      <c r="B288" s="12">
        <v>204204</v>
      </c>
      <c r="C288" s="12" t="s">
        <v>718</v>
      </c>
      <c r="D288" s="14">
        <v>646998</v>
      </c>
      <c r="E288" s="14">
        <v>555555</v>
      </c>
      <c r="F288" s="14">
        <v>91443</v>
      </c>
      <c r="G288" s="14">
        <v>41666825</v>
      </c>
      <c r="H288" s="12" t="s">
        <v>716</v>
      </c>
      <c r="I288" s="12" t="s">
        <v>719</v>
      </c>
    </row>
    <row r="289" spans="1:9" x14ac:dyDescent="0.4">
      <c r="A289" s="12">
        <v>286</v>
      </c>
      <c r="B289" s="12">
        <v>204205</v>
      </c>
      <c r="C289" s="12" t="s">
        <v>721</v>
      </c>
      <c r="D289" s="14">
        <v>642884</v>
      </c>
      <c r="E289" s="14">
        <v>555555</v>
      </c>
      <c r="F289" s="14">
        <v>87329</v>
      </c>
      <c r="G289" s="14">
        <v>41111270</v>
      </c>
      <c r="H289" s="12" t="s">
        <v>718</v>
      </c>
      <c r="I289" s="12" t="s">
        <v>722</v>
      </c>
    </row>
    <row r="290" spans="1:9" x14ac:dyDescent="0.4">
      <c r="A290" s="12">
        <v>287</v>
      </c>
      <c r="B290" s="12">
        <v>204206</v>
      </c>
      <c r="C290" s="12" t="s">
        <v>723</v>
      </c>
      <c r="D290" s="14">
        <v>644591</v>
      </c>
      <c r="E290" s="14">
        <v>555555</v>
      </c>
      <c r="F290" s="14">
        <v>89036</v>
      </c>
      <c r="G290" s="14">
        <v>40555715</v>
      </c>
      <c r="H290" s="12" t="s">
        <v>720</v>
      </c>
      <c r="I290" s="12" t="s">
        <v>724</v>
      </c>
    </row>
    <row r="291" spans="1:9" x14ac:dyDescent="0.4">
      <c r="A291" s="12">
        <v>288</v>
      </c>
      <c r="B291" s="12">
        <v>204207</v>
      </c>
      <c r="C291" s="12" t="s">
        <v>725</v>
      </c>
      <c r="D291" s="14">
        <v>640555</v>
      </c>
      <c r="E291" s="14">
        <v>555555</v>
      </c>
      <c r="F291" s="14">
        <v>85000</v>
      </c>
      <c r="G291" s="14">
        <v>40000160</v>
      </c>
      <c r="H291" s="12" t="s">
        <v>723</v>
      </c>
      <c r="I291" s="12" t="s">
        <v>726</v>
      </c>
    </row>
    <row r="292" spans="1:9" x14ac:dyDescent="0.4">
      <c r="A292" s="12">
        <v>289</v>
      </c>
      <c r="B292" s="12">
        <v>204208</v>
      </c>
      <c r="C292" s="12" t="s">
        <v>727</v>
      </c>
      <c r="D292" s="14">
        <v>642185</v>
      </c>
      <c r="E292" s="14">
        <v>555555</v>
      </c>
      <c r="F292" s="14">
        <v>86630</v>
      </c>
      <c r="G292" s="14">
        <v>39444605</v>
      </c>
      <c r="H292" s="12" t="s">
        <v>725</v>
      </c>
      <c r="I292" s="12" t="s">
        <v>728</v>
      </c>
    </row>
    <row r="293" spans="1:9" x14ac:dyDescent="0.4">
      <c r="A293" s="12">
        <v>290</v>
      </c>
      <c r="B293" s="12">
        <v>204209</v>
      </c>
      <c r="C293" s="12" t="s">
        <v>729</v>
      </c>
      <c r="D293" s="14">
        <v>640982</v>
      </c>
      <c r="E293" s="14">
        <v>555555</v>
      </c>
      <c r="F293" s="14">
        <v>85427</v>
      </c>
      <c r="G293" s="14">
        <v>38889050</v>
      </c>
      <c r="H293" s="12" t="s">
        <v>727</v>
      </c>
      <c r="I293" s="12" t="s">
        <v>730</v>
      </c>
    </row>
    <row r="294" spans="1:9" x14ac:dyDescent="0.4">
      <c r="A294" s="12">
        <v>291</v>
      </c>
      <c r="B294" s="12">
        <v>204210</v>
      </c>
      <c r="C294" s="12" t="s">
        <v>732</v>
      </c>
      <c r="D294" s="14">
        <v>637062</v>
      </c>
      <c r="E294" s="14">
        <v>555555</v>
      </c>
      <c r="F294" s="14">
        <v>81507</v>
      </c>
      <c r="G294" s="14">
        <v>38333495</v>
      </c>
      <c r="H294" s="12" t="s">
        <v>729</v>
      </c>
      <c r="I294" s="12" t="s">
        <v>733</v>
      </c>
    </row>
    <row r="295" spans="1:9" x14ac:dyDescent="0.4">
      <c r="A295" s="12">
        <v>292</v>
      </c>
      <c r="B295" s="12">
        <v>204211</v>
      </c>
      <c r="C295" s="12" t="s">
        <v>734</v>
      </c>
      <c r="D295" s="14">
        <v>638575</v>
      </c>
      <c r="E295" s="14">
        <v>555555</v>
      </c>
      <c r="F295" s="14">
        <v>83020</v>
      </c>
      <c r="G295" s="14">
        <v>37777940</v>
      </c>
      <c r="H295" s="12" t="s">
        <v>731</v>
      </c>
      <c r="I295" s="12" t="s">
        <v>735</v>
      </c>
    </row>
    <row r="296" spans="1:9" x14ac:dyDescent="0.4">
      <c r="A296" s="12">
        <v>293</v>
      </c>
      <c r="B296" s="12">
        <v>204212</v>
      </c>
      <c r="C296" s="12" t="s">
        <v>737</v>
      </c>
      <c r="D296" s="14">
        <v>634733</v>
      </c>
      <c r="E296" s="14">
        <v>555555</v>
      </c>
      <c r="F296" s="14">
        <v>79178</v>
      </c>
      <c r="G296" s="14">
        <v>37222385</v>
      </c>
      <c r="H296" s="12" t="s">
        <v>734</v>
      </c>
      <c r="I296" s="12" t="s">
        <v>738</v>
      </c>
    </row>
    <row r="297" spans="1:9" x14ac:dyDescent="0.4">
      <c r="A297" s="12">
        <v>294</v>
      </c>
      <c r="B297" s="12">
        <v>204301</v>
      </c>
      <c r="C297" s="12" t="s">
        <v>740</v>
      </c>
      <c r="D297" s="14">
        <v>636169</v>
      </c>
      <c r="E297" s="14">
        <v>555555</v>
      </c>
      <c r="F297" s="14">
        <v>80614</v>
      </c>
      <c r="G297" s="14">
        <v>36666830</v>
      </c>
      <c r="H297" s="12" t="s">
        <v>736</v>
      </c>
      <c r="I297" s="12" t="s">
        <v>741</v>
      </c>
    </row>
    <row r="298" spans="1:9" x14ac:dyDescent="0.4">
      <c r="A298" s="12">
        <v>295</v>
      </c>
      <c r="B298" s="12">
        <v>204302</v>
      </c>
      <c r="C298" s="12" t="s">
        <v>742</v>
      </c>
      <c r="D298" s="14">
        <v>634966</v>
      </c>
      <c r="E298" s="14">
        <v>555555</v>
      </c>
      <c r="F298" s="14">
        <v>79411</v>
      </c>
      <c r="G298" s="14">
        <v>36111275</v>
      </c>
      <c r="H298" s="12" t="s">
        <v>739</v>
      </c>
      <c r="I298" s="12" t="s">
        <v>743</v>
      </c>
    </row>
    <row r="299" spans="1:9" x14ac:dyDescent="0.4">
      <c r="A299" s="12">
        <v>296</v>
      </c>
      <c r="B299" s="12">
        <v>204303</v>
      </c>
      <c r="C299" s="12" t="s">
        <v>744</v>
      </c>
      <c r="D299" s="14">
        <v>626194</v>
      </c>
      <c r="E299" s="14">
        <v>555555</v>
      </c>
      <c r="F299" s="14">
        <v>70639</v>
      </c>
      <c r="G299" s="14">
        <v>35555720</v>
      </c>
      <c r="H299" s="12" t="s">
        <v>742</v>
      </c>
      <c r="I299" s="12" t="s">
        <v>745</v>
      </c>
    </row>
    <row r="300" spans="1:9" x14ac:dyDescent="0.4">
      <c r="A300" s="12">
        <v>297</v>
      </c>
      <c r="B300" s="12">
        <v>204304</v>
      </c>
      <c r="C300" s="12" t="s">
        <v>747</v>
      </c>
      <c r="D300" s="14">
        <v>632559</v>
      </c>
      <c r="E300" s="14">
        <v>555555</v>
      </c>
      <c r="F300" s="14">
        <v>77004</v>
      </c>
      <c r="G300" s="14">
        <v>35000165</v>
      </c>
      <c r="H300" s="12" t="s">
        <v>744</v>
      </c>
      <c r="I300" s="12" t="s">
        <v>748</v>
      </c>
    </row>
    <row r="301" spans="1:9" x14ac:dyDescent="0.4">
      <c r="A301" s="12">
        <v>298</v>
      </c>
      <c r="B301" s="12">
        <v>204305</v>
      </c>
      <c r="C301" s="12" t="s">
        <v>749</v>
      </c>
      <c r="D301" s="14">
        <v>628911</v>
      </c>
      <c r="E301" s="14">
        <v>555555</v>
      </c>
      <c r="F301" s="14">
        <v>73356</v>
      </c>
      <c r="G301" s="14">
        <v>34444610</v>
      </c>
      <c r="H301" s="12" t="s">
        <v>746</v>
      </c>
      <c r="I301" s="12" t="s">
        <v>750</v>
      </c>
    </row>
    <row r="302" spans="1:9" x14ac:dyDescent="0.4">
      <c r="A302" s="12">
        <v>299</v>
      </c>
      <c r="B302" s="12">
        <v>204306</v>
      </c>
      <c r="C302" s="12" t="s">
        <v>751</v>
      </c>
      <c r="D302" s="14">
        <v>630153</v>
      </c>
      <c r="E302" s="14">
        <v>555555</v>
      </c>
      <c r="F302" s="14">
        <v>74598</v>
      </c>
      <c r="G302" s="14">
        <v>33889055</v>
      </c>
      <c r="H302" s="12" t="s">
        <v>749</v>
      </c>
      <c r="I302" s="12" t="s">
        <v>752</v>
      </c>
    </row>
    <row r="303" spans="1:9" x14ac:dyDescent="0.4">
      <c r="A303" s="12">
        <v>300</v>
      </c>
      <c r="B303" s="12">
        <v>204307</v>
      </c>
      <c r="C303" s="12" t="s">
        <v>754</v>
      </c>
      <c r="D303" s="14">
        <v>626582</v>
      </c>
      <c r="E303" s="14">
        <v>555555</v>
      </c>
      <c r="F303" s="14">
        <v>71027</v>
      </c>
      <c r="G303" s="14">
        <v>33333500</v>
      </c>
      <c r="H303" s="12" t="s">
        <v>751</v>
      </c>
      <c r="I303" s="12" t="s">
        <v>755</v>
      </c>
    </row>
    <row r="304" spans="1:9" x14ac:dyDescent="0.4">
      <c r="A304" s="12">
        <v>301</v>
      </c>
      <c r="B304" s="12">
        <v>204308</v>
      </c>
      <c r="C304" s="12" t="s">
        <v>756</v>
      </c>
      <c r="D304" s="14">
        <v>627747</v>
      </c>
      <c r="E304" s="14">
        <v>555555</v>
      </c>
      <c r="F304" s="14">
        <v>72192</v>
      </c>
      <c r="G304" s="14">
        <v>32777945</v>
      </c>
      <c r="H304" s="12" t="s">
        <v>753</v>
      </c>
      <c r="I304" s="12" t="s">
        <v>757</v>
      </c>
    </row>
    <row r="305" spans="1:9" x14ac:dyDescent="0.4">
      <c r="A305" s="12">
        <v>302</v>
      </c>
      <c r="B305" s="12">
        <v>204309</v>
      </c>
      <c r="C305" s="12" t="s">
        <v>758</v>
      </c>
      <c r="D305" s="14">
        <v>626543</v>
      </c>
      <c r="E305" s="14">
        <v>555555</v>
      </c>
      <c r="F305" s="14">
        <v>70988</v>
      </c>
      <c r="G305" s="14">
        <v>32222390</v>
      </c>
      <c r="H305" s="12" t="s">
        <v>756</v>
      </c>
      <c r="I305" s="12" t="s">
        <v>759</v>
      </c>
    </row>
    <row r="306" spans="1:9" x14ac:dyDescent="0.4">
      <c r="A306" s="12">
        <v>303</v>
      </c>
      <c r="B306" s="12">
        <v>204310</v>
      </c>
      <c r="C306" s="12" t="s">
        <v>761</v>
      </c>
      <c r="D306" s="14">
        <v>623089</v>
      </c>
      <c r="E306" s="14">
        <v>555555</v>
      </c>
      <c r="F306" s="14">
        <v>67534</v>
      </c>
      <c r="G306" s="14">
        <v>31666835</v>
      </c>
      <c r="H306" s="12" t="s">
        <v>758</v>
      </c>
      <c r="I306" s="12" t="s">
        <v>762</v>
      </c>
    </row>
    <row r="307" spans="1:9" x14ac:dyDescent="0.4">
      <c r="A307" s="12">
        <v>304</v>
      </c>
      <c r="B307" s="12">
        <v>204311</v>
      </c>
      <c r="C307" s="12" t="s">
        <v>763</v>
      </c>
      <c r="D307" s="14">
        <v>624137</v>
      </c>
      <c r="E307" s="14">
        <v>555555</v>
      </c>
      <c r="F307" s="14">
        <v>68582</v>
      </c>
      <c r="G307" s="14">
        <v>31111280</v>
      </c>
      <c r="H307" s="12" t="s">
        <v>760</v>
      </c>
      <c r="I307" s="12" t="s">
        <v>764</v>
      </c>
    </row>
    <row r="308" spans="1:9" x14ac:dyDescent="0.4">
      <c r="A308" s="12">
        <v>305</v>
      </c>
      <c r="B308" s="12">
        <v>204312</v>
      </c>
      <c r="C308" s="12" t="s">
        <v>766</v>
      </c>
      <c r="D308" s="14">
        <v>620760</v>
      </c>
      <c r="E308" s="14">
        <v>555555</v>
      </c>
      <c r="F308" s="14">
        <v>65205</v>
      </c>
      <c r="G308" s="14">
        <v>30555725</v>
      </c>
      <c r="H308" s="12" t="s">
        <v>763</v>
      </c>
      <c r="I308" s="12" t="s">
        <v>767</v>
      </c>
    </row>
    <row r="309" spans="1:9" x14ac:dyDescent="0.4">
      <c r="A309" s="12">
        <v>306</v>
      </c>
      <c r="B309" s="12">
        <v>204401</v>
      </c>
      <c r="C309" s="12" t="s">
        <v>768</v>
      </c>
      <c r="D309" s="14">
        <v>621591</v>
      </c>
      <c r="E309" s="14">
        <v>555555</v>
      </c>
      <c r="F309" s="14">
        <v>66036</v>
      </c>
      <c r="G309" s="14">
        <v>30000170</v>
      </c>
      <c r="H309" s="12" t="s">
        <v>765</v>
      </c>
      <c r="I309" s="12" t="s">
        <v>769</v>
      </c>
    </row>
    <row r="310" spans="1:9" x14ac:dyDescent="0.4">
      <c r="A310" s="12">
        <v>307</v>
      </c>
      <c r="B310" s="12">
        <v>204402</v>
      </c>
      <c r="C310" s="12" t="s">
        <v>770</v>
      </c>
      <c r="D310" s="14">
        <v>620350</v>
      </c>
      <c r="E310" s="14">
        <v>555555</v>
      </c>
      <c r="F310" s="14">
        <v>64795</v>
      </c>
      <c r="G310" s="14">
        <v>29444615</v>
      </c>
      <c r="H310" s="12" t="s">
        <v>768</v>
      </c>
      <c r="I310" s="12" t="s">
        <v>771</v>
      </c>
    </row>
    <row r="311" spans="1:9" x14ac:dyDescent="0.4">
      <c r="A311" s="12">
        <v>308</v>
      </c>
      <c r="B311" s="12">
        <v>204403</v>
      </c>
      <c r="C311" s="12" t="s">
        <v>772</v>
      </c>
      <c r="D311" s="14">
        <v>615047</v>
      </c>
      <c r="E311" s="14">
        <v>555555</v>
      </c>
      <c r="F311" s="14">
        <v>59492</v>
      </c>
      <c r="G311" s="14">
        <v>28889060</v>
      </c>
      <c r="H311" s="12" t="s">
        <v>770</v>
      </c>
      <c r="I311" s="12" t="s">
        <v>773</v>
      </c>
    </row>
    <row r="312" spans="1:9" x14ac:dyDescent="0.4">
      <c r="A312" s="12">
        <v>309</v>
      </c>
      <c r="B312" s="12">
        <v>204404</v>
      </c>
      <c r="C312" s="12" t="s">
        <v>774</v>
      </c>
      <c r="D312" s="14">
        <v>617950</v>
      </c>
      <c r="E312" s="14">
        <v>555555</v>
      </c>
      <c r="F312" s="14">
        <v>62395</v>
      </c>
      <c r="G312" s="14">
        <v>28333505</v>
      </c>
      <c r="H312" s="12" t="s">
        <v>772</v>
      </c>
      <c r="I312" s="12" t="s">
        <v>775</v>
      </c>
    </row>
    <row r="313" spans="1:9" x14ac:dyDescent="0.4">
      <c r="A313" s="12">
        <v>310</v>
      </c>
      <c r="B313" s="12">
        <v>204405</v>
      </c>
      <c r="C313" s="12" t="s">
        <v>776</v>
      </c>
      <c r="D313" s="14">
        <v>614776</v>
      </c>
      <c r="E313" s="14">
        <v>555555</v>
      </c>
      <c r="F313" s="14">
        <v>59221</v>
      </c>
      <c r="G313" s="14">
        <v>27777950</v>
      </c>
      <c r="H313" s="12" t="s">
        <v>774</v>
      </c>
      <c r="I313" s="12" t="s">
        <v>777</v>
      </c>
    </row>
    <row r="314" spans="1:9" x14ac:dyDescent="0.4">
      <c r="A314" s="12">
        <v>311</v>
      </c>
      <c r="B314" s="12">
        <v>204406</v>
      </c>
      <c r="C314" s="12" t="s">
        <v>779</v>
      </c>
      <c r="D314" s="14">
        <v>615550</v>
      </c>
      <c r="E314" s="14">
        <v>555555</v>
      </c>
      <c r="F314" s="14">
        <v>59995</v>
      </c>
      <c r="G314" s="14">
        <v>27222395</v>
      </c>
      <c r="H314" s="12" t="s">
        <v>776</v>
      </c>
      <c r="I314" s="12" t="s">
        <v>780</v>
      </c>
    </row>
    <row r="315" spans="1:9" x14ac:dyDescent="0.4">
      <c r="A315" s="12">
        <v>312</v>
      </c>
      <c r="B315" s="12">
        <v>204407</v>
      </c>
      <c r="C315" s="12" t="s">
        <v>781</v>
      </c>
      <c r="D315" s="14">
        <v>612454</v>
      </c>
      <c r="E315" s="14">
        <v>555555</v>
      </c>
      <c r="F315" s="14">
        <v>56899</v>
      </c>
      <c r="G315" s="14">
        <v>26666840</v>
      </c>
      <c r="H315" s="12" t="s">
        <v>778</v>
      </c>
      <c r="I315" s="12" t="s">
        <v>782</v>
      </c>
    </row>
    <row r="316" spans="1:9" x14ac:dyDescent="0.4">
      <c r="A316" s="12">
        <v>313</v>
      </c>
      <c r="B316" s="12">
        <v>204408</v>
      </c>
      <c r="C316" s="12" t="s">
        <v>783</v>
      </c>
      <c r="D316" s="14">
        <v>613151</v>
      </c>
      <c r="E316" s="14">
        <v>555555</v>
      </c>
      <c r="F316" s="14">
        <v>57596</v>
      </c>
      <c r="G316" s="14">
        <v>26111285</v>
      </c>
      <c r="H316" s="12" t="s">
        <v>781</v>
      </c>
      <c r="I316" s="12" t="s">
        <v>784</v>
      </c>
    </row>
    <row r="317" spans="1:9" x14ac:dyDescent="0.4">
      <c r="A317" s="12">
        <v>314</v>
      </c>
      <c r="B317" s="12">
        <v>204409</v>
      </c>
      <c r="C317" s="12" t="s">
        <v>786</v>
      </c>
      <c r="D317" s="14">
        <v>611951</v>
      </c>
      <c r="E317" s="14">
        <v>555555</v>
      </c>
      <c r="F317" s="14">
        <v>56396</v>
      </c>
      <c r="G317" s="14">
        <v>25555730</v>
      </c>
      <c r="H317" s="12" t="s">
        <v>783</v>
      </c>
      <c r="I317" s="12" t="s">
        <v>787</v>
      </c>
    </row>
    <row r="318" spans="1:9" x14ac:dyDescent="0.4">
      <c r="A318" s="12">
        <v>315</v>
      </c>
      <c r="B318" s="12">
        <v>204410</v>
      </c>
      <c r="C318" s="12" t="s">
        <v>788</v>
      </c>
      <c r="D318" s="14">
        <v>608970</v>
      </c>
      <c r="E318" s="14">
        <v>555555</v>
      </c>
      <c r="F318" s="14">
        <v>53415</v>
      </c>
      <c r="G318" s="14">
        <v>25000175</v>
      </c>
      <c r="H318" s="12" t="s">
        <v>785</v>
      </c>
      <c r="I318" s="12" t="s">
        <v>789</v>
      </c>
    </row>
    <row r="319" spans="1:9" x14ac:dyDescent="0.4">
      <c r="A319" s="12">
        <v>316</v>
      </c>
      <c r="B319" s="12">
        <v>204411</v>
      </c>
      <c r="C319" s="12" t="s">
        <v>790</v>
      </c>
      <c r="D319" s="14">
        <v>609551</v>
      </c>
      <c r="E319" s="14">
        <v>555555</v>
      </c>
      <c r="F319" s="14">
        <v>53996</v>
      </c>
      <c r="G319" s="14">
        <v>24444620</v>
      </c>
      <c r="H319" s="12" t="s">
        <v>788</v>
      </c>
      <c r="I319" s="12" t="s">
        <v>791</v>
      </c>
    </row>
    <row r="320" spans="1:9" x14ac:dyDescent="0.4">
      <c r="A320" s="12">
        <v>317</v>
      </c>
      <c r="B320" s="12">
        <v>204412</v>
      </c>
      <c r="C320" s="12" t="s">
        <v>793</v>
      </c>
      <c r="D320" s="14">
        <v>606648</v>
      </c>
      <c r="E320" s="14">
        <v>555555</v>
      </c>
      <c r="F320" s="14">
        <v>51093</v>
      </c>
      <c r="G320" s="14">
        <v>23889065</v>
      </c>
      <c r="H320" s="12" t="s">
        <v>790</v>
      </c>
      <c r="I320" s="12" t="s">
        <v>794</v>
      </c>
    </row>
    <row r="321" spans="1:9" x14ac:dyDescent="0.4">
      <c r="A321" s="12">
        <v>318</v>
      </c>
      <c r="B321" s="12">
        <v>204501</v>
      </c>
      <c r="C321" s="12" t="s">
        <v>795</v>
      </c>
      <c r="D321" s="14">
        <v>607260</v>
      </c>
      <c r="E321" s="14">
        <v>555555</v>
      </c>
      <c r="F321" s="14">
        <v>51705</v>
      </c>
      <c r="G321" s="14">
        <v>23333510</v>
      </c>
      <c r="H321" s="12" t="s">
        <v>792</v>
      </c>
      <c r="I321" s="12" t="s">
        <v>796</v>
      </c>
    </row>
    <row r="322" spans="1:9" x14ac:dyDescent="0.4">
      <c r="A322" s="12">
        <v>319</v>
      </c>
      <c r="B322" s="12">
        <v>204502</v>
      </c>
      <c r="C322" s="12" t="s">
        <v>798</v>
      </c>
      <c r="D322" s="14">
        <v>606089</v>
      </c>
      <c r="E322" s="14">
        <v>555555</v>
      </c>
      <c r="F322" s="14">
        <v>50534</v>
      </c>
      <c r="G322" s="14">
        <v>22777955</v>
      </c>
      <c r="H322" s="12" t="s">
        <v>795</v>
      </c>
      <c r="I322" s="12" t="s">
        <v>799</v>
      </c>
    </row>
    <row r="323" spans="1:9" x14ac:dyDescent="0.4">
      <c r="A323" s="12">
        <v>320</v>
      </c>
      <c r="B323" s="12">
        <v>204503</v>
      </c>
      <c r="C323" s="12" t="s">
        <v>801</v>
      </c>
      <c r="D323" s="14">
        <v>600112</v>
      </c>
      <c r="E323" s="14">
        <v>555555</v>
      </c>
      <c r="F323" s="14">
        <v>44557</v>
      </c>
      <c r="G323" s="14">
        <v>22222400</v>
      </c>
      <c r="H323" s="12" t="s">
        <v>797</v>
      </c>
      <c r="I323" s="12" t="s">
        <v>802</v>
      </c>
    </row>
    <row r="324" spans="1:9" x14ac:dyDescent="0.4">
      <c r="A324" s="12">
        <v>321</v>
      </c>
      <c r="B324" s="12">
        <v>204504</v>
      </c>
      <c r="C324" s="12" t="s">
        <v>803</v>
      </c>
      <c r="D324" s="14">
        <v>603683</v>
      </c>
      <c r="E324" s="14">
        <v>555555</v>
      </c>
      <c r="F324" s="14">
        <v>48128</v>
      </c>
      <c r="G324" s="14">
        <v>21666845</v>
      </c>
      <c r="H324" s="12" t="s">
        <v>800</v>
      </c>
      <c r="I324" s="12" t="s">
        <v>804</v>
      </c>
    </row>
    <row r="325" spans="1:9" x14ac:dyDescent="0.4">
      <c r="A325" s="12">
        <v>322</v>
      </c>
      <c r="B325" s="12">
        <v>204505</v>
      </c>
      <c r="C325" s="12" t="s">
        <v>805</v>
      </c>
      <c r="D325" s="14">
        <v>600966</v>
      </c>
      <c r="E325" s="14">
        <v>555555</v>
      </c>
      <c r="F325" s="14">
        <v>45411</v>
      </c>
      <c r="G325" s="14">
        <v>21111290</v>
      </c>
      <c r="H325" s="12" t="s">
        <v>803</v>
      </c>
      <c r="I325" s="12" t="s">
        <v>806</v>
      </c>
    </row>
    <row r="326" spans="1:9" x14ac:dyDescent="0.4">
      <c r="A326" s="12">
        <v>323</v>
      </c>
      <c r="B326" s="12">
        <v>204506</v>
      </c>
      <c r="C326" s="12" t="s">
        <v>808</v>
      </c>
      <c r="D326" s="14">
        <v>601276</v>
      </c>
      <c r="E326" s="14">
        <v>555555</v>
      </c>
      <c r="F326" s="14">
        <v>45721</v>
      </c>
      <c r="G326" s="14">
        <v>20555735</v>
      </c>
      <c r="H326" s="12" t="s">
        <v>805</v>
      </c>
      <c r="I326" s="12" t="s">
        <v>809</v>
      </c>
    </row>
    <row r="327" spans="1:9" x14ac:dyDescent="0.4">
      <c r="A327" s="12">
        <v>324</v>
      </c>
      <c r="B327" s="12">
        <v>204507</v>
      </c>
      <c r="C327" s="12" t="s">
        <v>810</v>
      </c>
      <c r="D327" s="14">
        <v>598637</v>
      </c>
      <c r="E327" s="14">
        <v>555555</v>
      </c>
      <c r="F327" s="14">
        <v>43082</v>
      </c>
      <c r="G327" s="14">
        <v>20000180</v>
      </c>
      <c r="H327" s="12" t="s">
        <v>807</v>
      </c>
      <c r="I327" s="12" t="s">
        <v>811</v>
      </c>
    </row>
    <row r="328" spans="1:9" x14ac:dyDescent="0.4">
      <c r="A328" s="12">
        <v>325</v>
      </c>
      <c r="B328" s="12">
        <v>204508</v>
      </c>
      <c r="C328" s="12" t="s">
        <v>812</v>
      </c>
      <c r="D328" s="14">
        <v>598870</v>
      </c>
      <c r="E328" s="14">
        <v>555555</v>
      </c>
      <c r="F328" s="14">
        <v>43315</v>
      </c>
      <c r="G328" s="14">
        <v>19444625</v>
      </c>
      <c r="H328" s="12" t="s">
        <v>810</v>
      </c>
      <c r="I328" s="12" t="s">
        <v>813</v>
      </c>
    </row>
    <row r="329" spans="1:9" x14ac:dyDescent="0.4">
      <c r="A329" s="12">
        <v>326</v>
      </c>
      <c r="B329" s="12">
        <v>204509</v>
      </c>
      <c r="C329" s="12" t="s">
        <v>815</v>
      </c>
      <c r="D329" s="14">
        <v>597667</v>
      </c>
      <c r="E329" s="14">
        <v>555555</v>
      </c>
      <c r="F329" s="14">
        <v>42112</v>
      </c>
      <c r="G329" s="14">
        <v>18889070</v>
      </c>
      <c r="H329" s="12" t="s">
        <v>812</v>
      </c>
      <c r="I329" s="12" t="s">
        <v>816</v>
      </c>
    </row>
    <row r="330" spans="1:9" x14ac:dyDescent="0.4">
      <c r="A330" s="12">
        <v>327</v>
      </c>
      <c r="B330" s="12">
        <v>204510</v>
      </c>
      <c r="C330" s="12" t="s">
        <v>817</v>
      </c>
      <c r="D330" s="14">
        <v>595144</v>
      </c>
      <c r="E330" s="14">
        <v>555555</v>
      </c>
      <c r="F330" s="14">
        <v>39589</v>
      </c>
      <c r="G330" s="14">
        <v>18333515</v>
      </c>
      <c r="H330" s="12" t="s">
        <v>814</v>
      </c>
      <c r="I330" s="12" t="s">
        <v>818</v>
      </c>
    </row>
    <row r="331" spans="1:9" x14ac:dyDescent="0.4">
      <c r="A331" s="12">
        <v>328</v>
      </c>
      <c r="B331" s="12">
        <v>204511</v>
      </c>
      <c r="C331" s="12" t="s">
        <v>820</v>
      </c>
      <c r="D331" s="14">
        <v>595260</v>
      </c>
      <c r="E331" s="14">
        <v>555555</v>
      </c>
      <c r="F331" s="14">
        <v>39705</v>
      </c>
      <c r="G331" s="14">
        <v>17777960</v>
      </c>
      <c r="H331" s="12" t="s">
        <v>817</v>
      </c>
      <c r="I331" s="12" t="s">
        <v>821</v>
      </c>
    </row>
    <row r="332" spans="1:9" x14ac:dyDescent="0.4">
      <c r="A332" s="12">
        <v>329</v>
      </c>
      <c r="B332" s="12">
        <v>204512</v>
      </c>
      <c r="C332" s="12" t="s">
        <v>823</v>
      </c>
      <c r="D332" s="14">
        <v>592815</v>
      </c>
      <c r="E332" s="14">
        <v>555555</v>
      </c>
      <c r="F332" s="14">
        <v>37260</v>
      </c>
      <c r="G332" s="14">
        <v>17222405</v>
      </c>
      <c r="H332" s="12" t="s">
        <v>819</v>
      </c>
      <c r="I332" s="12" t="s">
        <v>824</v>
      </c>
    </row>
    <row r="333" spans="1:9" x14ac:dyDescent="0.4">
      <c r="A333" s="12">
        <v>330</v>
      </c>
      <c r="B333" s="12">
        <v>204601</v>
      </c>
      <c r="C333" s="12" t="s">
        <v>825</v>
      </c>
      <c r="D333" s="14">
        <v>592854</v>
      </c>
      <c r="E333" s="14">
        <v>555555</v>
      </c>
      <c r="F333" s="14">
        <v>37299</v>
      </c>
      <c r="G333" s="14">
        <v>16666850</v>
      </c>
      <c r="H333" s="12" t="s">
        <v>822</v>
      </c>
      <c r="I333" s="12" t="s">
        <v>826</v>
      </c>
    </row>
    <row r="334" spans="1:9" x14ac:dyDescent="0.4">
      <c r="A334" s="12">
        <v>331</v>
      </c>
      <c r="B334" s="12">
        <v>204602</v>
      </c>
      <c r="C334" s="12" t="s">
        <v>828</v>
      </c>
      <c r="D334" s="14">
        <v>591651</v>
      </c>
      <c r="E334" s="14">
        <v>555555</v>
      </c>
      <c r="F334" s="14">
        <v>36096</v>
      </c>
      <c r="G334" s="14">
        <v>16111295</v>
      </c>
      <c r="H334" s="12" t="s">
        <v>825</v>
      </c>
      <c r="I334" s="12" t="s">
        <v>829</v>
      </c>
    </row>
    <row r="335" spans="1:9" x14ac:dyDescent="0.4">
      <c r="A335" s="12">
        <v>332</v>
      </c>
      <c r="B335" s="12">
        <v>204603</v>
      </c>
      <c r="C335" s="12" t="s">
        <v>831</v>
      </c>
      <c r="D335" s="14">
        <v>587071</v>
      </c>
      <c r="E335" s="14">
        <v>555555</v>
      </c>
      <c r="F335" s="14">
        <v>31516</v>
      </c>
      <c r="G335" s="14">
        <v>15555740</v>
      </c>
      <c r="H335" s="12" t="s">
        <v>827</v>
      </c>
      <c r="I335" s="12" t="s">
        <v>832</v>
      </c>
    </row>
    <row r="336" spans="1:9" x14ac:dyDescent="0.4">
      <c r="A336" s="12">
        <v>333</v>
      </c>
      <c r="B336" s="12">
        <v>204604</v>
      </c>
      <c r="C336" s="12" t="s">
        <v>833</v>
      </c>
      <c r="D336" s="14">
        <v>589244</v>
      </c>
      <c r="E336" s="14">
        <v>555555</v>
      </c>
      <c r="F336" s="14">
        <v>33689</v>
      </c>
      <c r="G336" s="14">
        <v>15000185</v>
      </c>
      <c r="H336" s="12" t="s">
        <v>830</v>
      </c>
      <c r="I336" s="12" t="s">
        <v>834</v>
      </c>
    </row>
    <row r="337" spans="1:9" x14ac:dyDescent="0.4">
      <c r="A337" s="12">
        <v>334</v>
      </c>
      <c r="B337" s="12">
        <v>204605</v>
      </c>
      <c r="C337" s="12" t="s">
        <v>835</v>
      </c>
      <c r="D337" s="14">
        <v>586993</v>
      </c>
      <c r="E337" s="14">
        <v>555555</v>
      </c>
      <c r="F337" s="14">
        <v>31438</v>
      </c>
      <c r="G337" s="14">
        <v>14444630</v>
      </c>
      <c r="H337" s="12" t="s">
        <v>833</v>
      </c>
      <c r="I337" s="12" t="s">
        <v>836</v>
      </c>
    </row>
    <row r="338" spans="1:9" x14ac:dyDescent="0.4">
      <c r="A338" s="12">
        <v>335</v>
      </c>
      <c r="B338" s="12">
        <v>204606</v>
      </c>
      <c r="C338" s="12" t="s">
        <v>837</v>
      </c>
      <c r="D338" s="14">
        <v>586838</v>
      </c>
      <c r="E338" s="14">
        <v>555555</v>
      </c>
      <c r="F338" s="14">
        <v>31283</v>
      </c>
      <c r="G338" s="14">
        <v>13889075</v>
      </c>
      <c r="H338" s="12" t="s">
        <v>835</v>
      </c>
      <c r="I338" s="12" t="s">
        <v>838</v>
      </c>
    </row>
    <row r="339" spans="1:9" x14ac:dyDescent="0.4">
      <c r="A339" s="12">
        <v>336</v>
      </c>
      <c r="B339" s="12">
        <v>204607</v>
      </c>
      <c r="C339" s="12" t="s">
        <v>839</v>
      </c>
      <c r="D339" s="14">
        <v>584664</v>
      </c>
      <c r="E339" s="14">
        <v>555555</v>
      </c>
      <c r="F339" s="14">
        <v>29109</v>
      </c>
      <c r="G339" s="14">
        <v>13333520</v>
      </c>
      <c r="H339" s="12" t="s">
        <v>837</v>
      </c>
      <c r="I339" s="12" t="s">
        <v>840</v>
      </c>
    </row>
    <row r="340" spans="1:9" x14ac:dyDescent="0.4">
      <c r="A340" s="12">
        <v>337</v>
      </c>
      <c r="B340" s="12">
        <v>204608</v>
      </c>
      <c r="C340" s="12" t="s">
        <v>842</v>
      </c>
      <c r="D340" s="14">
        <v>584432</v>
      </c>
      <c r="E340" s="14">
        <v>555555</v>
      </c>
      <c r="F340" s="14">
        <v>28877</v>
      </c>
      <c r="G340" s="14">
        <v>12777965</v>
      </c>
      <c r="H340" s="12" t="s">
        <v>839</v>
      </c>
      <c r="I340" s="12" t="s">
        <v>843</v>
      </c>
    </row>
    <row r="341" spans="1:9" x14ac:dyDescent="0.4">
      <c r="A341" s="12">
        <v>338</v>
      </c>
      <c r="B341" s="12">
        <v>204609</v>
      </c>
      <c r="C341" s="12" t="s">
        <v>844</v>
      </c>
      <c r="D341" s="14">
        <v>583228</v>
      </c>
      <c r="E341" s="14">
        <v>555555</v>
      </c>
      <c r="F341" s="14">
        <v>27673</v>
      </c>
      <c r="G341" s="14">
        <v>12222410</v>
      </c>
      <c r="H341" s="12" t="s">
        <v>841</v>
      </c>
      <c r="I341" s="12" t="s">
        <v>845</v>
      </c>
    </row>
    <row r="342" spans="1:9" x14ac:dyDescent="0.4">
      <c r="A342" s="12">
        <v>339</v>
      </c>
      <c r="B342" s="12">
        <v>204610</v>
      </c>
      <c r="C342" s="12" t="s">
        <v>846</v>
      </c>
      <c r="D342" s="14">
        <v>581171</v>
      </c>
      <c r="E342" s="14">
        <v>555555</v>
      </c>
      <c r="F342" s="14">
        <v>25616</v>
      </c>
      <c r="G342" s="14">
        <v>11666855</v>
      </c>
      <c r="H342" s="12" t="s">
        <v>844</v>
      </c>
      <c r="I342" s="12" t="s">
        <v>847</v>
      </c>
    </row>
    <row r="343" spans="1:9" x14ac:dyDescent="0.4">
      <c r="A343" s="12">
        <v>340</v>
      </c>
      <c r="B343" s="12">
        <v>204611</v>
      </c>
      <c r="C343" s="12" t="s">
        <v>849</v>
      </c>
      <c r="D343" s="14">
        <v>580822</v>
      </c>
      <c r="E343" s="14">
        <v>555555</v>
      </c>
      <c r="F343" s="14">
        <v>25267</v>
      </c>
      <c r="G343" s="14">
        <v>11111300</v>
      </c>
      <c r="H343" s="12" t="s">
        <v>846</v>
      </c>
      <c r="I343" s="12" t="s">
        <v>850</v>
      </c>
    </row>
    <row r="344" spans="1:9" x14ac:dyDescent="0.4">
      <c r="A344" s="12">
        <v>341</v>
      </c>
      <c r="B344" s="12">
        <v>204612</v>
      </c>
      <c r="C344" s="12" t="s">
        <v>852</v>
      </c>
      <c r="D344" s="14">
        <v>578843</v>
      </c>
      <c r="E344" s="14">
        <v>555555</v>
      </c>
      <c r="F344" s="14">
        <v>23288</v>
      </c>
      <c r="G344" s="14">
        <v>10555745</v>
      </c>
      <c r="H344" s="12" t="s">
        <v>848</v>
      </c>
      <c r="I344" s="12" t="s">
        <v>853</v>
      </c>
    </row>
    <row r="345" spans="1:9" x14ac:dyDescent="0.4">
      <c r="A345" s="12">
        <v>342</v>
      </c>
      <c r="B345" s="12">
        <v>204701</v>
      </c>
      <c r="C345" s="12" t="s">
        <v>855</v>
      </c>
      <c r="D345" s="14">
        <v>578416</v>
      </c>
      <c r="E345" s="14">
        <v>555555</v>
      </c>
      <c r="F345" s="14">
        <v>22861</v>
      </c>
      <c r="G345" s="14">
        <v>10000190</v>
      </c>
      <c r="H345" s="12" t="s">
        <v>851</v>
      </c>
      <c r="I345" s="12" t="s">
        <v>856</v>
      </c>
    </row>
    <row r="346" spans="1:9" x14ac:dyDescent="0.4">
      <c r="A346" s="12">
        <v>343</v>
      </c>
      <c r="B346" s="12">
        <v>204702</v>
      </c>
      <c r="C346" s="12" t="s">
        <v>857</v>
      </c>
      <c r="D346" s="14">
        <v>577212</v>
      </c>
      <c r="E346" s="14">
        <v>555555</v>
      </c>
      <c r="F346" s="14">
        <v>21657</v>
      </c>
      <c r="G346" s="14">
        <v>9444635</v>
      </c>
      <c r="H346" s="12" t="s">
        <v>854</v>
      </c>
      <c r="I346" s="12" t="s">
        <v>858</v>
      </c>
    </row>
    <row r="347" spans="1:9" x14ac:dyDescent="0.4">
      <c r="A347" s="12">
        <v>344</v>
      </c>
      <c r="B347" s="12">
        <v>204703</v>
      </c>
      <c r="C347" s="12" t="s">
        <v>859</v>
      </c>
      <c r="D347" s="14">
        <v>574030</v>
      </c>
      <c r="E347" s="14">
        <v>555555</v>
      </c>
      <c r="F347" s="14">
        <v>18475</v>
      </c>
      <c r="G347" s="14">
        <v>8889080</v>
      </c>
      <c r="H347" s="12" t="s">
        <v>857</v>
      </c>
      <c r="I347" s="12" t="s">
        <v>860</v>
      </c>
    </row>
    <row r="348" spans="1:9" x14ac:dyDescent="0.4">
      <c r="A348" s="12">
        <v>345</v>
      </c>
      <c r="B348" s="12">
        <v>204704</v>
      </c>
      <c r="C348" s="12" t="s">
        <v>861</v>
      </c>
      <c r="D348" s="14">
        <v>574806</v>
      </c>
      <c r="E348" s="14">
        <v>555555</v>
      </c>
      <c r="F348" s="14">
        <v>19251</v>
      </c>
      <c r="G348" s="14">
        <v>8333525</v>
      </c>
      <c r="H348" s="12" t="s">
        <v>859</v>
      </c>
      <c r="I348" s="12" t="s">
        <v>862</v>
      </c>
    </row>
    <row r="349" spans="1:9" x14ac:dyDescent="0.4">
      <c r="A349" s="12">
        <v>346</v>
      </c>
      <c r="B349" s="12">
        <v>204705</v>
      </c>
      <c r="C349" s="12" t="s">
        <v>864</v>
      </c>
      <c r="D349" s="14">
        <v>573021</v>
      </c>
      <c r="E349" s="14">
        <v>555555</v>
      </c>
      <c r="F349" s="14">
        <v>17466</v>
      </c>
      <c r="G349" s="14">
        <v>7777970</v>
      </c>
      <c r="H349" s="12" t="s">
        <v>861</v>
      </c>
      <c r="I349" s="12" t="s">
        <v>865</v>
      </c>
    </row>
    <row r="350" spans="1:9" x14ac:dyDescent="0.4">
      <c r="A350" s="12">
        <v>347</v>
      </c>
      <c r="B350" s="12">
        <v>204706</v>
      </c>
      <c r="C350" s="12" t="s">
        <v>866</v>
      </c>
      <c r="D350" s="14">
        <v>572400</v>
      </c>
      <c r="E350" s="14">
        <v>555555</v>
      </c>
      <c r="F350" s="14">
        <v>16845</v>
      </c>
      <c r="G350" s="14">
        <v>7222415</v>
      </c>
      <c r="H350" s="12" t="s">
        <v>863</v>
      </c>
      <c r="I350" s="12" t="s">
        <v>867</v>
      </c>
    </row>
    <row r="351" spans="1:9" x14ac:dyDescent="0.4">
      <c r="A351" s="12">
        <v>348</v>
      </c>
      <c r="B351" s="12">
        <v>204707</v>
      </c>
      <c r="C351" s="12" t="s">
        <v>868</v>
      </c>
      <c r="D351" s="14">
        <v>570692</v>
      </c>
      <c r="E351" s="14">
        <v>555555</v>
      </c>
      <c r="F351" s="14">
        <v>15137</v>
      </c>
      <c r="G351" s="14">
        <v>6666860</v>
      </c>
      <c r="H351" s="12" t="s">
        <v>866</v>
      </c>
      <c r="I351" s="12" t="s">
        <v>869</v>
      </c>
    </row>
    <row r="352" spans="1:9" x14ac:dyDescent="0.4">
      <c r="A352" s="12">
        <v>349</v>
      </c>
      <c r="B352" s="12">
        <v>204708</v>
      </c>
      <c r="C352" s="12" t="s">
        <v>871</v>
      </c>
      <c r="D352" s="14">
        <v>569993</v>
      </c>
      <c r="E352" s="14">
        <v>555555</v>
      </c>
      <c r="F352" s="14">
        <v>14438</v>
      </c>
      <c r="G352" s="14">
        <v>6111305</v>
      </c>
      <c r="H352" s="12" t="s">
        <v>868</v>
      </c>
      <c r="I352" s="12" t="s">
        <v>872</v>
      </c>
    </row>
    <row r="353" spans="1:9" x14ac:dyDescent="0.4">
      <c r="A353" s="12">
        <v>350</v>
      </c>
      <c r="B353" s="12">
        <v>204709</v>
      </c>
      <c r="C353" s="12" t="s">
        <v>873</v>
      </c>
      <c r="D353" s="14">
        <v>568790</v>
      </c>
      <c r="E353" s="14">
        <v>555555</v>
      </c>
      <c r="F353" s="14">
        <v>13235</v>
      </c>
      <c r="G353" s="14">
        <v>5555750</v>
      </c>
      <c r="H353" s="12" t="s">
        <v>870</v>
      </c>
      <c r="I353" s="12" t="s">
        <v>874</v>
      </c>
    </row>
    <row r="354" spans="1:9" x14ac:dyDescent="0.4">
      <c r="A354" s="12">
        <v>351</v>
      </c>
      <c r="B354" s="12">
        <v>204710</v>
      </c>
      <c r="C354" s="12" t="s">
        <v>875</v>
      </c>
      <c r="D354" s="14">
        <v>567199</v>
      </c>
      <c r="E354" s="14">
        <v>555555</v>
      </c>
      <c r="F354" s="14">
        <v>11644</v>
      </c>
      <c r="G354" s="14">
        <v>5000195</v>
      </c>
      <c r="H354" s="12" t="s">
        <v>873</v>
      </c>
      <c r="I354" s="12" t="s">
        <v>876</v>
      </c>
    </row>
    <row r="355" spans="1:9" x14ac:dyDescent="0.4">
      <c r="A355" s="12">
        <v>352</v>
      </c>
      <c r="B355" s="12">
        <v>204711</v>
      </c>
      <c r="C355" s="12" t="s">
        <v>877</v>
      </c>
      <c r="D355" s="14">
        <v>566384</v>
      </c>
      <c r="E355" s="14">
        <v>555555</v>
      </c>
      <c r="F355" s="14">
        <v>10829</v>
      </c>
      <c r="G355" s="14">
        <v>4444640</v>
      </c>
      <c r="H355" s="12" t="s">
        <v>875</v>
      </c>
      <c r="I355" s="12" t="s">
        <v>878</v>
      </c>
    </row>
    <row r="356" spans="1:9" x14ac:dyDescent="0.4">
      <c r="A356" s="12">
        <v>353</v>
      </c>
      <c r="B356" s="12">
        <v>204712</v>
      </c>
      <c r="C356" s="12" t="s">
        <v>880</v>
      </c>
      <c r="D356" s="14">
        <v>564870</v>
      </c>
      <c r="E356" s="14">
        <v>555555</v>
      </c>
      <c r="F356" s="14">
        <v>9315</v>
      </c>
      <c r="G356" s="14">
        <v>3889085</v>
      </c>
      <c r="H356" s="12" t="s">
        <v>877</v>
      </c>
      <c r="I356" s="12" t="s">
        <v>881</v>
      </c>
    </row>
    <row r="357" spans="1:9" x14ac:dyDescent="0.4">
      <c r="A357" s="12">
        <v>354</v>
      </c>
      <c r="B357" s="12">
        <v>204801</v>
      </c>
      <c r="C357" s="12" t="s">
        <v>883</v>
      </c>
      <c r="D357" s="14">
        <v>563959</v>
      </c>
      <c r="E357" s="14">
        <v>555555</v>
      </c>
      <c r="F357" s="14">
        <v>8404</v>
      </c>
      <c r="G357" s="14">
        <v>3333530</v>
      </c>
      <c r="H357" s="12" t="s">
        <v>879</v>
      </c>
      <c r="I357" s="12" t="s">
        <v>884</v>
      </c>
    </row>
    <row r="358" spans="1:9" x14ac:dyDescent="0.4">
      <c r="A358" s="12">
        <v>355</v>
      </c>
      <c r="B358" s="12">
        <v>204802</v>
      </c>
      <c r="C358" s="12" t="s">
        <v>885</v>
      </c>
      <c r="D358" s="14">
        <v>562754</v>
      </c>
      <c r="E358" s="14">
        <v>555555</v>
      </c>
      <c r="F358" s="14">
        <v>7199</v>
      </c>
      <c r="G358" s="14">
        <v>2777975</v>
      </c>
      <c r="H358" s="12" t="s">
        <v>882</v>
      </c>
      <c r="I358" s="12" t="s">
        <v>886</v>
      </c>
    </row>
    <row r="359" spans="1:9" x14ac:dyDescent="0.4">
      <c r="A359" s="12">
        <v>356</v>
      </c>
      <c r="B359" s="12">
        <v>204803</v>
      </c>
      <c r="C359" s="12" t="s">
        <v>887</v>
      </c>
      <c r="D359" s="14">
        <v>561167</v>
      </c>
      <c r="E359" s="14">
        <v>555555</v>
      </c>
      <c r="F359" s="14">
        <v>5612</v>
      </c>
      <c r="G359" s="14">
        <v>2222420</v>
      </c>
      <c r="H359" s="12" t="s">
        <v>885</v>
      </c>
      <c r="I359" s="12" t="s">
        <v>888</v>
      </c>
    </row>
    <row r="360" spans="1:9" x14ac:dyDescent="0.4">
      <c r="A360" s="12">
        <v>357</v>
      </c>
      <c r="B360" s="12">
        <v>204804</v>
      </c>
      <c r="C360" s="12" t="s">
        <v>890</v>
      </c>
      <c r="D360" s="14">
        <v>560355</v>
      </c>
      <c r="E360" s="14">
        <v>555555</v>
      </c>
      <c r="F360" s="14">
        <v>4800</v>
      </c>
      <c r="G360" s="14">
        <v>1666865</v>
      </c>
      <c r="H360" s="12" t="s">
        <v>887</v>
      </c>
      <c r="I360" s="12" t="s">
        <v>891</v>
      </c>
    </row>
    <row r="361" spans="1:9" x14ac:dyDescent="0.4">
      <c r="A361" s="12">
        <v>358</v>
      </c>
      <c r="B361" s="12">
        <v>204805</v>
      </c>
      <c r="C361" s="12" t="s">
        <v>892</v>
      </c>
      <c r="D361" s="14">
        <v>559039</v>
      </c>
      <c r="E361" s="14">
        <v>555555</v>
      </c>
      <c r="F361" s="14">
        <v>3484</v>
      </c>
      <c r="G361" s="14">
        <v>1111310</v>
      </c>
      <c r="H361" s="12" t="s">
        <v>889</v>
      </c>
      <c r="I361" s="12" t="s">
        <v>893</v>
      </c>
    </row>
    <row r="362" spans="1:9" x14ac:dyDescent="0.4">
      <c r="A362" s="12">
        <v>359</v>
      </c>
      <c r="B362" s="12">
        <v>204806</v>
      </c>
      <c r="C362" s="12" t="s">
        <v>894</v>
      </c>
      <c r="D362" s="14">
        <v>557955</v>
      </c>
      <c r="E362" s="14">
        <v>555555</v>
      </c>
      <c r="F362" s="14">
        <v>2400</v>
      </c>
      <c r="G362" s="14">
        <v>555755</v>
      </c>
      <c r="H362" s="12" t="s">
        <v>892</v>
      </c>
      <c r="I362" s="12" t="s">
        <v>895</v>
      </c>
    </row>
    <row r="363" spans="1:9" x14ac:dyDescent="0.4">
      <c r="A363" s="12">
        <v>360</v>
      </c>
      <c r="B363" s="12">
        <v>204807</v>
      </c>
      <c r="C363" s="12" t="s">
        <v>896</v>
      </c>
      <c r="D363" s="14">
        <v>556180</v>
      </c>
      <c r="E363" s="14">
        <v>555755</v>
      </c>
      <c r="F363" s="13">
        <v>425</v>
      </c>
      <c r="G363" s="13">
        <v>0</v>
      </c>
      <c r="H363" s="12" t="s">
        <v>894</v>
      </c>
      <c r="I363" s="12" t="s">
        <v>897</v>
      </c>
    </row>
  </sheetData>
  <mergeCells count="4">
    <mergeCell ref="A2:A3"/>
    <mergeCell ref="D2:G2"/>
    <mergeCell ref="H2:I2"/>
    <mergeCell ref="B2:C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440-93D8-4B7A-BDE8-AFAAAAD122C7}">
  <dimension ref="A2:F43"/>
  <sheetViews>
    <sheetView zoomScale="120" zoomScaleNormal="120" workbookViewId="0">
      <selection activeCell="D12" sqref="D12"/>
    </sheetView>
  </sheetViews>
  <sheetFormatPr defaultRowHeight="17.399999999999999" x14ac:dyDescent="0.4"/>
  <cols>
    <col min="3" max="4" width="17.19921875" bestFit="1" customWidth="1"/>
    <col min="5" max="5" width="11.5" bestFit="1" customWidth="1"/>
    <col min="6" max="6" width="10.8984375" bestFit="1" customWidth="1"/>
  </cols>
  <sheetData>
    <row r="2" spans="1:5" x14ac:dyDescent="0.4">
      <c r="C2" t="s">
        <v>1951</v>
      </c>
      <c r="D2" t="s">
        <v>1952</v>
      </c>
    </row>
    <row r="3" spans="1:5" x14ac:dyDescent="0.4">
      <c r="A3" t="s">
        <v>1948</v>
      </c>
      <c r="B3" t="s">
        <v>1949</v>
      </c>
      <c r="C3" s="112">
        <v>900000000</v>
      </c>
      <c r="D3" s="112">
        <v>950000000</v>
      </c>
    </row>
    <row r="4" spans="1:5" x14ac:dyDescent="0.4">
      <c r="B4" t="s">
        <v>1950</v>
      </c>
      <c r="C4" s="110">
        <f>26000000+6000000+1960000</f>
        <v>33960000</v>
      </c>
      <c r="D4" s="110">
        <f>26000000+6000000+1960000</f>
        <v>33960000</v>
      </c>
    </row>
    <row r="5" spans="1:5" x14ac:dyDescent="0.4">
      <c r="B5" t="s">
        <v>1954</v>
      </c>
      <c r="C5" s="110">
        <v>22000000</v>
      </c>
      <c r="D5" s="110">
        <v>22000000</v>
      </c>
      <c r="E5" s="111" t="s">
        <v>1971</v>
      </c>
    </row>
    <row r="6" spans="1:5" x14ac:dyDescent="0.4">
      <c r="B6" t="s">
        <v>1956</v>
      </c>
      <c r="C6" s="110">
        <v>76000000</v>
      </c>
      <c r="D6" s="110">
        <v>77000000</v>
      </c>
    </row>
    <row r="7" spans="1:5" x14ac:dyDescent="0.4">
      <c r="B7" t="s">
        <v>1977</v>
      </c>
      <c r="C7" s="110">
        <v>45000000</v>
      </c>
      <c r="D7" s="110">
        <v>45000000</v>
      </c>
    </row>
    <row r="8" spans="1:5" x14ac:dyDescent="0.4">
      <c r="B8" t="s">
        <v>1957</v>
      </c>
      <c r="C8" s="110">
        <v>4500000</v>
      </c>
      <c r="D8" s="110">
        <v>4800000</v>
      </c>
    </row>
    <row r="9" spans="1:5" x14ac:dyDescent="0.4">
      <c r="B9" t="s">
        <v>1978</v>
      </c>
      <c r="C9" s="110">
        <f>6000000+21000000</f>
        <v>27000000</v>
      </c>
      <c r="D9" s="110">
        <f>7000000+23000000</f>
        <v>30000000</v>
      </c>
    </row>
    <row r="10" spans="1:5" x14ac:dyDescent="0.4">
      <c r="B10" t="s">
        <v>1958</v>
      </c>
      <c r="C10" s="110">
        <v>0</v>
      </c>
      <c r="D10" s="112">
        <f>90000000*0.69</f>
        <v>62099999.999999993</v>
      </c>
    </row>
    <row r="11" spans="1:5" x14ac:dyDescent="0.4">
      <c r="C11" s="110">
        <f>SUM(C3:C10)</f>
        <v>1108460000</v>
      </c>
      <c r="D11" s="110">
        <f>SUM(D3:D10)</f>
        <v>1224860000</v>
      </c>
    </row>
    <row r="12" spans="1:5" x14ac:dyDescent="0.4">
      <c r="C12" s="110"/>
      <c r="D12" s="110"/>
    </row>
    <row r="13" spans="1:5" x14ac:dyDescent="0.4">
      <c r="A13" t="s">
        <v>1965</v>
      </c>
      <c r="B13" t="s">
        <v>1953</v>
      </c>
      <c r="C13" s="110">
        <v>-151111160</v>
      </c>
      <c r="D13" s="110">
        <v>-150000000</v>
      </c>
    </row>
    <row r="14" spans="1:5" x14ac:dyDescent="0.4">
      <c r="B14" t="s">
        <v>1955</v>
      </c>
      <c r="C14" s="110">
        <v>-2896000</v>
      </c>
      <c r="D14" s="110">
        <v>-3000000</v>
      </c>
    </row>
    <row r="15" spans="1:5" x14ac:dyDescent="0.4">
      <c r="C15" s="110">
        <f>SUM(C13:C14)</f>
        <v>-154007160</v>
      </c>
      <c r="D15" s="110">
        <f>SUM(D13:D14)</f>
        <v>-153000000</v>
      </c>
    </row>
    <row r="16" spans="1:5" x14ac:dyDescent="0.4">
      <c r="C16" s="110"/>
      <c r="D16" s="110"/>
    </row>
    <row r="17" spans="1:4" x14ac:dyDescent="0.4">
      <c r="C17" s="110">
        <f>SUM(C15,C11)</f>
        <v>954452840</v>
      </c>
      <c r="D17" s="110">
        <f>SUM(D15,D11)</f>
        <v>1071860000</v>
      </c>
    </row>
    <row r="18" spans="1:4" x14ac:dyDescent="0.4">
      <c r="C18" s="110"/>
      <c r="D18" s="110"/>
    </row>
    <row r="19" spans="1:4" x14ac:dyDescent="0.4">
      <c r="B19" t="s">
        <v>1974</v>
      </c>
      <c r="C19" s="112">
        <v>1300000000</v>
      </c>
      <c r="D19" s="112">
        <v>1450000000</v>
      </c>
    </row>
    <row r="20" spans="1:4" x14ac:dyDescent="0.4">
      <c r="C20" s="110"/>
      <c r="D20" s="110"/>
    </row>
    <row r="21" spans="1:4" x14ac:dyDescent="0.4">
      <c r="A21" t="s">
        <v>1966</v>
      </c>
      <c r="B21" t="s">
        <v>1967</v>
      </c>
      <c r="C21" s="110">
        <f>(C3*0.005)*-1.1</f>
        <v>-4950000</v>
      </c>
      <c r="D21" s="110">
        <f>(D3*0.005)*-1.1</f>
        <v>-5225000</v>
      </c>
    </row>
    <row r="22" spans="1:4" x14ac:dyDescent="0.4">
      <c r="B22" t="s">
        <v>1968</v>
      </c>
      <c r="C22" s="110">
        <f>(C19*0.006)*-1.1</f>
        <v>-8580000</v>
      </c>
      <c r="D22" s="110">
        <f>(D19*0.006)*-1.1</f>
        <v>-9570000</v>
      </c>
    </row>
    <row r="23" spans="1:4" x14ac:dyDescent="0.4">
      <c r="B23" t="s">
        <v>1969</v>
      </c>
      <c r="C23" s="110">
        <f>-(C19*0.03+C19*0.003)</f>
        <v>-42900000</v>
      </c>
      <c r="D23" s="110">
        <f>-(D19*0.03+D19*0.003)</f>
        <v>-47850000</v>
      </c>
    </row>
    <row r="24" spans="1:4" x14ac:dyDescent="0.4">
      <c r="B24" t="s">
        <v>1970</v>
      </c>
      <c r="C24" s="17">
        <v>-2000000</v>
      </c>
      <c r="D24" s="17">
        <v>-2500000</v>
      </c>
    </row>
    <row r="25" spans="1:4" x14ac:dyDescent="0.4">
      <c r="B25" s="111" t="s">
        <v>1972</v>
      </c>
      <c r="C25" s="17"/>
      <c r="D25" s="17"/>
    </row>
    <row r="26" spans="1:4" x14ac:dyDescent="0.4">
      <c r="B26" s="111" t="s">
        <v>1973</v>
      </c>
      <c r="C26" s="17"/>
      <c r="D26" s="17"/>
    </row>
    <row r="27" spans="1:4" x14ac:dyDescent="0.4">
      <c r="C27" s="17">
        <f>SUM(C21:C26)</f>
        <v>-58430000</v>
      </c>
      <c r="D27" s="17">
        <f>SUM(D21:D26)</f>
        <v>-65145000</v>
      </c>
    </row>
    <row r="28" spans="1:4" x14ac:dyDescent="0.4">
      <c r="C28" s="17"/>
      <c r="D28" s="17"/>
    </row>
    <row r="29" spans="1:4" x14ac:dyDescent="0.4">
      <c r="A29" t="s">
        <v>1975</v>
      </c>
      <c r="C29" s="17">
        <f>SUM(C17-C19+C27)</f>
        <v>-403977160</v>
      </c>
      <c r="D29" s="17">
        <f>SUM(D17-D19+D27)</f>
        <v>-443285000</v>
      </c>
    </row>
    <row r="30" spans="1:4" x14ac:dyDescent="0.4">
      <c r="A30" t="s">
        <v>1976</v>
      </c>
      <c r="C30" s="17">
        <f>ROUNDUP(C29,-7)</f>
        <v>-410000000</v>
      </c>
      <c r="D30" s="17">
        <f>ROUNDUP(D29,-7)</f>
        <v>-450000000</v>
      </c>
    </row>
    <row r="31" spans="1:4" x14ac:dyDescent="0.4">
      <c r="B31">
        <v>3.9</v>
      </c>
      <c r="C31" s="17">
        <v>2122507</v>
      </c>
      <c r="D31" s="17">
        <v>2311174</v>
      </c>
    </row>
    <row r="32" spans="1:4" x14ac:dyDescent="0.4">
      <c r="B32">
        <v>4.5</v>
      </c>
      <c r="C32" s="17">
        <v>2280084</v>
      </c>
      <c r="D32" s="17">
        <v>2482758</v>
      </c>
    </row>
    <row r="34" spans="2:6" x14ac:dyDescent="0.4">
      <c r="D34" s="17"/>
    </row>
    <row r="38" spans="2:6" x14ac:dyDescent="0.4">
      <c r="B38" t="s">
        <v>1960</v>
      </c>
      <c r="C38" t="s">
        <v>1959</v>
      </c>
      <c r="E38" s="119">
        <v>41277</v>
      </c>
      <c r="F38" s="119">
        <v>46053</v>
      </c>
    </row>
    <row r="39" spans="2:6" x14ac:dyDescent="0.4">
      <c r="B39" t="s">
        <v>1962</v>
      </c>
      <c r="C39" t="s">
        <v>1961</v>
      </c>
      <c r="E39">
        <f>F38-E38</f>
        <v>4776</v>
      </c>
      <c r="F39">
        <f>E39*30/365</f>
        <v>392.54794520547944</v>
      </c>
    </row>
    <row r="40" spans="2:6" x14ac:dyDescent="0.4">
      <c r="B40" t="s">
        <v>1963</v>
      </c>
      <c r="C40" t="s">
        <v>1964</v>
      </c>
    </row>
    <row r="41" spans="2:6" x14ac:dyDescent="0.4">
      <c r="C41">
        <f>(7125000*2+7125000*1.1)/92</f>
        <v>240081.52173913043</v>
      </c>
    </row>
    <row r="42" spans="2:6" x14ac:dyDescent="0.4">
      <c r="C42">
        <f>C41*F39</f>
        <v>94243508.040500298</v>
      </c>
    </row>
    <row r="43" spans="2:6" x14ac:dyDescent="0.4">
      <c r="C43">
        <f>C42*0.69</f>
        <v>65028020.547945201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A009-33AC-4438-A1E7-2A10DF11118F}">
  <dimension ref="A1:M23"/>
  <sheetViews>
    <sheetView zoomScale="130" zoomScaleNormal="130" workbookViewId="0">
      <selection activeCell="E4" sqref="E4"/>
    </sheetView>
  </sheetViews>
  <sheetFormatPr defaultRowHeight="17.399999999999999" x14ac:dyDescent="0.4"/>
  <cols>
    <col min="1" max="1" width="13.19921875" bestFit="1" customWidth="1"/>
    <col min="2" max="2" width="12" bestFit="1" customWidth="1"/>
    <col min="5" max="5" width="14.19921875" bestFit="1" customWidth="1"/>
    <col min="7" max="7" width="17" bestFit="1" customWidth="1"/>
    <col min="8" max="8" width="10.5" bestFit="1" customWidth="1"/>
    <col min="11" max="11" width="12.69921875" bestFit="1" customWidth="1"/>
    <col min="13" max="13" width="10.8984375" bestFit="1" customWidth="1"/>
  </cols>
  <sheetData>
    <row r="1" spans="1:13" x14ac:dyDescent="0.4">
      <c r="A1" t="s">
        <v>2185</v>
      </c>
      <c r="B1" t="s">
        <v>1997</v>
      </c>
      <c r="D1" t="s">
        <v>2186</v>
      </c>
      <c r="E1" t="s">
        <v>1997</v>
      </c>
      <c r="G1" s="111" t="s">
        <v>2007</v>
      </c>
      <c r="K1" t="s">
        <v>1998</v>
      </c>
    </row>
    <row r="2" spans="1:13" x14ac:dyDescent="0.4">
      <c r="A2" t="s">
        <v>1987</v>
      </c>
      <c r="B2" s="17">
        <f>SUM(B3:B13)</f>
        <v>929857500</v>
      </c>
      <c r="D2" t="s">
        <v>1988</v>
      </c>
      <c r="E2" s="17">
        <f>SUM(E3:E13)</f>
        <v>-1452642000</v>
      </c>
      <c r="G2" t="s">
        <v>1979</v>
      </c>
      <c r="H2" s="17">
        <f>SUM(H3:H15)</f>
        <v>-4450000</v>
      </c>
      <c r="J2" t="s">
        <v>1989</v>
      </c>
      <c r="K2" s="17">
        <f>SUM(K3:K15)</f>
        <v>573591460</v>
      </c>
      <c r="M2" s="17">
        <f>SUM(K2,H2,E2,B2)</f>
        <v>46356960</v>
      </c>
    </row>
    <row r="3" spans="1:13" x14ac:dyDescent="0.4">
      <c r="A3" t="s">
        <v>929</v>
      </c>
      <c r="B3" s="113">
        <v>935000000</v>
      </c>
      <c r="C3" s="17"/>
      <c r="D3" t="s">
        <v>929</v>
      </c>
      <c r="E3" s="113">
        <v>-1395000000</v>
      </c>
      <c r="F3" s="17"/>
      <c r="G3" t="s">
        <v>1970</v>
      </c>
      <c r="H3" s="113">
        <f>-4000000</f>
        <v>-4000000</v>
      </c>
      <c r="I3" s="17"/>
      <c r="J3" t="s">
        <v>1995</v>
      </c>
      <c r="K3" s="113">
        <v>470000000</v>
      </c>
    </row>
    <row r="4" spans="1:13" x14ac:dyDescent="0.4">
      <c r="A4" t="s">
        <v>2204</v>
      </c>
      <c r="B4" s="17">
        <f>(B3*0.005)*-1.1</f>
        <v>-5142500</v>
      </c>
      <c r="C4" s="17"/>
      <c r="D4" t="s">
        <v>2204</v>
      </c>
      <c r="E4" s="17">
        <f>(E3*0.006)*1.1</f>
        <v>-9207000</v>
      </c>
      <c r="F4" s="17"/>
      <c r="G4" t="s">
        <v>1983</v>
      </c>
      <c r="H4" s="17">
        <f>-100000-100000</f>
        <v>-200000</v>
      </c>
      <c r="I4" s="17"/>
      <c r="J4" t="s">
        <v>1994</v>
      </c>
      <c r="K4" s="17">
        <v>-150000000</v>
      </c>
    </row>
    <row r="5" spans="1:13" x14ac:dyDescent="0.4">
      <c r="A5" t="s">
        <v>2001</v>
      </c>
      <c r="B5" s="113">
        <v>0</v>
      </c>
      <c r="C5" s="17"/>
      <c r="D5" t="s">
        <v>1969</v>
      </c>
      <c r="E5" s="17">
        <f>(E3*0.033)</f>
        <v>-46035000</v>
      </c>
      <c r="F5" s="17"/>
      <c r="G5" t="s">
        <v>1980</v>
      </c>
      <c r="H5" s="113">
        <v>0</v>
      </c>
      <c r="I5" s="17"/>
      <c r="J5" t="s">
        <v>1990</v>
      </c>
      <c r="K5" s="17">
        <f>8300000-1450000</f>
        <v>6850000</v>
      </c>
    </row>
    <row r="6" spans="1:13" x14ac:dyDescent="0.4">
      <c r="A6" t="s">
        <v>1999</v>
      </c>
      <c r="B6" s="113">
        <v>0</v>
      </c>
      <c r="C6" s="17"/>
      <c r="D6" t="s">
        <v>1981</v>
      </c>
      <c r="E6" s="113">
        <v>-400000</v>
      </c>
      <c r="F6" s="17"/>
      <c r="G6" t="s">
        <v>1984</v>
      </c>
      <c r="H6" s="113">
        <v>0</v>
      </c>
      <c r="I6" s="17"/>
      <c r="J6" t="s">
        <v>1991</v>
      </c>
      <c r="K6" s="17">
        <v>28150000</v>
      </c>
    </row>
    <row r="7" spans="1:13" x14ac:dyDescent="0.4">
      <c r="B7" s="17"/>
      <c r="C7" s="17"/>
      <c r="D7" t="s">
        <v>1982</v>
      </c>
      <c r="E7" s="113">
        <v>-2000000</v>
      </c>
      <c r="F7" s="17"/>
      <c r="G7" t="s">
        <v>2000</v>
      </c>
      <c r="H7" s="113">
        <v>-200000</v>
      </c>
      <c r="I7" s="17"/>
      <c r="J7" t="s">
        <v>1992</v>
      </c>
      <c r="K7" s="17">
        <v>46790000</v>
      </c>
    </row>
    <row r="8" spans="1:13" x14ac:dyDescent="0.4">
      <c r="A8" t="s">
        <v>2004</v>
      </c>
      <c r="B8" s="17">
        <v>0</v>
      </c>
      <c r="C8" s="17"/>
      <c r="D8" t="s">
        <v>1986</v>
      </c>
      <c r="E8" s="113">
        <v>0</v>
      </c>
      <c r="F8" s="17"/>
      <c r="G8" t="s">
        <v>2002</v>
      </c>
      <c r="H8" s="113">
        <v>-50000</v>
      </c>
      <c r="I8" s="17"/>
      <c r="J8" t="s">
        <v>1956</v>
      </c>
      <c r="K8" s="17">
        <v>81930000</v>
      </c>
    </row>
    <row r="9" spans="1:13" x14ac:dyDescent="0.4">
      <c r="A9" t="s">
        <v>2005</v>
      </c>
      <c r="B9" s="17">
        <v>0</v>
      </c>
      <c r="C9" s="17"/>
      <c r="E9" s="17"/>
      <c r="F9" s="17"/>
      <c r="G9" t="s">
        <v>1985</v>
      </c>
      <c r="H9" s="17">
        <v>0</v>
      </c>
      <c r="I9" s="17"/>
      <c r="J9" t="s">
        <v>1957</v>
      </c>
      <c r="K9" s="17">
        <v>3640000</v>
      </c>
    </row>
    <row r="10" spans="1:13" x14ac:dyDescent="0.4">
      <c r="A10" t="s">
        <v>2006</v>
      </c>
      <c r="B10" s="17">
        <v>0</v>
      </c>
      <c r="E10" s="17"/>
      <c r="F10" s="17"/>
      <c r="G10" t="s">
        <v>2187</v>
      </c>
      <c r="H10" s="17"/>
      <c r="I10" s="17"/>
      <c r="J10" t="s">
        <v>1993</v>
      </c>
      <c r="K10" s="113">
        <v>22000000</v>
      </c>
    </row>
    <row r="11" spans="1:13" x14ac:dyDescent="0.4">
      <c r="J11" t="s">
        <v>1958</v>
      </c>
      <c r="K11" s="113">
        <v>62000000</v>
      </c>
      <c r="L11" t="s">
        <v>2189</v>
      </c>
    </row>
    <row r="12" spans="1:13" x14ac:dyDescent="0.4">
      <c r="J12" t="s">
        <v>2188</v>
      </c>
      <c r="K12" s="113">
        <f>24500*1.1*8*0.69*L12</f>
        <v>2231460</v>
      </c>
      <c r="L12">
        <v>15</v>
      </c>
    </row>
    <row r="13" spans="1:13" x14ac:dyDescent="0.4">
      <c r="K13" s="113"/>
    </row>
    <row r="14" spans="1:13" x14ac:dyDescent="0.4">
      <c r="K14" s="17"/>
    </row>
    <row r="15" spans="1:13" x14ac:dyDescent="0.4">
      <c r="K15" s="17"/>
    </row>
    <row r="16" spans="1:13" x14ac:dyDescent="0.4">
      <c r="G16" t="s">
        <v>1979</v>
      </c>
      <c r="H16" s="17">
        <f>SUM(H17:H29)</f>
        <v>-5980000</v>
      </c>
    </row>
    <row r="17" spans="7:9" x14ac:dyDescent="0.4">
      <c r="G17" t="s">
        <v>1970</v>
      </c>
      <c r="H17" s="113">
        <f>-2500000*2</f>
        <v>-5000000</v>
      </c>
    </row>
    <row r="18" spans="7:9" x14ac:dyDescent="0.4">
      <c r="G18" t="s">
        <v>1983</v>
      </c>
      <c r="H18" s="17">
        <f>-100000-200000</f>
        <v>-300000</v>
      </c>
    </row>
    <row r="19" spans="7:9" x14ac:dyDescent="0.4">
      <c r="G19" t="s">
        <v>1980</v>
      </c>
      <c r="H19" s="113">
        <f>-100000*2</f>
        <v>-200000</v>
      </c>
    </row>
    <row r="20" spans="7:9" x14ac:dyDescent="0.4">
      <c r="G20" t="s">
        <v>2008</v>
      </c>
      <c r="H20" s="113">
        <f>-130000-100000</f>
        <v>-230000</v>
      </c>
      <c r="I20" t="s">
        <v>1996</v>
      </c>
    </row>
    <row r="21" spans="7:9" x14ac:dyDescent="0.4">
      <c r="G21" t="s">
        <v>2009</v>
      </c>
      <c r="H21" s="113">
        <v>-200000</v>
      </c>
      <c r="I21" t="s">
        <v>1996</v>
      </c>
    </row>
    <row r="22" spans="7:9" x14ac:dyDescent="0.4">
      <c r="G22" t="s">
        <v>2010</v>
      </c>
      <c r="H22" s="113">
        <v>-50000</v>
      </c>
      <c r="I22" t="s">
        <v>1996</v>
      </c>
    </row>
    <row r="23" spans="7:9" x14ac:dyDescent="0.4">
      <c r="G23" t="s">
        <v>1985</v>
      </c>
      <c r="H23" s="17" t="s">
        <v>2003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8464-26D5-4960-8CC5-60242CD1E4D9}">
  <dimension ref="A1:AN42"/>
  <sheetViews>
    <sheetView tabSelected="1" zoomScale="128" zoomScaleNormal="150"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K1" sqref="AK1"/>
    </sheetView>
  </sheetViews>
  <sheetFormatPr defaultRowHeight="17.399999999999999" x14ac:dyDescent="0.4"/>
  <cols>
    <col min="1" max="1" width="13.69921875" bestFit="1" customWidth="1"/>
    <col min="2" max="2" width="12.69921875" customWidth="1"/>
    <col min="3" max="4" width="14.19921875" customWidth="1"/>
    <col min="5" max="5" width="8.796875" customWidth="1"/>
    <col min="6" max="6" width="1.8984375" customWidth="1"/>
    <col min="7" max="7" width="12.69921875" customWidth="1"/>
    <col min="8" max="8" width="12" customWidth="1"/>
    <col min="9" max="9" width="12.8984375" customWidth="1"/>
    <col min="10" max="10" width="15.796875" customWidth="1"/>
    <col min="11" max="11" width="1.8984375" customWidth="1"/>
    <col min="12" max="12" width="12.69921875" customWidth="1"/>
    <col min="13" max="13" width="12" customWidth="1"/>
    <col min="14" max="14" width="12.8984375" customWidth="1"/>
    <col min="15" max="15" width="15.796875" customWidth="1"/>
    <col min="16" max="16" width="1.8984375" customWidth="1"/>
    <col min="17" max="17" width="12.69921875" customWidth="1"/>
    <col min="18" max="19" width="14.19921875" customWidth="1"/>
    <col min="20" max="20" width="17.796875" customWidth="1"/>
    <col min="21" max="21" width="1.8984375" customWidth="1"/>
    <col min="22" max="23" width="12.69921875" customWidth="1"/>
    <col min="24" max="24" width="12.8984375" customWidth="1"/>
    <col min="25" max="25" width="17.796875" customWidth="1"/>
    <col min="26" max="26" width="1.8984375" customWidth="1"/>
    <col min="27" max="27" width="12.69921875" bestFit="1" customWidth="1"/>
    <col min="28" max="29" width="14.19921875" bestFit="1" customWidth="1"/>
    <col min="30" max="30" width="30.296875" bestFit="1" customWidth="1"/>
    <col min="31" max="31" width="1.8984375" customWidth="1"/>
    <col min="32" max="32" width="12.69921875" bestFit="1" customWidth="1"/>
    <col min="33" max="34" width="14.19921875" bestFit="1" customWidth="1"/>
    <col min="35" max="35" width="30.296875" bestFit="1" customWidth="1"/>
    <col min="36" max="36" width="1.8984375" customWidth="1"/>
    <col min="37" max="37" width="12.69921875" bestFit="1" customWidth="1"/>
    <col min="38" max="39" width="14.19921875" bestFit="1" customWidth="1"/>
    <col min="40" max="40" width="30.296875" bestFit="1" customWidth="1"/>
  </cols>
  <sheetData>
    <row r="1" spans="1:40" x14ac:dyDescent="0.4">
      <c r="B1" s="120">
        <v>46026</v>
      </c>
      <c r="C1" s="121"/>
      <c r="D1" s="121"/>
      <c r="E1" s="121" t="s">
        <v>2220</v>
      </c>
      <c r="F1" s="121"/>
      <c r="G1" s="120">
        <v>46027</v>
      </c>
      <c r="H1" s="121"/>
      <c r="I1" s="121"/>
      <c r="J1" s="121" t="s">
        <v>2221</v>
      </c>
      <c r="K1" s="121"/>
      <c r="L1" s="120">
        <v>46030</v>
      </c>
      <c r="M1" s="121"/>
      <c r="N1" s="121"/>
      <c r="O1" s="121" t="s">
        <v>2219</v>
      </c>
      <c r="P1" s="121"/>
      <c r="Q1" s="120">
        <v>46036</v>
      </c>
      <c r="R1" s="127"/>
      <c r="S1" s="121"/>
      <c r="T1" s="121" t="s">
        <v>2229</v>
      </c>
      <c r="U1" s="121"/>
      <c r="V1" s="120">
        <v>46045</v>
      </c>
      <c r="W1" s="121"/>
      <c r="X1" s="121"/>
      <c r="Y1" s="121" t="s">
        <v>2217</v>
      </c>
      <c r="Z1" s="121"/>
      <c r="AA1" s="120">
        <v>46046</v>
      </c>
      <c r="AB1" s="121"/>
      <c r="AC1" s="121"/>
      <c r="AD1" s="121" t="s">
        <v>2229</v>
      </c>
      <c r="AE1" s="121"/>
      <c r="AF1" s="120">
        <v>46050</v>
      </c>
      <c r="AG1" s="121"/>
      <c r="AH1" s="121"/>
      <c r="AI1" s="121" t="s">
        <v>2229</v>
      </c>
      <c r="AJ1" s="121"/>
      <c r="AK1" s="120">
        <v>46081</v>
      </c>
      <c r="AL1" s="121"/>
      <c r="AM1" s="121"/>
      <c r="AN1" s="121" t="s">
        <v>2229</v>
      </c>
    </row>
    <row r="2" spans="1:40" x14ac:dyDescent="0.4">
      <c r="A2" s="4"/>
      <c r="B2" s="122" t="s">
        <v>2191</v>
      </c>
      <c r="C2" s="6" t="s">
        <v>2190</v>
      </c>
      <c r="D2" s="6" t="s">
        <v>2192</v>
      </c>
      <c r="E2" s="6" t="s">
        <v>952</v>
      </c>
      <c r="F2" s="6"/>
      <c r="G2" s="122" t="s">
        <v>2191</v>
      </c>
      <c r="H2" s="6" t="s">
        <v>2190</v>
      </c>
      <c r="I2" s="6" t="s">
        <v>2192</v>
      </c>
      <c r="J2" s="6" t="s">
        <v>952</v>
      </c>
      <c r="K2" s="6"/>
      <c r="L2" s="122" t="s">
        <v>2191</v>
      </c>
      <c r="M2" s="6" t="s">
        <v>2190</v>
      </c>
      <c r="N2" s="6" t="s">
        <v>2192</v>
      </c>
      <c r="O2" s="6" t="s">
        <v>952</v>
      </c>
      <c r="P2" s="6"/>
      <c r="Q2" s="122" t="s">
        <v>2191</v>
      </c>
      <c r="R2" s="6" t="s">
        <v>2230</v>
      </c>
      <c r="S2" s="6" t="s">
        <v>2192</v>
      </c>
      <c r="T2" s="6" t="s">
        <v>952</v>
      </c>
      <c r="U2" s="6"/>
      <c r="V2" s="122" t="s">
        <v>2191</v>
      </c>
      <c r="W2" s="6" t="s">
        <v>2190</v>
      </c>
      <c r="X2" s="6" t="s">
        <v>2192</v>
      </c>
      <c r="Y2" s="6" t="s">
        <v>952</v>
      </c>
      <c r="Z2" s="6"/>
      <c r="AA2" s="122" t="s">
        <v>2191</v>
      </c>
      <c r="AB2" s="6" t="s">
        <v>977</v>
      </c>
      <c r="AC2" s="6" t="s">
        <v>2192</v>
      </c>
      <c r="AD2" s="6" t="s">
        <v>952</v>
      </c>
      <c r="AE2" s="6"/>
      <c r="AF2" s="122" t="s">
        <v>2191</v>
      </c>
      <c r="AG2" s="6" t="s">
        <v>977</v>
      </c>
      <c r="AH2" s="6" t="s">
        <v>2192</v>
      </c>
      <c r="AI2" s="6" t="s">
        <v>952</v>
      </c>
      <c r="AJ2" s="6"/>
      <c r="AK2" s="122" t="s">
        <v>2191</v>
      </c>
      <c r="AL2" s="6" t="s">
        <v>977</v>
      </c>
      <c r="AM2" s="6" t="s">
        <v>2192</v>
      </c>
      <c r="AN2" s="6" t="s">
        <v>952</v>
      </c>
    </row>
    <row r="3" spans="1:40" x14ac:dyDescent="0.4">
      <c r="A3" s="5" t="s">
        <v>2196</v>
      </c>
      <c r="B3" s="20">
        <f>SUM(B4:B12)</f>
        <v>242261557</v>
      </c>
      <c r="C3" s="20"/>
      <c r="D3" s="20">
        <f>SUM(D4:D12)</f>
        <v>242261557</v>
      </c>
      <c r="E3" s="5"/>
      <c r="F3" s="5"/>
      <c r="G3" s="20">
        <f>SUM(G4:G12)</f>
        <v>141261557</v>
      </c>
      <c r="H3" s="20"/>
      <c r="I3" s="20">
        <f>SUM(I4:I12)</f>
        <v>141261557</v>
      </c>
      <c r="J3" s="5"/>
      <c r="K3" s="5"/>
      <c r="L3" s="20">
        <f>SUM(L4:L12)</f>
        <v>141261557</v>
      </c>
      <c r="M3" s="20"/>
      <c r="N3" s="20">
        <f>SUM(N4:N12)</f>
        <v>141261557</v>
      </c>
      <c r="O3" s="5"/>
      <c r="P3" s="5"/>
      <c r="Q3" s="20">
        <f>SUM(Q4:Q12)</f>
        <v>134340000</v>
      </c>
      <c r="R3" s="20">
        <f>SUM(R4:R38)</f>
        <v>-399672000</v>
      </c>
      <c r="S3" s="20">
        <f>SUM(Q3:R3)</f>
        <v>-265332000</v>
      </c>
      <c r="T3" s="5"/>
      <c r="U3" s="5"/>
      <c r="V3" s="20">
        <f>SUM(V4:V12)</f>
        <v>130186580</v>
      </c>
      <c r="W3" s="20"/>
      <c r="X3" s="20">
        <f>SUM(X4:X12)</f>
        <v>11479580</v>
      </c>
      <c r="Y3" s="5"/>
      <c r="Z3" s="5"/>
      <c r="AA3" s="20">
        <f>SUM(AA4:AA51)</f>
        <v>148130000</v>
      </c>
      <c r="AB3" s="20">
        <f>SUM(AB4:AB51)</f>
        <v>-152706999</v>
      </c>
      <c r="AC3" s="20">
        <f>SUM(AA3:AB3)</f>
        <v>-4576999</v>
      </c>
      <c r="AD3" s="5"/>
      <c r="AE3" s="5"/>
      <c r="AF3" s="20">
        <f>SUM(AF4:AF51)</f>
        <v>18140000</v>
      </c>
      <c r="AG3" s="20">
        <f>SUM(AG4:AG51)</f>
        <v>-22888049</v>
      </c>
      <c r="AH3" s="20">
        <f>SUM(AF3:AG3)</f>
        <v>-4748049</v>
      </c>
      <c r="AI3" s="5"/>
      <c r="AJ3" s="5"/>
      <c r="AK3" s="20">
        <f>SUM(AK4:AK51)</f>
        <v>203980000</v>
      </c>
      <c r="AL3" s="20">
        <f>SUM(AL4:AL51)</f>
        <v>-192838050</v>
      </c>
      <c r="AM3" s="20">
        <f>SUM(AK3:AL3)</f>
        <v>11141950</v>
      </c>
      <c r="AN3" s="5"/>
    </row>
    <row r="4" spans="1:40" x14ac:dyDescent="0.4">
      <c r="A4" s="4" t="s">
        <v>1990</v>
      </c>
      <c r="B4" s="18">
        <v>44509445</v>
      </c>
      <c r="C4" s="18"/>
      <c r="D4" s="18">
        <f>SUM(B4:C4)</f>
        <v>44509445</v>
      </c>
      <c r="E4" s="4"/>
      <c r="F4" s="4"/>
      <c r="G4" s="18">
        <v>44509445</v>
      </c>
      <c r="H4" s="123">
        <f>H6*-1</f>
        <v>10677135</v>
      </c>
      <c r="I4" s="18">
        <f>SUM(G4:H4)</f>
        <v>55186580</v>
      </c>
      <c r="J4" s="4" t="s">
        <v>2213</v>
      </c>
      <c r="K4" s="4"/>
      <c r="L4" s="123">
        <f>44509445+10677135</f>
        <v>55186580</v>
      </c>
      <c r="M4" s="123">
        <f>M7*-1</f>
        <v>75000000</v>
      </c>
      <c r="N4" s="18">
        <f>SUM(L4:M4)</f>
        <v>130186580</v>
      </c>
      <c r="O4" s="4" t="s">
        <v>2218</v>
      </c>
      <c r="P4" s="4"/>
      <c r="Q4" s="18">
        <v>117340000</v>
      </c>
      <c r="R4" s="123"/>
      <c r="S4" s="18">
        <f>SUM(Q4:R4)</f>
        <v>117340000</v>
      </c>
      <c r="T4" s="4" t="s">
        <v>2222</v>
      </c>
      <c r="U4" s="4"/>
      <c r="V4" s="123">
        <f>N4</f>
        <v>130186580</v>
      </c>
      <c r="W4" s="123">
        <f>SUM(W24,W25)</f>
        <v>-118707000</v>
      </c>
      <c r="X4" s="18">
        <f>SUM(V4:W4)</f>
        <v>11479580</v>
      </c>
      <c r="Y4" s="4" t="s">
        <v>2222</v>
      </c>
      <c r="Z4" s="4"/>
      <c r="AA4" s="126">
        <v>148130000</v>
      </c>
      <c r="AB4" s="126">
        <v>0</v>
      </c>
      <c r="AC4" s="18">
        <f>SUM(AA4:AB4)</f>
        <v>148130000</v>
      </c>
      <c r="AD4" s="4"/>
      <c r="AE4" s="4"/>
      <c r="AF4" s="126">
        <v>18140000</v>
      </c>
      <c r="AG4" s="126">
        <v>-4000000</v>
      </c>
      <c r="AH4" s="18">
        <f>SUM(AF4:AG4)</f>
        <v>14140000</v>
      </c>
      <c r="AI4" s="4"/>
      <c r="AJ4" s="4"/>
      <c r="AK4" s="126">
        <v>33980000</v>
      </c>
      <c r="AL4" s="126">
        <v>-4000000</v>
      </c>
      <c r="AM4" s="18">
        <f>SUM(AK4:AL4)</f>
        <v>29980000</v>
      </c>
      <c r="AN4" s="4"/>
    </row>
    <row r="5" spans="1:40" x14ac:dyDescent="0.4">
      <c r="A5" s="4" t="s">
        <v>1991</v>
      </c>
      <c r="B5" s="18">
        <v>0</v>
      </c>
      <c r="C5" s="18"/>
      <c r="D5" s="18">
        <f t="shared" ref="D5:D12" si="0">SUM(B5:C5)</f>
        <v>0</v>
      </c>
      <c r="E5" s="4"/>
      <c r="F5" s="4"/>
      <c r="G5" s="18">
        <v>0</v>
      </c>
      <c r="H5" s="18"/>
      <c r="I5" s="18">
        <f t="shared" ref="I5:I12" si="1">SUM(G5:H5)</f>
        <v>0</v>
      </c>
      <c r="J5" s="4"/>
      <c r="K5" s="4"/>
      <c r="L5" s="18">
        <v>0</v>
      </c>
      <c r="M5" s="18"/>
      <c r="N5" s="18">
        <f t="shared" ref="N5:N12" si="2">SUM(L5:M5)</f>
        <v>0</v>
      </c>
      <c r="O5" s="4"/>
      <c r="P5" s="4"/>
      <c r="Q5" s="18">
        <v>0</v>
      </c>
      <c r="R5" s="18"/>
      <c r="S5" s="18">
        <f t="shared" ref="S5:S12" si="3">SUM(Q5:R5)</f>
        <v>0</v>
      </c>
      <c r="T5" s="4"/>
      <c r="U5" s="4"/>
      <c r="V5" s="18">
        <v>0</v>
      </c>
      <c r="W5" s="18"/>
      <c r="X5" s="18">
        <f t="shared" ref="X5:X12" si="4">SUM(V5:W5)</f>
        <v>0</v>
      </c>
      <c r="Y5" s="4"/>
      <c r="Z5" s="4"/>
      <c r="AA5" s="126">
        <v>0</v>
      </c>
      <c r="AB5" s="126">
        <v>0</v>
      </c>
      <c r="AC5" s="18">
        <f t="shared" ref="AC5:AC12" si="5">SUM(AA5:AB5)</f>
        <v>0</v>
      </c>
      <c r="AD5" s="4"/>
      <c r="AE5" s="4"/>
      <c r="AF5" s="126">
        <v>0</v>
      </c>
      <c r="AG5" s="126">
        <v>0</v>
      </c>
      <c r="AH5" s="18">
        <f t="shared" ref="AH5:AH12" si="6">SUM(AF5:AG5)</f>
        <v>0</v>
      </c>
      <c r="AI5" s="4"/>
      <c r="AJ5" s="4"/>
      <c r="AK5" s="126">
        <v>170000000</v>
      </c>
      <c r="AL5" s="126">
        <v>0</v>
      </c>
      <c r="AM5" s="18">
        <f t="shared" ref="AM5:AM12" si="7">SUM(AK5:AL5)</f>
        <v>170000000</v>
      </c>
      <c r="AN5" s="4"/>
    </row>
    <row r="6" spans="1:40" x14ac:dyDescent="0.4">
      <c r="A6" s="4" t="s">
        <v>1992</v>
      </c>
      <c r="B6" s="18">
        <f>10581150+95985</f>
        <v>10677135</v>
      </c>
      <c r="C6" s="18"/>
      <c r="D6" s="18">
        <f t="shared" si="0"/>
        <v>10677135</v>
      </c>
      <c r="E6" s="4" t="s">
        <v>2194</v>
      </c>
      <c r="F6" s="4"/>
      <c r="G6" s="123">
        <f>10581150+95985</f>
        <v>10677135</v>
      </c>
      <c r="H6" s="123">
        <f>G6*-1</f>
        <v>-10677135</v>
      </c>
      <c r="I6" s="18">
        <f t="shared" si="1"/>
        <v>0</v>
      </c>
      <c r="J6" s="4"/>
      <c r="K6" s="4"/>
      <c r="L6" s="18">
        <v>0</v>
      </c>
      <c r="M6" s="18"/>
      <c r="N6" s="18">
        <f t="shared" si="2"/>
        <v>0</v>
      </c>
      <c r="O6" s="4"/>
      <c r="P6" s="4"/>
      <c r="Q6" s="18">
        <v>0</v>
      </c>
      <c r="R6" s="18"/>
      <c r="S6" s="18">
        <f t="shared" si="3"/>
        <v>0</v>
      </c>
      <c r="T6" s="4"/>
      <c r="U6" s="4"/>
      <c r="V6" s="18">
        <v>0</v>
      </c>
      <c r="W6" s="18"/>
      <c r="X6" s="18">
        <f t="shared" si="4"/>
        <v>0</v>
      </c>
      <c r="Y6" s="4"/>
      <c r="Z6" s="4"/>
      <c r="AA6" s="126">
        <v>0</v>
      </c>
      <c r="AB6" s="126">
        <v>0</v>
      </c>
      <c r="AC6" s="18">
        <f t="shared" si="5"/>
        <v>0</v>
      </c>
      <c r="AD6" s="4"/>
      <c r="AE6" s="4"/>
      <c r="AF6" s="126">
        <v>0</v>
      </c>
      <c r="AG6" s="126">
        <v>0</v>
      </c>
      <c r="AH6" s="18">
        <f t="shared" si="6"/>
        <v>0</v>
      </c>
      <c r="AI6" s="4"/>
      <c r="AJ6" s="4"/>
      <c r="AK6" s="126">
        <v>0</v>
      </c>
      <c r="AL6" s="126">
        <v>0</v>
      </c>
      <c r="AM6" s="18">
        <f t="shared" si="7"/>
        <v>0</v>
      </c>
      <c r="AN6" s="4"/>
    </row>
    <row r="7" spans="1:40" x14ac:dyDescent="0.4">
      <c r="A7" s="4" t="s">
        <v>1956</v>
      </c>
      <c r="B7" s="18">
        <v>82310744</v>
      </c>
      <c r="C7" s="18"/>
      <c r="D7" s="18">
        <f t="shared" si="0"/>
        <v>82310744</v>
      </c>
      <c r="E7" s="4"/>
      <c r="F7" s="4"/>
      <c r="G7" s="123">
        <v>82310744</v>
      </c>
      <c r="H7" s="123"/>
      <c r="I7" s="18">
        <f t="shared" si="1"/>
        <v>82310744</v>
      </c>
      <c r="J7" s="4"/>
      <c r="K7" s="4"/>
      <c r="L7" s="123">
        <v>82310744</v>
      </c>
      <c r="M7" s="123">
        <v>-75000000</v>
      </c>
      <c r="N7" s="18">
        <f t="shared" si="2"/>
        <v>7310744</v>
      </c>
      <c r="O7" s="4"/>
      <c r="P7" s="4"/>
      <c r="Q7" s="123">
        <v>0</v>
      </c>
      <c r="R7" s="123"/>
      <c r="S7" s="18">
        <f t="shared" si="3"/>
        <v>0</v>
      </c>
      <c r="T7" s="4"/>
      <c r="U7" s="4"/>
      <c r="V7" s="123">
        <v>0</v>
      </c>
      <c r="W7" s="123"/>
      <c r="X7" s="18">
        <f t="shared" si="4"/>
        <v>0</v>
      </c>
      <c r="Y7" s="4"/>
      <c r="Z7" s="4"/>
      <c r="AA7" s="126">
        <v>0</v>
      </c>
      <c r="AB7" s="126">
        <v>0</v>
      </c>
      <c r="AC7" s="18">
        <f t="shared" si="5"/>
        <v>0</v>
      </c>
      <c r="AD7" s="4"/>
      <c r="AE7" s="4"/>
      <c r="AF7" s="126">
        <v>0</v>
      </c>
      <c r="AG7" s="126">
        <v>0</v>
      </c>
      <c r="AH7" s="18">
        <f t="shared" si="6"/>
        <v>0</v>
      </c>
      <c r="AI7" s="4"/>
      <c r="AJ7" s="4"/>
      <c r="AK7" s="126">
        <v>0</v>
      </c>
      <c r="AL7" s="126">
        <v>0</v>
      </c>
      <c r="AM7" s="18">
        <f t="shared" si="7"/>
        <v>0</v>
      </c>
      <c r="AN7" s="4"/>
    </row>
    <row r="8" spans="1:40" x14ac:dyDescent="0.4">
      <c r="A8" s="4" t="s">
        <v>1957</v>
      </c>
      <c r="B8" s="18">
        <v>3764233</v>
      </c>
      <c r="C8" s="18"/>
      <c r="D8" s="18">
        <f t="shared" si="0"/>
        <v>3764233</v>
      </c>
      <c r="E8" s="4"/>
      <c r="F8" s="4"/>
      <c r="G8" s="123">
        <v>3764233</v>
      </c>
      <c r="H8" s="18"/>
      <c r="I8" s="18">
        <f t="shared" si="1"/>
        <v>3764233</v>
      </c>
      <c r="J8" s="4"/>
      <c r="K8" s="4"/>
      <c r="L8" s="123">
        <v>3764233</v>
      </c>
      <c r="M8" s="18"/>
      <c r="N8" s="18">
        <f t="shared" si="2"/>
        <v>3764233</v>
      </c>
      <c r="O8" s="4"/>
      <c r="P8" s="4"/>
      <c r="Q8" s="123">
        <v>0</v>
      </c>
      <c r="R8" s="18"/>
      <c r="S8" s="18">
        <f t="shared" si="3"/>
        <v>0</v>
      </c>
      <c r="T8" s="4"/>
      <c r="U8" s="4"/>
      <c r="V8" s="123">
        <v>0</v>
      </c>
      <c r="W8" s="18"/>
      <c r="X8" s="18">
        <f t="shared" si="4"/>
        <v>0</v>
      </c>
      <c r="Y8" s="4"/>
      <c r="Z8" s="4"/>
      <c r="AA8" s="126">
        <v>0</v>
      </c>
      <c r="AB8" s="126">
        <v>0</v>
      </c>
      <c r="AC8" s="18">
        <f t="shared" si="5"/>
        <v>0</v>
      </c>
      <c r="AD8" s="4"/>
      <c r="AE8" s="4"/>
      <c r="AF8" s="126">
        <v>0</v>
      </c>
      <c r="AG8" s="126">
        <v>0</v>
      </c>
      <c r="AH8" s="18">
        <f t="shared" si="6"/>
        <v>0</v>
      </c>
      <c r="AI8" s="4"/>
      <c r="AJ8" s="4"/>
      <c r="AK8" s="126">
        <v>0</v>
      </c>
      <c r="AL8" s="126">
        <v>0</v>
      </c>
      <c r="AM8" s="18">
        <f t="shared" si="7"/>
        <v>0</v>
      </c>
      <c r="AN8" s="4"/>
    </row>
    <row r="9" spans="1:40" x14ac:dyDescent="0.4">
      <c r="A9" s="4" t="s">
        <v>1993</v>
      </c>
      <c r="B9" s="123">
        <v>22000000</v>
      </c>
      <c r="C9" s="18"/>
      <c r="D9" s="18">
        <f t="shared" si="0"/>
        <v>22000000</v>
      </c>
      <c r="E9" s="4"/>
      <c r="F9" s="4"/>
      <c r="G9" s="126">
        <v>0</v>
      </c>
      <c r="H9" s="18"/>
      <c r="I9" s="18">
        <f t="shared" si="1"/>
        <v>0</v>
      </c>
      <c r="J9" s="4"/>
      <c r="K9" s="4"/>
      <c r="L9" s="126">
        <v>0</v>
      </c>
      <c r="M9" s="18"/>
      <c r="N9" s="18">
        <f t="shared" si="2"/>
        <v>0</v>
      </c>
      <c r="O9" s="4"/>
      <c r="P9" s="4"/>
      <c r="Q9" s="126">
        <v>0</v>
      </c>
      <c r="R9" s="18">
        <v>20000000</v>
      </c>
      <c r="S9" s="18">
        <f t="shared" si="3"/>
        <v>20000000</v>
      </c>
      <c r="T9" s="4"/>
      <c r="U9" s="4"/>
      <c r="V9" s="126">
        <v>0</v>
      </c>
      <c r="W9" s="18"/>
      <c r="X9" s="18">
        <f t="shared" si="4"/>
        <v>0</v>
      </c>
      <c r="Y9" s="4"/>
      <c r="Z9" s="4"/>
      <c r="AA9" s="126">
        <v>0</v>
      </c>
      <c r="AB9" s="126">
        <v>0</v>
      </c>
      <c r="AC9" s="18">
        <f t="shared" si="5"/>
        <v>0</v>
      </c>
      <c r="AD9" s="4"/>
      <c r="AE9" s="4"/>
      <c r="AF9" s="126">
        <v>0</v>
      </c>
      <c r="AG9" s="126">
        <v>0</v>
      </c>
      <c r="AH9" s="18">
        <f t="shared" si="6"/>
        <v>0</v>
      </c>
      <c r="AI9" s="4"/>
      <c r="AJ9" s="4"/>
      <c r="AK9" s="126">
        <v>0</v>
      </c>
      <c r="AL9" s="126">
        <v>0</v>
      </c>
      <c r="AM9" s="18">
        <f t="shared" si="7"/>
        <v>0</v>
      </c>
      <c r="AN9" s="4"/>
    </row>
    <row r="10" spans="1:40" x14ac:dyDescent="0.4">
      <c r="A10" s="4" t="s">
        <v>1958</v>
      </c>
      <c r="B10" s="123">
        <v>62000000</v>
      </c>
      <c r="C10" s="18"/>
      <c r="D10" s="18">
        <f t="shared" si="0"/>
        <v>62000000</v>
      </c>
      <c r="E10" s="4"/>
      <c r="F10" s="4"/>
      <c r="G10" s="126">
        <v>0</v>
      </c>
      <c r="H10" s="18"/>
      <c r="I10" s="18">
        <f t="shared" si="1"/>
        <v>0</v>
      </c>
      <c r="J10" s="4"/>
      <c r="K10" s="4"/>
      <c r="L10" s="126">
        <v>0</v>
      </c>
      <c r="M10" s="18"/>
      <c r="N10" s="18">
        <f t="shared" si="2"/>
        <v>0</v>
      </c>
      <c r="O10" s="4"/>
      <c r="P10" s="4"/>
      <c r="Q10" s="126">
        <v>0</v>
      </c>
      <c r="R10" s="18">
        <v>65000000</v>
      </c>
      <c r="S10" s="18">
        <f t="shared" si="3"/>
        <v>65000000</v>
      </c>
      <c r="T10" s="4"/>
      <c r="U10" s="4"/>
      <c r="V10" s="126">
        <v>0</v>
      </c>
      <c r="W10" s="18"/>
      <c r="X10" s="18">
        <f t="shared" si="4"/>
        <v>0</v>
      </c>
      <c r="Y10" s="4"/>
      <c r="Z10" s="4"/>
      <c r="AA10" s="126">
        <v>0</v>
      </c>
      <c r="AB10" s="123">
        <v>1</v>
      </c>
      <c r="AC10" s="18">
        <f t="shared" si="5"/>
        <v>1</v>
      </c>
      <c r="AD10" s="4" t="s">
        <v>2233</v>
      </c>
      <c r="AE10" s="4"/>
      <c r="AF10" s="126">
        <v>0</v>
      </c>
      <c r="AG10" s="123">
        <v>1</v>
      </c>
      <c r="AH10" s="18">
        <f t="shared" si="6"/>
        <v>1</v>
      </c>
      <c r="AI10" s="4" t="s">
        <v>2233</v>
      </c>
      <c r="AJ10" s="4"/>
      <c r="AK10" s="126">
        <v>0</v>
      </c>
      <c r="AL10" s="123">
        <v>0</v>
      </c>
      <c r="AM10" s="18">
        <f t="shared" si="7"/>
        <v>0</v>
      </c>
      <c r="AN10" s="4" t="s">
        <v>2233</v>
      </c>
    </row>
    <row r="11" spans="1:40" x14ac:dyDescent="0.4">
      <c r="A11" s="4" t="s">
        <v>2193</v>
      </c>
      <c r="B11" s="123">
        <f>10000000-3000000</f>
        <v>7000000</v>
      </c>
      <c r="C11" s="4"/>
      <c r="D11" s="18">
        <f t="shared" si="0"/>
        <v>7000000</v>
      </c>
      <c r="E11" s="4"/>
      <c r="F11" s="4"/>
      <c r="G11" s="126">
        <v>0</v>
      </c>
      <c r="H11" s="4"/>
      <c r="I11" s="18">
        <f t="shared" si="1"/>
        <v>0</v>
      </c>
      <c r="J11" s="4"/>
      <c r="K11" s="4"/>
      <c r="L11" s="126">
        <v>0</v>
      </c>
      <c r="M11" s="4"/>
      <c r="N11" s="18">
        <f t="shared" si="2"/>
        <v>0</v>
      </c>
      <c r="O11" s="4"/>
      <c r="P11" s="4"/>
      <c r="Q11" s="126">
        <v>7000000</v>
      </c>
      <c r="R11" s="4"/>
      <c r="S11" s="18">
        <f t="shared" si="3"/>
        <v>7000000</v>
      </c>
      <c r="T11" s="4"/>
      <c r="U11" s="4"/>
      <c r="V11" s="126">
        <v>0</v>
      </c>
      <c r="W11" s="4"/>
      <c r="X11" s="18">
        <f t="shared" si="4"/>
        <v>0</v>
      </c>
      <c r="Y11" s="4"/>
      <c r="Z11" s="4"/>
      <c r="AA11" s="126">
        <v>0</v>
      </c>
      <c r="AB11" s="18">
        <v>-4000000</v>
      </c>
      <c r="AC11" s="18">
        <f t="shared" si="5"/>
        <v>-4000000</v>
      </c>
      <c r="AD11" s="4" t="s">
        <v>2231</v>
      </c>
      <c r="AE11" s="4"/>
      <c r="AF11" s="126">
        <v>0</v>
      </c>
      <c r="AG11" s="18">
        <v>-170000</v>
      </c>
      <c r="AH11" s="18">
        <f t="shared" si="6"/>
        <v>-170000</v>
      </c>
      <c r="AI11" s="4" t="s">
        <v>2235</v>
      </c>
      <c r="AJ11" s="4"/>
      <c r="AK11" s="126">
        <v>0</v>
      </c>
      <c r="AL11" s="18">
        <v>-170000</v>
      </c>
      <c r="AM11" s="18">
        <f t="shared" si="7"/>
        <v>-170000</v>
      </c>
      <c r="AN11" s="4" t="s">
        <v>2235</v>
      </c>
    </row>
    <row r="12" spans="1:40" x14ac:dyDescent="0.4">
      <c r="A12" s="4" t="s">
        <v>995</v>
      </c>
      <c r="B12" s="123">
        <v>10000000</v>
      </c>
      <c r="C12" s="4"/>
      <c r="D12" s="18">
        <f t="shared" si="0"/>
        <v>10000000</v>
      </c>
      <c r="E12" s="4"/>
      <c r="F12" s="4"/>
      <c r="G12" s="126">
        <v>0</v>
      </c>
      <c r="H12" s="4"/>
      <c r="I12" s="18">
        <f t="shared" si="1"/>
        <v>0</v>
      </c>
      <c r="J12" s="4"/>
      <c r="K12" s="4"/>
      <c r="L12" s="126">
        <v>0</v>
      </c>
      <c r="M12" s="4"/>
      <c r="N12" s="18">
        <f t="shared" si="2"/>
        <v>0</v>
      </c>
      <c r="O12" s="4"/>
      <c r="P12" s="4"/>
      <c r="Q12" s="126">
        <v>10000000</v>
      </c>
      <c r="R12" s="4"/>
      <c r="S12" s="18">
        <f t="shared" si="3"/>
        <v>10000000</v>
      </c>
      <c r="T12" s="4"/>
      <c r="U12" s="4"/>
      <c r="V12" s="126">
        <v>0</v>
      </c>
      <c r="W12" s="4"/>
      <c r="X12" s="18">
        <f t="shared" si="4"/>
        <v>0</v>
      </c>
      <c r="Y12" s="4"/>
      <c r="Z12" s="4"/>
      <c r="AA12" s="126">
        <v>0</v>
      </c>
      <c r="AB12" s="18">
        <v>0</v>
      </c>
      <c r="AC12" s="18">
        <f t="shared" si="5"/>
        <v>0</v>
      </c>
      <c r="AD12" s="4"/>
      <c r="AE12" s="4"/>
      <c r="AF12" s="126">
        <v>0</v>
      </c>
      <c r="AG12" s="18">
        <v>0</v>
      </c>
      <c r="AH12" s="18">
        <f t="shared" si="6"/>
        <v>0</v>
      </c>
      <c r="AI12" s="4"/>
      <c r="AJ12" s="4"/>
      <c r="AK12" s="126">
        <v>0</v>
      </c>
      <c r="AL12" s="18">
        <v>0</v>
      </c>
      <c r="AM12" s="18">
        <f t="shared" si="7"/>
        <v>0</v>
      </c>
      <c r="AN12" s="4"/>
    </row>
    <row r="13" spans="1:40" x14ac:dyDescent="0.4">
      <c r="A13" s="124" t="s">
        <v>2195</v>
      </c>
      <c r="B13" s="123"/>
      <c r="C13" s="18"/>
      <c r="D13" s="18"/>
      <c r="E13" s="18"/>
      <c r="F13" s="18"/>
      <c r="G13" s="123"/>
      <c r="H13" s="18"/>
      <c r="I13" s="18"/>
      <c r="J13" s="18"/>
      <c r="K13" s="18"/>
      <c r="L13" s="123"/>
      <c r="M13" s="18"/>
      <c r="N13" s="18"/>
      <c r="O13" s="18"/>
      <c r="P13" s="18"/>
      <c r="Q13" s="123"/>
      <c r="R13" s="18"/>
      <c r="S13" s="18"/>
      <c r="T13" s="18"/>
      <c r="U13" s="18"/>
      <c r="V13" s="123"/>
      <c r="W13" s="18"/>
      <c r="X13" s="18"/>
      <c r="Y13" s="18"/>
      <c r="Z13" s="18"/>
      <c r="AA13" s="123"/>
      <c r="AB13" s="18"/>
      <c r="AC13" s="18"/>
      <c r="AD13" s="18"/>
      <c r="AE13" s="18"/>
      <c r="AF13" s="123"/>
      <c r="AG13" s="18"/>
      <c r="AH13" s="18"/>
      <c r="AI13" s="18"/>
      <c r="AJ13" s="18"/>
      <c r="AK13" s="123"/>
      <c r="AL13" s="18"/>
      <c r="AM13" s="18"/>
      <c r="AN13" s="18"/>
    </row>
    <row r="14" spans="1:40" x14ac:dyDescent="0.4">
      <c r="A14" s="4" t="s">
        <v>1995</v>
      </c>
      <c r="B14" s="123">
        <v>0</v>
      </c>
      <c r="C14" s="18">
        <v>0</v>
      </c>
      <c r="D14" s="18">
        <f>SUM(B14:C14)</f>
        <v>0</v>
      </c>
      <c r="E14" s="18"/>
      <c r="F14" s="18"/>
      <c r="G14" s="123">
        <v>0</v>
      </c>
      <c r="H14" s="18">
        <v>0</v>
      </c>
      <c r="I14" s="18">
        <f>SUM(G14:H14)</f>
        <v>0</v>
      </c>
      <c r="J14" s="18"/>
      <c r="K14" s="18"/>
      <c r="L14" s="123">
        <v>0</v>
      </c>
      <c r="M14" s="18">
        <v>0</v>
      </c>
      <c r="N14" s="18">
        <f>SUM(L14:M14)</f>
        <v>0</v>
      </c>
      <c r="O14" s="18"/>
      <c r="P14" s="18"/>
      <c r="Q14" s="123">
        <v>0</v>
      </c>
      <c r="R14" s="18">
        <v>0</v>
      </c>
      <c r="S14" s="18">
        <f>SUM(Q14:R14)</f>
        <v>0</v>
      </c>
      <c r="T14" s="18"/>
      <c r="U14" s="18"/>
      <c r="V14" s="123">
        <v>0</v>
      </c>
      <c r="W14" s="18">
        <v>0</v>
      </c>
      <c r="X14" s="18">
        <f>SUM(V14:W14)</f>
        <v>0</v>
      </c>
      <c r="Y14" s="18"/>
      <c r="Z14" s="18"/>
      <c r="AA14" s="126">
        <v>0</v>
      </c>
      <c r="AB14" s="18">
        <v>480000000</v>
      </c>
      <c r="AC14" s="18">
        <f>SUM(AA14:AB14)</f>
        <v>480000000</v>
      </c>
      <c r="AD14" s="18"/>
      <c r="AE14" s="18"/>
      <c r="AF14" s="126">
        <v>0</v>
      </c>
      <c r="AG14" s="18">
        <v>480000000</v>
      </c>
      <c r="AH14" s="18">
        <f>SUM(AF14:AG14)</f>
        <v>480000000</v>
      </c>
      <c r="AI14" s="18"/>
      <c r="AJ14" s="18"/>
      <c r="AK14" s="126">
        <v>0</v>
      </c>
      <c r="AL14" s="18">
        <v>480000000</v>
      </c>
      <c r="AM14" s="18">
        <f>SUM(AK14:AL14)</f>
        <v>480000000</v>
      </c>
      <c r="AN14" s="18"/>
    </row>
    <row r="15" spans="1:40" x14ac:dyDescent="0.4">
      <c r="A15" s="4" t="s">
        <v>1994</v>
      </c>
      <c r="B15" s="18">
        <f>-150555605</f>
        <v>-150555605</v>
      </c>
      <c r="C15" s="18">
        <v>0</v>
      </c>
      <c r="D15" s="18">
        <f>SUM(B15:C15)</f>
        <v>-150555605</v>
      </c>
      <c r="E15" s="18"/>
      <c r="F15" s="18"/>
      <c r="G15" s="18">
        <f>-150555605</f>
        <v>-150555605</v>
      </c>
      <c r="H15" s="18">
        <v>0</v>
      </c>
      <c r="I15" s="18">
        <f>SUM(G15:H15)</f>
        <v>-150555605</v>
      </c>
      <c r="J15" s="18"/>
      <c r="K15" s="18"/>
      <c r="L15" s="18">
        <f>-150555605</f>
        <v>-150555605</v>
      </c>
      <c r="M15" s="18">
        <v>0</v>
      </c>
      <c r="N15" s="18">
        <f>SUM(L15:M15)</f>
        <v>-150555605</v>
      </c>
      <c r="O15" s="18"/>
      <c r="P15" s="18"/>
      <c r="Q15" s="18">
        <f>-150555605</f>
        <v>-150555605</v>
      </c>
      <c r="R15" s="18">
        <v>0</v>
      </c>
      <c r="S15" s="18">
        <f>SUM(Q15:R15)</f>
        <v>-150555605</v>
      </c>
      <c r="T15" s="18"/>
      <c r="U15" s="18"/>
      <c r="V15" s="18">
        <f>-150555605</f>
        <v>-150555605</v>
      </c>
      <c r="W15" s="18">
        <v>0</v>
      </c>
      <c r="X15" s="18">
        <f>SUM(V15:W15)</f>
        <v>-150555605</v>
      </c>
      <c r="Y15" s="18"/>
      <c r="Z15" s="18"/>
      <c r="AA15" s="18">
        <v>0</v>
      </c>
      <c r="AB15" s="18">
        <v>-150000000</v>
      </c>
      <c r="AC15" s="18">
        <f>SUM(AA15:AB15)</f>
        <v>-150000000</v>
      </c>
      <c r="AD15" s="18"/>
      <c r="AE15" s="18"/>
      <c r="AF15" s="18">
        <v>0</v>
      </c>
      <c r="AG15" s="18">
        <v>-20000050</v>
      </c>
      <c r="AH15" s="18">
        <f>SUM(AF15:AG15)</f>
        <v>-20000050</v>
      </c>
      <c r="AI15" s="18"/>
      <c r="AJ15" s="18"/>
      <c r="AK15" s="18">
        <v>0</v>
      </c>
      <c r="AL15" s="18">
        <v>-20000050</v>
      </c>
      <c r="AM15" s="18">
        <f>SUM(AK15:AL15)</f>
        <v>-20000050</v>
      </c>
      <c r="AN15" s="18"/>
    </row>
    <row r="16" spans="1:40" x14ac:dyDescent="0.4">
      <c r="A16" s="124" t="s">
        <v>2197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x14ac:dyDescent="0.4">
      <c r="A17" s="4" t="s">
        <v>2199</v>
      </c>
      <c r="B17" s="18">
        <v>0</v>
      </c>
      <c r="C17" s="18">
        <v>0</v>
      </c>
      <c r="D17" s="18">
        <f t="shared" ref="D17:D20" si="8">SUM(B17:C17)</f>
        <v>0</v>
      </c>
      <c r="E17" s="18"/>
      <c r="F17" s="18"/>
      <c r="G17" s="18">
        <v>0</v>
      </c>
      <c r="H17" s="18">
        <v>0</v>
      </c>
      <c r="I17" s="18">
        <f t="shared" ref="I17" si="9">SUM(G17:H17)</f>
        <v>0</v>
      </c>
      <c r="J17" s="18"/>
      <c r="K17" s="18"/>
      <c r="L17" s="18">
        <v>0</v>
      </c>
      <c r="M17" s="18">
        <v>0</v>
      </c>
      <c r="N17" s="18">
        <f t="shared" ref="N17" si="10">SUM(L17:M17)</f>
        <v>0</v>
      </c>
      <c r="O17" s="18"/>
      <c r="P17" s="18"/>
      <c r="Q17" s="18">
        <v>0</v>
      </c>
      <c r="R17" s="18">
        <v>93000000</v>
      </c>
      <c r="S17" s="18">
        <f t="shared" ref="S17:S18" si="11">SUM(Q17:R17)</f>
        <v>93000000</v>
      </c>
      <c r="T17" s="18"/>
      <c r="U17" s="18"/>
      <c r="V17" s="18">
        <v>0</v>
      </c>
      <c r="W17" s="18">
        <v>0</v>
      </c>
      <c r="X17" s="18">
        <f t="shared" ref="X17" si="12">SUM(V17:W17)</f>
        <v>0</v>
      </c>
      <c r="Y17" s="18"/>
      <c r="Z17" s="18"/>
      <c r="AA17" s="18">
        <v>0</v>
      </c>
      <c r="AB17" s="18">
        <v>0</v>
      </c>
      <c r="AC17" s="18">
        <f t="shared" ref="AC17:AC18" si="13">SUM(AA17:AB17)</f>
        <v>0</v>
      </c>
      <c r="AD17" s="18"/>
      <c r="AE17" s="18"/>
      <c r="AF17" s="18">
        <v>0</v>
      </c>
      <c r="AG17" s="18">
        <v>0</v>
      </c>
      <c r="AH17" s="18">
        <f t="shared" ref="AH17:AH20" si="14">SUM(AF17:AG17)</f>
        <v>0</v>
      </c>
      <c r="AI17" s="18"/>
      <c r="AJ17" s="18"/>
      <c r="AK17" s="18">
        <v>0</v>
      </c>
      <c r="AL17" s="18">
        <v>0</v>
      </c>
      <c r="AM17" s="18">
        <f t="shared" ref="AM17:AM20" si="15">SUM(AK17:AL17)</f>
        <v>0</v>
      </c>
      <c r="AN17" s="18"/>
    </row>
    <row r="18" spans="1:40" x14ac:dyDescent="0.4">
      <c r="A18" s="4" t="s">
        <v>2204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>
        <v>0</v>
      </c>
      <c r="R18" s="18">
        <v>-5115000</v>
      </c>
      <c r="S18" s="18">
        <f t="shared" si="11"/>
        <v>-5115000</v>
      </c>
      <c r="T18" s="18"/>
      <c r="U18" s="18"/>
      <c r="V18" s="18"/>
      <c r="W18" s="18"/>
      <c r="X18" s="18"/>
      <c r="Y18" s="18"/>
      <c r="Z18" s="18"/>
      <c r="AA18" s="18">
        <v>0</v>
      </c>
      <c r="AB18" s="18">
        <v>-5115000</v>
      </c>
      <c r="AC18" s="18">
        <f t="shared" si="13"/>
        <v>-5115000</v>
      </c>
      <c r="AD18" s="18"/>
      <c r="AE18" s="18"/>
      <c r="AF18" s="18">
        <v>0</v>
      </c>
      <c r="AG18" s="18">
        <v>-5142500</v>
      </c>
      <c r="AH18" s="18">
        <f t="shared" si="14"/>
        <v>-5142500</v>
      </c>
      <c r="AI18" s="18"/>
      <c r="AJ18" s="18"/>
      <c r="AK18" s="18">
        <v>0</v>
      </c>
      <c r="AL18" s="18">
        <v>-5142500</v>
      </c>
      <c r="AM18" s="18">
        <f t="shared" si="15"/>
        <v>-5142500</v>
      </c>
      <c r="AN18" s="18"/>
    </row>
    <row r="19" spans="1:40" x14ac:dyDescent="0.4">
      <c r="A19" s="4" t="s">
        <v>2200</v>
      </c>
      <c r="B19" s="18">
        <v>0</v>
      </c>
      <c r="C19" s="18">
        <v>0</v>
      </c>
      <c r="D19" s="18">
        <f t="shared" si="8"/>
        <v>0</v>
      </c>
      <c r="E19" s="18"/>
      <c r="F19" s="18"/>
      <c r="G19" s="18">
        <v>0</v>
      </c>
      <c r="H19" s="18">
        <v>0</v>
      </c>
      <c r="I19" s="18">
        <f t="shared" ref="I19:I20" si="16">SUM(G19:H19)</f>
        <v>0</v>
      </c>
      <c r="J19" s="18"/>
      <c r="K19" s="18"/>
      <c r="L19" s="18">
        <v>0</v>
      </c>
      <c r="M19" s="18">
        <v>0</v>
      </c>
      <c r="N19" s="18">
        <f t="shared" ref="N19:N20" si="17">SUM(L19:M19)</f>
        <v>0</v>
      </c>
      <c r="O19" s="18"/>
      <c r="P19" s="18"/>
      <c r="Q19" s="18">
        <v>0</v>
      </c>
      <c r="R19" s="18">
        <v>120000000</v>
      </c>
      <c r="S19" s="18">
        <f t="shared" ref="S19:S20" si="18">SUM(Q19:R19)</f>
        <v>120000000</v>
      </c>
      <c r="T19" s="18"/>
      <c r="U19" s="18"/>
      <c r="V19" s="18">
        <v>0</v>
      </c>
      <c r="W19" s="18">
        <v>0</v>
      </c>
      <c r="X19" s="18">
        <f t="shared" ref="X19:X20" si="19">SUM(V19:W19)</f>
        <v>0</v>
      </c>
      <c r="Y19" s="18"/>
      <c r="Z19" s="18"/>
      <c r="AA19" s="18">
        <v>0</v>
      </c>
      <c r="AB19" s="18">
        <v>170000000</v>
      </c>
      <c r="AC19" s="18">
        <f t="shared" ref="AC19:AC20" si="20">SUM(AA19:AB19)</f>
        <v>170000000</v>
      </c>
      <c r="AD19" s="18"/>
      <c r="AE19" s="18"/>
      <c r="AF19" s="18">
        <v>0</v>
      </c>
      <c r="AG19" s="18">
        <v>170000000</v>
      </c>
      <c r="AH19" s="18">
        <f t="shared" si="14"/>
        <v>170000000</v>
      </c>
      <c r="AI19" s="18"/>
      <c r="AJ19" s="18"/>
      <c r="AK19" s="18">
        <v>0</v>
      </c>
      <c r="AL19" s="18">
        <v>0</v>
      </c>
      <c r="AM19" s="18">
        <f t="shared" si="15"/>
        <v>0</v>
      </c>
      <c r="AN19" s="18"/>
    </row>
    <row r="20" spans="1:40" x14ac:dyDescent="0.4">
      <c r="A20" s="4" t="s">
        <v>2201</v>
      </c>
      <c r="B20" s="18">
        <v>0</v>
      </c>
      <c r="C20" s="18">
        <v>0</v>
      </c>
      <c r="D20" s="18">
        <f t="shared" si="8"/>
        <v>0</v>
      </c>
      <c r="E20" s="18"/>
      <c r="F20" s="18"/>
      <c r="G20" s="18">
        <v>0</v>
      </c>
      <c r="H20" s="18">
        <v>0</v>
      </c>
      <c r="I20" s="18">
        <f t="shared" si="16"/>
        <v>0</v>
      </c>
      <c r="J20" s="18"/>
      <c r="K20" s="18"/>
      <c r="L20" s="18">
        <v>0</v>
      </c>
      <c r="M20" s="18">
        <v>0</v>
      </c>
      <c r="N20" s="18">
        <f t="shared" si="17"/>
        <v>0</v>
      </c>
      <c r="O20" s="18"/>
      <c r="P20" s="18"/>
      <c r="Q20" s="18">
        <v>0</v>
      </c>
      <c r="R20" s="18">
        <f>930000000-R19-R17</f>
        <v>717000000</v>
      </c>
      <c r="S20" s="18">
        <f t="shared" si="18"/>
        <v>717000000</v>
      </c>
      <c r="T20" s="18"/>
      <c r="U20" s="18"/>
      <c r="V20" s="18">
        <v>0</v>
      </c>
      <c r="W20" s="18">
        <v>0</v>
      </c>
      <c r="X20" s="18">
        <f t="shared" si="19"/>
        <v>0</v>
      </c>
      <c r="Y20" s="18"/>
      <c r="Z20" s="18"/>
      <c r="AA20" s="18">
        <v>0</v>
      </c>
      <c r="AB20" s="18">
        <v>671500000</v>
      </c>
      <c r="AC20" s="18">
        <f t="shared" si="20"/>
        <v>671500000</v>
      </c>
      <c r="AD20" s="18"/>
      <c r="AE20" s="18"/>
      <c r="AF20" s="18">
        <v>0</v>
      </c>
      <c r="AG20" s="18">
        <v>671500000</v>
      </c>
      <c r="AH20" s="18">
        <f t="shared" si="14"/>
        <v>671500000</v>
      </c>
      <c r="AI20" s="18"/>
      <c r="AJ20" s="18"/>
      <c r="AK20" s="18">
        <v>0</v>
      </c>
      <c r="AL20" s="18">
        <v>671500000</v>
      </c>
      <c r="AM20" s="18">
        <f t="shared" si="15"/>
        <v>671500000</v>
      </c>
      <c r="AN20" s="18"/>
    </row>
    <row r="21" spans="1:40" x14ac:dyDescent="0.4">
      <c r="A21" s="5" t="s">
        <v>2202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x14ac:dyDescent="0.4">
      <c r="A22" s="4" t="s">
        <v>2198</v>
      </c>
      <c r="B22" s="18">
        <v>0</v>
      </c>
      <c r="C22" s="18">
        <v>-30000000</v>
      </c>
      <c r="D22" s="18">
        <f t="shared" ref="D22:D27" si="21">SUM(B22:C22)</f>
        <v>-30000000</v>
      </c>
      <c r="E22" s="18"/>
      <c r="F22" s="18"/>
      <c r="G22" s="18">
        <v>0</v>
      </c>
      <c r="H22" s="18">
        <v>-30000000</v>
      </c>
      <c r="I22" s="18">
        <f t="shared" ref="I22:I25" si="22">SUM(G22:H22)</f>
        <v>-30000000</v>
      </c>
      <c r="J22" s="18"/>
      <c r="K22" s="18"/>
      <c r="L22" s="18">
        <v>0</v>
      </c>
      <c r="M22" s="18">
        <v>-30000000</v>
      </c>
      <c r="N22" s="18">
        <f t="shared" ref="N22:N28" si="23">SUM(L22:M22)</f>
        <v>-30000000</v>
      </c>
      <c r="O22" s="18"/>
      <c r="P22" s="18"/>
      <c r="Q22" s="18">
        <v>0</v>
      </c>
      <c r="R22" s="18">
        <v>-30000000</v>
      </c>
      <c r="S22" s="18">
        <f t="shared" ref="S22:S26" si="24">SUM(Q22:R22)</f>
        <v>-30000000</v>
      </c>
      <c r="T22" s="18"/>
      <c r="U22" s="18"/>
      <c r="V22" s="18">
        <v>0</v>
      </c>
      <c r="W22" s="18">
        <v>-30000000</v>
      </c>
      <c r="X22" s="18">
        <f t="shared" ref="X22:X28" si="25">SUM(V22:W22)</f>
        <v>-30000000</v>
      </c>
      <c r="Y22" s="18"/>
      <c r="Z22" s="18"/>
      <c r="AA22" s="18">
        <v>0</v>
      </c>
      <c r="AB22" s="18">
        <v>0</v>
      </c>
      <c r="AC22" s="18">
        <f t="shared" ref="AC22:AC26" si="26">SUM(AA22:AB22)</f>
        <v>0</v>
      </c>
      <c r="AD22" s="18"/>
      <c r="AE22" s="18"/>
      <c r="AF22" s="18">
        <v>0</v>
      </c>
      <c r="AG22" s="18">
        <v>0</v>
      </c>
      <c r="AH22" s="18">
        <f t="shared" ref="AH22:AH29" si="27">SUM(AF22:AG22)</f>
        <v>0</v>
      </c>
      <c r="AI22" s="18"/>
      <c r="AJ22" s="18"/>
      <c r="AK22" s="18">
        <v>0</v>
      </c>
      <c r="AL22" s="18">
        <v>0</v>
      </c>
      <c r="AM22" s="18">
        <f t="shared" ref="AM22:AM29" si="28">SUM(AK22:AL22)</f>
        <v>0</v>
      </c>
      <c r="AN22" s="18"/>
    </row>
    <row r="23" spans="1:40" x14ac:dyDescent="0.4">
      <c r="A23" s="4" t="s">
        <v>2205</v>
      </c>
      <c r="B23" s="18">
        <v>0</v>
      </c>
      <c r="C23" s="125">
        <v>-100000</v>
      </c>
      <c r="D23" s="18">
        <f t="shared" si="21"/>
        <v>-100000</v>
      </c>
      <c r="E23" s="18" t="s">
        <v>2217</v>
      </c>
      <c r="F23" s="18"/>
      <c r="G23" s="18">
        <v>0</v>
      </c>
      <c r="H23" s="125">
        <v>-100000</v>
      </c>
      <c r="I23" s="18">
        <f t="shared" si="22"/>
        <v>-100000</v>
      </c>
      <c r="J23" s="18"/>
      <c r="K23" s="18"/>
      <c r="L23" s="18">
        <v>0</v>
      </c>
      <c r="M23" s="125">
        <v>-100000</v>
      </c>
      <c r="N23" s="18">
        <f t="shared" si="23"/>
        <v>-100000</v>
      </c>
      <c r="O23" s="18"/>
      <c r="P23" s="18"/>
      <c r="Q23" s="18">
        <v>0</v>
      </c>
      <c r="R23" s="18">
        <v>0</v>
      </c>
      <c r="S23" s="18">
        <f t="shared" si="24"/>
        <v>0</v>
      </c>
      <c r="T23" s="18"/>
      <c r="U23" s="18"/>
      <c r="V23" s="18">
        <v>0</v>
      </c>
      <c r="W23" s="125">
        <v>-100000</v>
      </c>
      <c r="X23" s="18">
        <f t="shared" si="25"/>
        <v>-100000</v>
      </c>
      <c r="Y23" s="18"/>
      <c r="Z23" s="18"/>
      <c r="AA23" s="18">
        <v>0</v>
      </c>
      <c r="AB23" s="126">
        <v>0</v>
      </c>
      <c r="AC23" s="18">
        <f t="shared" si="26"/>
        <v>0</v>
      </c>
      <c r="AD23" s="18"/>
      <c r="AE23" s="18"/>
      <c r="AF23" s="18">
        <v>0</v>
      </c>
      <c r="AG23" s="126">
        <v>0</v>
      </c>
      <c r="AH23" s="18">
        <f t="shared" si="27"/>
        <v>0</v>
      </c>
      <c r="AI23" s="18"/>
      <c r="AJ23" s="18"/>
      <c r="AK23" s="18">
        <v>0</v>
      </c>
      <c r="AL23" s="126">
        <v>0</v>
      </c>
      <c r="AM23" s="18">
        <f t="shared" si="28"/>
        <v>0</v>
      </c>
      <c r="AN23" s="18"/>
    </row>
    <row r="24" spans="1:40" x14ac:dyDescent="0.4">
      <c r="A24" s="4" t="s">
        <v>2199</v>
      </c>
      <c r="B24" s="18">
        <v>0</v>
      </c>
      <c r="C24" s="123">
        <v>-109500000</v>
      </c>
      <c r="D24" s="18">
        <f t="shared" si="21"/>
        <v>-109500000</v>
      </c>
      <c r="E24" s="18" t="s">
        <v>2217</v>
      </c>
      <c r="F24" s="18"/>
      <c r="G24" s="18">
        <v>0</v>
      </c>
      <c r="H24" s="18">
        <v>0</v>
      </c>
      <c r="I24" s="18">
        <f t="shared" si="22"/>
        <v>0</v>
      </c>
      <c r="J24" s="18"/>
      <c r="K24" s="18"/>
      <c r="L24" s="18">
        <v>0</v>
      </c>
      <c r="M24" s="18">
        <v>0</v>
      </c>
      <c r="N24" s="18">
        <f t="shared" si="23"/>
        <v>0</v>
      </c>
      <c r="O24" s="18"/>
      <c r="P24" s="18"/>
      <c r="Q24" s="18">
        <v>0</v>
      </c>
      <c r="R24" s="18">
        <v>-109500000</v>
      </c>
      <c r="S24" s="18">
        <f t="shared" si="24"/>
        <v>-109500000</v>
      </c>
      <c r="T24" s="18"/>
      <c r="U24" s="18"/>
      <c r="V24" s="18">
        <v>0</v>
      </c>
      <c r="W24" s="123">
        <v>-109500000</v>
      </c>
      <c r="X24" s="18">
        <f t="shared" si="25"/>
        <v>-109500000</v>
      </c>
      <c r="Y24" s="18"/>
      <c r="Z24" s="18"/>
      <c r="AA24" s="18">
        <v>0</v>
      </c>
      <c r="AB24" s="126">
        <v>0</v>
      </c>
      <c r="AC24" s="18">
        <f t="shared" si="26"/>
        <v>0</v>
      </c>
      <c r="AD24" s="18"/>
      <c r="AE24" s="18"/>
      <c r="AF24" s="18">
        <v>0</v>
      </c>
      <c r="AG24" s="126">
        <v>0</v>
      </c>
      <c r="AH24" s="18">
        <f t="shared" si="27"/>
        <v>0</v>
      </c>
      <c r="AI24" s="18"/>
      <c r="AJ24" s="18"/>
      <c r="AK24" s="18">
        <v>0</v>
      </c>
      <c r="AL24" s="126">
        <v>0</v>
      </c>
      <c r="AM24" s="18">
        <f t="shared" si="28"/>
        <v>0</v>
      </c>
      <c r="AN24" s="18"/>
    </row>
    <row r="25" spans="1:40" x14ac:dyDescent="0.4">
      <c r="A25" s="4" t="s">
        <v>2204</v>
      </c>
      <c r="B25" s="18">
        <v>0</v>
      </c>
      <c r="C25" s="123">
        <v>-9207000</v>
      </c>
      <c r="D25" s="18">
        <f t="shared" si="21"/>
        <v>-9207000</v>
      </c>
      <c r="E25" s="18" t="s">
        <v>2217</v>
      </c>
      <c r="F25" s="18"/>
      <c r="G25" s="18">
        <v>0</v>
      </c>
      <c r="H25" s="18">
        <v>0</v>
      </c>
      <c r="I25" s="18">
        <f t="shared" si="22"/>
        <v>0</v>
      </c>
      <c r="J25" s="18"/>
      <c r="K25" s="18"/>
      <c r="L25" s="18">
        <v>0</v>
      </c>
      <c r="M25" s="18">
        <v>0</v>
      </c>
      <c r="N25" s="18">
        <f t="shared" si="23"/>
        <v>0</v>
      </c>
      <c r="O25" s="18"/>
      <c r="P25" s="18"/>
      <c r="Q25" s="18">
        <v>0</v>
      </c>
      <c r="R25" s="18">
        <v>-9207000</v>
      </c>
      <c r="S25" s="18">
        <f t="shared" si="24"/>
        <v>-9207000</v>
      </c>
      <c r="T25" s="18"/>
      <c r="U25" s="18"/>
      <c r="V25" s="18">
        <v>0</v>
      </c>
      <c r="W25" s="123">
        <v>-9207000</v>
      </c>
      <c r="X25" s="18">
        <f t="shared" si="25"/>
        <v>-9207000</v>
      </c>
      <c r="Y25" s="18"/>
      <c r="Z25" s="18"/>
      <c r="AA25" s="18">
        <v>0</v>
      </c>
      <c r="AB25" s="126">
        <v>-9207000</v>
      </c>
      <c r="AC25" s="18">
        <f t="shared" si="26"/>
        <v>-9207000</v>
      </c>
      <c r="AD25" s="18"/>
      <c r="AE25" s="18"/>
      <c r="AF25" s="18">
        <v>0</v>
      </c>
      <c r="AG25" s="126">
        <v>-9207000</v>
      </c>
      <c r="AH25" s="18">
        <f t="shared" si="27"/>
        <v>-9207000</v>
      </c>
      <c r="AI25" s="18"/>
      <c r="AJ25" s="18"/>
      <c r="AK25" s="18">
        <v>0</v>
      </c>
      <c r="AL25" s="126">
        <v>-9207000</v>
      </c>
      <c r="AM25" s="18">
        <f t="shared" si="28"/>
        <v>-9207000</v>
      </c>
      <c r="AN25" s="18"/>
    </row>
    <row r="26" spans="1:40" x14ac:dyDescent="0.4">
      <c r="A26" s="4" t="s">
        <v>2200</v>
      </c>
      <c r="B26" s="18">
        <v>0</v>
      </c>
      <c r="C26" s="123">
        <v>-160500000</v>
      </c>
      <c r="D26" s="18">
        <f t="shared" si="21"/>
        <v>-160500000</v>
      </c>
      <c r="E26" s="18" t="s">
        <v>2215</v>
      </c>
      <c r="F26" s="18"/>
      <c r="G26" s="18">
        <v>0</v>
      </c>
      <c r="H26" s="18">
        <v>0</v>
      </c>
      <c r="I26" s="18">
        <f t="shared" ref="I26:I27" si="29">SUM(G26:H26)</f>
        <v>0</v>
      </c>
      <c r="J26" s="18"/>
      <c r="K26" s="18"/>
      <c r="L26" s="18">
        <v>0</v>
      </c>
      <c r="M26" s="18">
        <v>0</v>
      </c>
      <c r="N26" s="18">
        <f t="shared" si="23"/>
        <v>0</v>
      </c>
      <c r="O26" s="18"/>
      <c r="P26" s="18"/>
      <c r="Q26" s="18">
        <v>0</v>
      </c>
      <c r="R26" s="18">
        <f>-300000000-R24-R22</f>
        <v>-160500000</v>
      </c>
      <c r="S26" s="18">
        <f t="shared" si="24"/>
        <v>-160500000</v>
      </c>
      <c r="T26" s="18"/>
      <c r="U26" s="18"/>
      <c r="V26" s="18">
        <v>0</v>
      </c>
      <c r="W26" s="18">
        <v>0</v>
      </c>
      <c r="X26" s="18">
        <f t="shared" si="25"/>
        <v>0</v>
      </c>
      <c r="Y26" s="18"/>
      <c r="Z26" s="18"/>
      <c r="AA26" s="18">
        <v>0</v>
      </c>
      <c r="AB26" s="18">
        <v>-160500000</v>
      </c>
      <c r="AC26" s="18">
        <f t="shared" si="26"/>
        <v>-160500000</v>
      </c>
      <c r="AD26" s="18"/>
      <c r="AE26" s="18"/>
      <c r="AF26" s="18">
        <v>0</v>
      </c>
      <c r="AG26" s="18">
        <v>-160500000</v>
      </c>
      <c r="AH26" s="18">
        <f t="shared" si="27"/>
        <v>-160500000</v>
      </c>
      <c r="AI26" s="18"/>
      <c r="AJ26" s="18"/>
      <c r="AK26" s="18">
        <v>0</v>
      </c>
      <c r="AL26" s="18">
        <v>-160500000</v>
      </c>
      <c r="AM26" s="18">
        <f t="shared" si="28"/>
        <v>-160500000</v>
      </c>
      <c r="AN26" s="18"/>
    </row>
    <row r="27" spans="1:40" x14ac:dyDescent="0.4">
      <c r="A27" s="4" t="s">
        <v>2201</v>
      </c>
      <c r="B27" s="18">
        <v>0</v>
      </c>
      <c r="C27" s="123">
        <f>-1395000000-SUM(C26,C24)</f>
        <v>-1125000000</v>
      </c>
      <c r="D27" s="18">
        <f t="shared" si="21"/>
        <v>-1125000000</v>
      </c>
      <c r="E27" s="18" t="s">
        <v>2216</v>
      </c>
      <c r="F27" s="18"/>
      <c r="G27" s="18">
        <v>0</v>
      </c>
      <c r="H27" s="18">
        <v>0</v>
      </c>
      <c r="I27" s="18">
        <f t="shared" si="29"/>
        <v>0</v>
      </c>
      <c r="J27" s="18"/>
      <c r="K27" s="18"/>
      <c r="L27" s="18">
        <v>0</v>
      </c>
      <c r="M27" s="18">
        <v>0</v>
      </c>
      <c r="N27" s="18">
        <f t="shared" si="23"/>
        <v>0</v>
      </c>
      <c r="O27" s="18"/>
      <c r="P27" s="18"/>
      <c r="Q27" s="18">
        <v>0</v>
      </c>
      <c r="R27" s="18">
        <f>-1395000000-R26-R24-R22</f>
        <v>-1095000000</v>
      </c>
      <c r="S27" s="18">
        <f t="shared" ref="S27:S28" si="30">SUM(Q27:R27)</f>
        <v>-1095000000</v>
      </c>
      <c r="T27" s="18"/>
      <c r="U27" s="18"/>
      <c r="V27" s="18">
        <v>0</v>
      </c>
      <c r="W27" s="18">
        <v>0</v>
      </c>
      <c r="X27" s="18">
        <f t="shared" si="25"/>
        <v>0</v>
      </c>
      <c r="Y27" s="18"/>
      <c r="Z27" s="18"/>
      <c r="AA27" s="18">
        <v>0</v>
      </c>
      <c r="AB27" s="18">
        <v>-1095000000</v>
      </c>
      <c r="AC27" s="18">
        <f t="shared" ref="AC27:AC29" si="31">SUM(AA27:AB27)</f>
        <v>-1095000000</v>
      </c>
      <c r="AD27" s="18"/>
      <c r="AE27" s="18"/>
      <c r="AF27" s="18">
        <v>0</v>
      </c>
      <c r="AG27" s="18">
        <v>-1095000000</v>
      </c>
      <c r="AH27" s="18">
        <f t="shared" si="27"/>
        <v>-1095000000</v>
      </c>
      <c r="AI27" s="18"/>
      <c r="AJ27" s="18"/>
      <c r="AK27" s="18">
        <v>0</v>
      </c>
      <c r="AL27" s="18">
        <v>-1095000000</v>
      </c>
      <c r="AM27" s="18">
        <f t="shared" si="28"/>
        <v>-1095000000</v>
      </c>
      <c r="AN27" s="18"/>
    </row>
    <row r="28" spans="1:40" x14ac:dyDescent="0.4">
      <c r="A28" s="4" t="s">
        <v>2206</v>
      </c>
      <c r="B28" s="18">
        <v>0</v>
      </c>
      <c r="C28" s="125">
        <v>-9999</v>
      </c>
      <c r="D28" s="18">
        <f t="shared" ref="D28:D29" si="32">SUM(B28:C28)</f>
        <v>-9999</v>
      </c>
      <c r="E28" s="18"/>
      <c r="F28" s="18"/>
      <c r="G28" s="18">
        <v>0</v>
      </c>
      <c r="H28" s="18">
        <v>0</v>
      </c>
      <c r="I28" s="18">
        <f t="shared" ref="I28:I29" si="33">SUM(G28:H28)</f>
        <v>0</v>
      </c>
      <c r="J28" s="18"/>
      <c r="K28" s="18"/>
      <c r="L28" s="18">
        <v>0</v>
      </c>
      <c r="M28" s="18">
        <v>0</v>
      </c>
      <c r="N28" s="18">
        <f t="shared" si="23"/>
        <v>0</v>
      </c>
      <c r="O28" s="18"/>
      <c r="P28" s="18"/>
      <c r="Q28" s="18">
        <v>0</v>
      </c>
      <c r="R28" s="18">
        <v>0</v>
      </c>
      <c r="S28" s="18">
        <f t="shared" si="30"/>
        <v>0</v>
      </c>
      <c r="T28" s="18"/>
      <c r="U28" s="18"/>
      <c r="V28" s="18">
        <v>0</v>
      </c>
      <c r="W28" s="18">
        <v>0</v>
      </c>
      <c r="X28" s="18">
        <f t="shared" si="25"/>
        <v>0</v>
      </c>
      <c r="Y28" s="18"/>
      <c r="Z28" s="18"/>
      <c r="AA28" s="18">
        <v>0</v>
      </c>
      <c r="AB28" s="123">
        <v>-1300000</v>
      </c>
      <c r="AC28" s="18">
        <f t="shared" si="31"/>
        <v>-1300000</v>
      </c>
      <c r="AD28" s="18"/>
      <c r="AE28" s="18"/>
      <c r="AF28" s="18">
        <v>0</v>
      </c>
      <c r="AG28" s="123">
        <v>-1300000</v>
      </c>
      <c r="AH28" s="18">
        <f t="shared" si="27"/>
        <v>-1300000</v>
      </c>
      <c r="AI28" s="18"/>
      <c r="AJ28" s="18"/>
      <c r="AK28" s="18">
        <v>0</v>
      </c>
      <c r="AL28" s="123">
        <v>-1300000</v>
      </c>
      <c r="AM28" s="18">
        <f t="shared" si="28"/>
        <v>-1300000</v>
      </c>
      <c r="AN28" s="18"/>
    </row>
    <row r="29" spans="1:40" x14ac:dyDescent="0.4">
      <c r="A29" s="4" t="s">
        <v>2214</v>
      </c>
      <c r="B29" s="18">
        <v>0</v>
      </c>
      <c r="C29" s="123">
        <v>-46035000</v>
      </c>
      <c r="D29" s="18">
        <f t="shared" si="32"/>
        <v>-46035000</v>
      </c>
      <c r="E29" s="18"/>
      <c r="F29" s="18"/>
      <c r="G29" s="18">
        <v>0</v>
      </c>
      <c r="H29" s="18">
        <v>0</v>
      </c>
      <c r="I29" s="18">
        <f t="shared" si="33"/>
        <v>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>
        <v>0</v>
      </c>
      <c r="AB29" s="126">
        <v>-46035000</v>
      </c>
      <c r="AC29" s="18">
        <f t="shared" si="31"/>
        <v>-46035000</v>
      </c>
      <c r="AD29" s="18"/>
      <c r="AE29" s="18"/>
      <c r="AF29" s="18">
        <v>0</v>
      </c>
      <c r="AG29" s="126">
        <v>-46035000</v>
      </c>
      <c r="AH29" s="18">
        <f t="shared" si="27"/>
        <v>-46035000</v>
      </c>
      <c r="AI29" s="18"/>
      <c r="AJ29" s="18"/>
      <c r="AK29" s="18">
        <v>0</v>
      </c>
      <c r="AL29" s="126">
        <v>-46035000</v>
      </c>
      <c r="AM29" s="18">
        <f t="shared" si="28"/>
        <v>-46035000</v>
      </c>
      <c r="AN29" s="18"/>
    </row>
    <row r="30" spans="1:40" x14ac:dyDescent="0.4">
      <c r="A30" s="5" t="s">
        <v>2203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x14ac:dyDescent="0.4">
      <c r="A31" s="4" t="s">
        <v>2207</v>
      </c>
      <c r="B31" s="123"/>
      <c r="C31" s="123">
        <v>-4000000</v>
      </c>
      <c r="D31" s="18">
        <f>SUM(B31:C31)</f>
        <v>-4000000</v>
      </c>
      <c r="E31" s="18"/>
      <c r="F31" s="18"/>
      <c r="G31" s="126">
        <v>0</v>
      </c>
      <c r="H31" s="126">
        <v>0</v>
      </c>
      <c r="I31" s="18">
        <f>SUM(G31:H31)</f>
        <v>0</v>
      </c>
      <c r="J31" s="18"/>
      <c r="K31" s="18"/>
      <c r="L31" s="126">
        <v>0</v>
      </c>
      <c r="M31" s="126">
        <v>0</v>
      </c>
      <c r="N31" s="18">
        <f>SUM(L31:M31)</f>
        <v>0</v>
      </c>
      <c r="O31" s="18"/>
      <c r="P31" s="18"/>
      <c r="Q31" s="126">
        <v>0</v>
      </c>
      <c r="R31" s="126">
        <v>-4500000</v>
      </c>
      <c r="S31" s="18">
        <f>SUM(Q31:R31)</f>
        <v>-4500000</v>
      </c>
      <c r="T31" s="18"/>
      <c r="U31" s="18"/>
      <c r="V31" s="126">
        <v>0</v>
      </c>
      <c r="W31" s="126">
        <v>0</v>
      </c>
      <c r="X31" s="18">
        <f>SUM(V31:W31)</f>
        <v>0</v>
      </c>
      <c r="Y31" s="18"/>
      <c r="Z31" s="18"/>
      <c r="AA31" s="126">
        <v>0</v>
      </c>
      <c r="AB31" s="126">
        <v>-2550000</v>
      </c>
      <c r="AC31" s="18">
        <f>SUM(AA31:AB31)</f>
        <v>-2550000</v>
      </c>
      <c r="AD31" s="18" t="s">
        <v>2234</v>
      </c>
      <c r="AE31" s="18"/>
      <c r="AF31" s="126">
        <v>0</v>
      </c>
      <c r="AG31" s="126">
        <v>-2550000</v>
      </c>
      <c r="AH31" s="18">
        <f>SUM(AF31:AG31)</f>
        <v>-2550000</v>
      </c>
      <c r="AI31" s="18" t="s">
        <v>2234</v>
      </c>
      <c r="AJ31" s="18"/>
      <c r="AK31" s="126">
        <v>0</v>
      </c>
      <c r="AL31" s="126">
        <v>-2550000</v>
      </c>
      <c r="AM31" s="18">
        <f>SUM(AK31:AL31)</f>
        <v>-2550000</v>
      </c>
      <c r="AN31" s="18" t="s">
        <v>2234</v>
      </c>
    </row>
    <row r="32" spans="1:40" x14ac:dyDescent="0.4">
      <c r="A32" s="4" t="s">
        <v>1981</v>
      </c>
      <c r="B32" s="125"/>
      <c r="C32" s="125">
        <v>-9999</v>
      </c>
      <c r="D32" s="18">
        <f t="shared" ref="D32:D38" si="34">SUM(B32:C32)</f>
        <v>-9999</v>
      </c>
      <c r="E32" s="18"/>
      <c r="F32" s="18"/>
      <c r="G32" s="126">
        <v>0</v>
      </c>
      <c r="H32" s="126">
        <v>0</v>
      </c>
      <c r="I32" s="18">
        <f t="shared" ref="I32:I38" si="35">SUM(G32:H32)</f>
        <v>0</v>
      </c>
      <c r="J32" s="18"/>
      <c r="K32" s="18"/>
      <c r="L32" s="126">
        <v>0</v>
      </c>
      <c r="M32" s="126">
        <v>0</v>
      </c>
      <c r="N32" s="18">
        <f t="shared" ref="N32:N38" si="36">SUM(L32:M32)</f>
        <v>0</v>
      </c>
      <c r="O32" s="18"/>
      <c r="P32" s="18"/>
      <c r="Q32" s="126">
        <v>0</v>
      </c>
      <c r="R32" s="126">
        <v>-400000</v>
      </c>
      <c r="S32" s="18">
        <f t="shared" ref="S32:S38" si="37">SUM(Q32:R32)</f>
        <v>-400000</v>
      </c>
      <c r="T32" s="18"/>
      <c r="U32" s="18"/>
      <c r="V32" s="126">
        <v>0</v>
      </c>
      <c r="W32" s="126">
        <v>0</v>
      </c>
      <c r="X32" s="18">
        <f t="shared" ref="X32:X38" si="38">SUM(V32:W32)</f>
        <v>0</v>
      </c>
      <c r="Y32" s="18"/>
      <c r="Z32" s="18"/>
      <c r="AA32" s="126">
        <v>0</v>
      </c>
      <c r="AB32" s="126">
        <v>0</v>
      </c>
      <c r="AC32" s="18">
        <f t="shared" ref="AC32:AC38" si="39">SUM(AA32:AB32)</f>
        <v>0</v>
      </c>
      <c r="AD32" s="18"/>
      <c r="AE32" s="18"/>
      <c r="AF32" s="126">
        <v>0</v>
      </c>
      <c r="AG32" s="126">
        <v>0</v>
      </c>
      <c r="AH32" s="18">
        <f t="shared" ref="AH32:AH38" si="40">SUM(AF32:AG32)</f>
        <v>0</v>
      </c>
      <c r="AI32" s="18"/>
      <c r="AJ32" s="18"/>
      <c r="AK32" s="126">
        <v>0</v>
      </c>
      <c r="AL32" s="126">
        <v>0</v>
      </c>
      <c r="AM32" s="18">
        <f t="shared" ref="AM32:AM36" si="41">SUM(AK32:AL32)</f>
        <v>0</v>
      </c>
      <c r="AN32" s="18"/>
    </row>
    <row r="33" spans="1:40" x14ac:dyDescent="0.4">
      <c r="A33" s="4" t="s">
        <v>2212</v>
      </c>
      <c r="B33" s="18"/>
      <c r="C33" s="18">
        <v>-200000</v>
      </c>
      <c r="D33" s="18">
        <f t="shared" si="34"/>
        <v>-200000</v>
      </c>
      <c r="E33" s="18"/>
      <c r="F33" s="18"/>
      <c r="G33" s="126">
        <v>0</v>
      </c>
      <c r="H33" s="126">
        <v>0</v>
      </c>
      <c r="I33" s="18">
        <f t="shared" si="35"/>
        <v>0</v>
      </c>
      <c r="J33" s="18"/>
      <c r="K33" s="18"/>
      <c r="L33" s="126">
        <v>0</v>
      </c>
      <c r="M33" s="126">
        <v>0</v>
      </c>
      <c r="N33" s="18">
        <f t="shared" si="36"/>
        <v>0</v>
      </c>
      <c r="O33" s="18"/>
      <c r="P33" s="18"/>
      <c r="Q33" s="126">
        <v>0</v>
      </c>
      <c r="R33" s="126">
        <v>-200000</v>
      </c>
      <c r="S33" s="18">
        <f t="shared" si="37"/>
        <v>-200000</v>
      </c>
      <c r="T33" s="18"/>
      <c r="U33" s="18"/>
      <c r="V33" s="126">
        <v>0</v>
      </c>
      <c r="W33" s="126">
        <v>0</v>
      </c>
      <c r="X33" s="18">
        <f t="shared" si="38"/>
        <v>0</v>
      </c>
      <c r="Y33" s="18"/>
      <c r="Z33" s="18"/>
      <c r="AA33" s="126">
        <v>0</v>
      </c>
      <c r="AB33" s="126">
        <v>-200000</v>
      </c>
      <c r="AC33" s="18">
        <f t="shared" si="39"/>
        <v>-200000</v>
      </c>
      <c r="AD33" s="18"/>
      <c r="AE33" s="18"/>
      <c r="AF33" s="126">
        <v>0</v>
      </c>
      <c r="AG33" s="126">
        <v>-200000</v>
      </c>
      <c r="AH33" s="18">
        <f t="shared" si="40"/>
        <v>-200000</v>
      </c>
      <c r="AI33" s="18"/>
      <c r="AJ33" s="18"/>
      <c r="AK33" s="126">
        <v>0</v>
      </c>
      <c r="AL33" s="126">
        <v>-100000</v>
      </c>
      <c r="AM33" s="18">
        <f t="shared" si="41"/>
        <v>-100000</v>
      </c>
      <c r="AN33" s="18" t="s">
        <v>2239</v>
      </c>
    </row>
    <row r="34" spans="1:40" x14ac:dyDescent="0.4">
      <c r="A34" s="4" t="s">
        <v>2208</v>
      </c>
      <c r="B34" s="123"/>
      <c r="C34" s="123">
        <v>-200000</v>
      </c>
      <c r="D34" s="18">
        <f t="shared" si="34"/>
        <v>-200000</v>
      </c>
      <c r="E34" s="18"/>
      <c r="F34" s="18"/>
      <c r="G34" s="126">
        <v>0</v>
      </c>
      <c r="H34" s="126">
        <v>0</v>
      </c>
      <c r="I34" s="18">
        <f t="shared" si="35"/>
        <v>0</v>
      </c>
      <c r="J34" s="18"/>
      <c r="K34" s="18"/>
      <c r="L34" s="126">
        <v>0</v>
      </c>
      <c r="M34" s="126">
        <v>0</v>
      </c>
      <c r="N34" s="18">
        <f t="shared" si="36"/>
        <v>0</v>
      </c>
      <c r="O34" s="18"/>
      <c r="P34" s="18"/>
      <c r="Q34" s="126">
        <v>0</v>
      </c>
      <c r="R34" s="126">
        <v>-200000</v>
      </c>
      <c r="S34" s="18">
        <f t="shared" si="37"/>
        <v>-200000</v>
      </c>
      <c r="T34" s="18"/>
      <c r="U34" s="18"/>
      <c r="V34" s="126">
        <v>0</v>
      </c>
      <c r="W34" s="126">
        <v>0</v>
      </c>
      <c r="X34" s="18">
        <f t="shared" si="38"/>
        <v>0</v>
      </c>
      <c r="Y34" s="18"/>
      <c r="Z34" s="18"/>
      <c r="AA34" s="126">
        <v>0</v>
      </c>
      <c r="AB34" s="126">
        <v>-200000</v>
      </c>
      <c r="AC34" s="18">
        <f t="shared" si="39"/>
        <v>-200000</v>
      </c>
      <c r="AD34" s="18"/>
      <c r="AE34" s="18"/>
      <c r="AF34" s="126">
        <v>0</v>
      </c>
      <c r="AG34" s="126">
        <v>-200000</v>
      </c>
      <c r="AH34" s="18">
        <f t="shared" si="40"/>
        <v>-200000</v>
      </c>
      <c r="AI34" s="18"/>
      <c r="AJ34" s="18"/>
      <c r="AK34" s="126">
        <v>0</v>
      </c>
      <c r="AL34" s="126">
        <v>-200000</v>
      </c>
      <c r="AM34" s="18">
        <f t="shared" si="41"/>
        <v>-200000</v>
      </c>
      <c r="AN34" s="18"/>
    </row>
    <row r="35" spans="1:40" x14ac:dyDescent="0.4">
      <c r="A35" s="4" t="s">
        <v>2209</v>
      </c>
      <c r="B35" s="123"/>
      <c r="C35" s="123">
        <v>-50000</v>
      </c>
      <c r="D35" s="18">
        <f t="shared" si="34"/>
        <v>-50000</v>
      </c>
      <c r="E35" s="18"/>
      <c r="F35" s="18"/>
      <c r="G35" s="126">
        <v>0</v>
      </c>
      <c r="H35" s="126">
        <v>0</v>
      </c>
      <c r="I35" s="18">
        <f t="shared" si="35"/>
        <v>0</v>
      </c>
      <c r="J35" s="18"/>
      <c r="K35" s="18"/>
      <c r="L35" s="126">
        <v>0</v>
      </c>
      <c r="M35" s="126">
        <v>0</v>
      </c>
      <c r="N35" s="18">
        <f t="shared" si="36"/>
        <v>0</v>
      </c>
      <c r="O35" s="18"/>
      <c r="P35" s="18"/>
      <c r="Q35" s="126">
        <v>0</v>
      </c>
      <c r="R35" s="126">
        <v>-50000</v>
      </c>
      <c r="S35" s="18">
        <f t="shared" si="37"/>
        <v>-50000</v>
      </c>
      <c r="T35" s="18"/>
      <c r="U35" s="18"/>
      <c r="V35" s="126">
        <v>0</v>
      </c>
      <c r="W35" s="126">
        <v>0</v>
      </c>
      <c r="X35" s="18">
        <f t="shared" si="38"/>
        <v>0</v>
      </c>
      <c r="Y35" s="18"/>
      <c r="Z35" s="18"/>
      <c r="AA35" s="126">
        <v>0</v>
      </c>
      <c r="AB35" s="126">
        <v>-50000</v>
      </c>
      <c r="AC35" s="18">
        <f t="shared" si="39"/>
        <v>-50000</v>
      </c>
      <c r="AD35" s="18"/>
      <c r="AE35" s="18"/>
      <c r="AF35" s="126">
        <v>0</v>
      </c>
      <c r="AG35" s="126">
        <v>-60000</v>
      </c>
      <c r="AH35" s="18">
        <f t="shared" si="40"/>
        <v>-60000</v>
      </c>
      <c r="AI35" s="18"/>
      <c r="AJ35" s="18"/>
      <c r="AK35" s="126">
        <v>0</v>
      </c>
      <c r="AL35" s="126">
        <v>-60000</v>
      </c>
      <c r="AM35" s="18">
        <f t="shared" si="41"/>
        <v>-60000</v>
      </c>
      <c r="AN35" s="18"/>
    </row>
    <row r="36" spans="1:40" x14ac:dyDescent="0.4">
      <c r="A36" s="4" t="s">
        <v>2210</v>
      </c>
      <c r="B36" s="125"/>
      <c r="C36" s="125">
        <v>-9999</v>
      </c>
      <c r="D36" s="18">
        <f t="shared" si="34"/>
        <v>-9999</v>
      </c>
      <c r="E36" s="18"/>
      <c r="F36" s="18"/>
      <c r="G36" s="126">
        <v>0</v>
      </c>
      <c r="H36" s="126">
        <v>0</v>
      </c>
      <c r="I36" s="18">
        <f t="shared" si="35"/>
        <v>0</v>
      </c>
      <c r="J36" s="18"/>
      <c r="K36" s="18"/>
      <c r="L36" s="126">
        <v>0</v>
      </c>
      <c r="M36" s="126">
        <v>0</v>
      </c>
      <c r="N36" s="18">
        <f t="shared" si="36"/>
        <v>0</v>
      </c>
      <c r="O36" s="18"/>
      <c r="P36" s="18"/>
      <c r="Q36" s="126">
        <v>0</v>
      </c>
      <c r="R36" s="126">
        <v>0</v>
      </c>
      <c r="S36" s="18">
        <f t="shared" si="37"/>
        <v>0</v>
      </c>
      <c r="T36" s="18"/>
      <c r="U36" s="18"/>
      <c r="V36" s="126">
        <v>0</v>
      </c>
      <c r="W36" s="126">
        <v>0</v>
      </c>
      <c r="X36" s="18">
        <f t="shared" si="38"/>
        <v>0</v>
      </c>
      <c r="Y36" s="18"/>
      <c r="Z36" s="18"/>
      <c r="AA36" s="126">
        <v>0</v>
      </c>
      <c r="AB36" s="126">
        <v>-50000</v>
      </c>
      <c r="AC36" s="18">
        <f t="shared" si="39"/>
        <v>-50000</v>
      </c>
      <c r="AD36" s="18"/>
      <c r="AE36" s="18"/>
      <c r="AF36" s="126">
        <v>0</v>
      </c>
      <c r="AG36" s="126">
        <v>-23500</v>
      </c>
      <c r="AH36" s="18">
        <f t="shared" si="40"/>
        <v>-23500</v>
      </c>
      <c r="AI36" s="18"/>
      <c r="AJ36" s="18"/>
      <c r="AK36" s="126">
        <v>0</v>
      </c>
      <c r="AL36" s="126">
        <v>-23500</v>
      </c>
      <c r="AM36" s="18">
        <f t="shared" si="41"/>
        <v>-23500</v>
      </c>
      <c r="AN36" s="18"/>
    </row>
    <row r="37" spans="1:40" x14ac:dyDescent="0.4">
      <c r="A37" s="4" t="s">
        <v>2236</v>
      </c>
      <c r="B37" s="125"/>
      <c r="C37" s="125"/>
      <c r="D37" s="18"/>
      <c r="E37" s="18"/>
      <c r="F37" s="18"/>
      <c r="G37" s="126"/>
      <c r="H37" s="126"/>
      <c r="I37" s="18"/>
      <c r="J37" s="18"/>
      <c r="K37" s="18"/>
      <c r="L37" s="126"/>
      <c r="M37" s="126"/>
      <c r="N37" s="18"/>
      <c r="O37" s="18"/>
      <c r="P37" s="18"/>
      <c r="Q37" s="126"/>
      <c r="R37" s="126"/>
      <c r="S37" s="18"/>
      <c r="T37" s="18"/>
      <c r="U37" s="18"/>
      <c r="V37" s="126"/>
      <c r="W37" s="126"/>
      <c r="X37" s="18"/>
      <c r="Y37" s="18"/>
      <c r="Z37" s="18"/>
      <c r="AA37" s="126"/>
      <c r="AB37" s="126"/>
      <c r="AC37" s="18"/>
      <c r="AD37" s="18"/>
      <c r="AE37" s="18"/>
      <c r="AF37" s="126"/>
      <c r="AG37" s="126"/>
      <c r="AH37" s="18"/>
      <c r="AI37" s="18"/>
      <c r="AJ37" s="18"/>
      <c r="AK37" s="126"/>
      <c r="AL37" s="126">
        <v>-50000</v>
      </c>
      <c r="AM37" s="18">
        <f t="shared" ref="AM37:AM38" si="42">SUM(AK37:AL37)</f>
        <v>-50000</v>
      </c>
      <c r="AN37" s="18"/>
    </row>
    <row r="38" spans="1:40" x14ac:dyDescent="0.4">
      <c r="A38" s="4" t="s">
        <v>2211</v>
      </c>
      <c r="B38" s="125"/>
      <c r="C38" s="125">
        <v>-9999</v>
      </c>
      <c r="D38" s="18">
        <f t="shared" si="34"/>
        <v>-9999</v>
      </c>
      <c r="E38" s="18"/>
      <c r="F38" s="18"/>
      <c r="G38" s="126">
        <v>0</v>
      </c>
      <c r="H38" s="126">
        <v>0</v>
      </c>
      <c r="I38" s="18">
        <f t="shared" si="35"/>
        <v>0</v>
      </c>
      <c r="J38" s="18"/>
      <c r="K38" s="18"/>
      <c r="L38" s="126">
        <v>0</v>
      </c>
      <c r="M38" s="126">
        <v>0</v>
      </c>
      <c r="N38" s="18">
        <f t="shared" si="36"/>
        <v>0</v>
      </c>
      <c r="O38" s="18"/>
      <c r="P38" s="18"/>
      <c r="Q38" s="126">
        <v>0</v>
      </c>
      <c r="R38" s="126">
        <v>0</v>
      </c>
      <c r="S38" s="18">
        <f t="shared" si="37"/>
        <v>0</v>
      </c>
      <c r="T38" s="18"/>
      <c r="U38" s="18"/>
      <c r="V38" s="126">
        <v>0</v>
      </c>
      <c r="W38" s="126">
        <v>0</v>
      </c>
      <c r="X38" s="18">
        <f t="shared" si="38"/>
        <v>0</v>
      </c>
      <c r="Y38" s="18"/>
      <c r="Z38" s="18"/>
      <c r="AA38" s="126">
        <v>0</v>
      </c>
      <c r="AB38" s="126">
        <v>0</v>
      </c>
      <c r="AC38" s="18">
        <f t="shared" si="39"/>
        <v>0</v>
      </c>
      <c r="AD38" s="18"/>
      <c r="AE38" s="18"/>
      <c r="AF38" s="126">
        <v>0</v>
      </c>
      <c r="AG38" s="126">
        <v>0</v>
      </c>
      <c r="AH38" s="18">
        <f t="shared" si="40"/>
        <v>0</v>
      </c>
      <c r="AI38" s="18"/>
      <c r="AJ38" s="18"/>
      <c r="AK38" s="126">
        <v>0</v>
      </c>
      <c r="AL38" s="126">
        <v>0</v>
      </c>
      <c r="AM38" s="18">
        <f t="shared" si="42"/>
        <v>0</v>
      </c>
      <c r="AN38" s="18"/>
    </row>
    <row r="39" spans="1:40" x14ac:dyDescent="0.4">
      <c r="A39" s="5" t="s">
        <v>2232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x14ac:dyDescent="0.4">
      <c r="A40" s="4" t="s">
        <v>2237</v>
      </c>
      <c r="B40" s="123"/>
      <c r="C40" s="123"/>
      <c r="D40" s="18"/>
      <c r="E40" s="18"/>
      <c r="F40" s="18"/>
      <c r="G40" s="126"/>
      <c r="H40" s="126"/>
      <c r="I40" s="18"/>
      <c r="J40" s="18"/>
      <c r="K40" s="18"/>
      <c r="L40" s="126"/>
      <c r="M40" s="126"/>
      <c r="N40" s="18"/>
      <c r="O40" s="18"/>
      <c r="P40" s="18"/>
      <c r="Q40" s="126"/>
      <c r="R40" s="126"/>
      <c r="S40" s="18"/>
      <c r="T40" s="18"/>
      <c r="U40" s="18"/>
      <c r="V40" s="126"/>
      <c r="W40" s="126"/>
      <c r="X40" s="18"/>
      <c r="Y40" s="18"/>
      <c r="Z40" s="18"/>
      <c r="AA40" s="126">
        <v>0</v>
      </c>
      <c r="AB40" s="126">
        <v>0</v>
      </c>
      <c r="AC40" s="18">
        <f>SUM(AA40:AB40)</f>
        <v>0</v>
      </c>
      <c r="AD40" s="18"/>
      <c r="AE40" s="18"/>
      <c r="AF40" s="126">
        <v>0</v>
      </c>
      <c r="AG40" s="126">
        <v>0</v>
      </c>
      <c r="AH40" s="18">
        <f>SUM(AF40:AG40)</f>
        <v>0</v>
      </c>
      <c r="AI40" s="18"/>
      <c r="AJ40" s="18"/>
      <c r="AK40" s="126">
        <v>0</v>
      </c>
      <c r="AL40" s="126">
        <v>0</v>
      </c>
      <c r="AM40" s="18">
        <f>SUM(AK40:AL40)</f>
        <v>0</v>
      </c>
      <c r="AN40" s="18"/>
    </row>
    <row r="41" spans="1:40" x14ac:dyDescent="0.4">
      <c r="A41" s="4" t="s">
        <v>2238</v>
      </c>
      <c r="B41" s="125"/>
      <c r="C41" s="125"/>
      <c r="D41" s="18"/>
      <c r="E41" s="18"/>
      <c r="F41" s="18"/>
      <c r="G41" s="126"/>
      <c r="H41" s="126"/>
      <c r="I41" s="18"/>
      <c r="J41" s="18"/>
      <c r="K41" s="18"/>
      <c r="L41" s="126"/>
      <c r="M41" s="126"/>
      <c r="N41" s="18"/>
      <c r="O41" s="18"/>
      <c r="P41" s="18"/>
      <c r="Q41" s="126"/>
      <c r="R41" s="126"/>
      <c r="S41" s="18"/>
      <c r="T41" s="18"/>
      <c r="U41" s="18"/>
      <c r="V41" s="126"/>
      <c r="W41" s="126"/>
      <c r="X41" s="18"/>
      <c r="Y41" s="18"/>
      <c r="Z41" s="18"/>
      <c r="AA41" s="126">
        <v>0</v>
      </c>
      <c r="AB41" s="126">
        <v>0</v>
      </c>
      <c r="AC41" s="18">
        <f t="shared" ref="AC41:AC42" si="43">SUM(AA41:AB41)</f>
        <v>0</v>
      </c>
      <c r="AD41" s="18"/>
      <c r="AE41" s="18"/>
      <c r="AF41" s="126">
        <v>0</v>
      </c>
      <c r="AG41" s="126">
        <v>0</v>
      </c>
      <c r="AH41" s="18">
        <f t="shared" ref="AH41:AH42" si="44">SUM(AF41:AG41)</f>
        <v>0</v>
      </c>
      <c r="AI41" s="18"/>
      <c r="AJ41" s="18"/>
      <c r="AK41" s="126">
        <v>0</v>
      </c>
      <c r="AL41" s="126">
        <v>0</v>
      </c>
      <c r="AM41" s="18">
        <f t="shared" ref="AM41:AM42" si="45">SUM(AK41:AL41)</f>
        <v>0</v>
      </c>
      <c r="AN41" s="18"/>
    </row>
    <row r="42" spans="1:40" x14ac:dyDescent="0.4">
      <c r="A42" s="4"/>
      <c r="B42" s="18"/>
      <c r="C42" s="18"/>
      <c r="D42" s="18"/>
      <c r="E42" s="18"/>
      <c r="F42" s="18"/>
      <c r="G42" s="126"/>
      <c r="H42" s="126"/>
      <c r="I42" s="18"/>
      <c r="J42" s="18"/>
      <c r="K42" s="18"/>
      <c r="L42" s="126"/>
      <c r="M42" s="126"/>
      <c r="N42" s="18"/>
      <c r="O42" s="18"/>
      <c r="P42" s="18"/>
      <c r="Q42" s="126"/>
      <c r="R42" s="126"/>
      <c r="S42" s="18"/>
      <c r="T42" s="18"/>
      <c r="U42" s="18"/>
      <c r="V42" s="126"/>
      <c r="W42" s="126"/>
      <c r="X42" s="18"/>
      <c r="Y42" s="18"/>
      <c r="Z42" s="18"/>
      <c r="AA42" s="126">
        <v>0</v>
      </c>
      <c r="AB42" s="126">
        <v>0</v>
      </c>
      <c r="AC42" s="18">
        <f t="shared" si="43"/>
        <v>0</v>
      </c>
      <c r="AD42" s="18"/>
      <c r="AE42" s="18"/>
      <c r="AF42" s="126">
        <v>0</v>
      </c>
      <c r="AG42" s="126">
        <v>0</v>
      </c>
      <c r="AH42" s="18">
        <f t="shared" si="44"/>
        <v>0</v>
      </c>
      <c r="AI42" s="18"/>
      <c r="AJ42" s="18"/>
      <c r="AK42" s="126">
        <v>0</v>
      </c>
      <c r="AL42" s="126">
        <v>0</v>
      </c>
      <c r="AM42" s="18">
        <f t="shared" si="45"/>
        <v>0</v>
      </c>
      <c r="AN42" s="1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4C34-1C7B-4531-99F9-31110C2DAAF7}">
  <dimension ref="B2:C7"/>
  <sheetViews>
    <sheetView workbookViewId="0">
      <selection activeCell="B7" sqref="B7"/>
    </sheetView>
  </sheetViews>
  <sheetFormatPr defaultRowHeight="17.399999999999999" x14ac:dyDescent="0.4"/>
  <cols>
    <col min="2" max="2" width="16.296875" bestFit="1" customWidth="1"/>
  </cols>
  <sheetData>
    <row r="2" spans="2:3" x14ac:dyDescent="0.4">
      <c r="B2" t="s">
        <v>2223</v>
      </c>
    </row>
    <row r="3" spans="2:3" x14ac:dyDescent="0.4">
      <c r="B3" t="s">
        <v>2224</v>
      </c>
    </row>
    <row r="4" spans="2:3" x14ac:dyDescent="0.4">
      <c r="B4" t="s">
        <v>2225</v>
      </c>
    </row>
    <row r="5" spans="2:3" x14ac:dyDescent="0.4">
      <c r="B5" t="s">
        <v>2226</v>
      </c>
      <c r="C5" t="s">
        <v>1160</v>
      </c>
    </row>
    <row r="6" spans="2:3" x14ac:dyDescent="0.4">
      <c r="B6" t="s">
        <v>2227</v>
      </c>
      <c r="C6" t="s">
        <v>1160</v>
      </c>
    </row>
    <row r="7" spans="2:3" x14ac:dyDescent="0.4">
      <c r="B7" t="s">
        <v>2228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E0F3-350F-4913-B064-CB1EFD5B6BD4}">
  <dimension ref="A1:Y217"/>
  <sheetViews>
    <sheetView workbookViewId="0">
      <pane ySplit="2" topLeftCell="A36" activePane="bottomLeft" state="frozen"/>
      <selection activeCell="E1" sqref="E1"/>
      <selection pane="bottomLeft" activeCell="H71" sqref="H71"/>
    </sheetView>
  </sheetViews>
  <sheetFormatPr defaultRowHeight="17.399999999999999" x14ac:dyDescent="0.4"/>
  <cols>
    <col min="1" max="1" width="7.3984375" bestFit="1" customWidth="1"/>
    <col min="2" max="2" width="3.69921875" bestFit="1" customWidth="1"/>
    <col min="3" max="3" width="11.8984375" bestFit="1" customWidth="1"/>
    <col min="4" max="4" width="12.3984375" bestFit="1" customWidth="1"/>
    <col min="5" max="7" width="10.5" customWidth="1"/>
    <col min="8" max="8" width="12.09765625" bestFit="1" customWidth="1"/>
    <col min="9" max="9" width="12.8984375" bestFit="1" customWidth="1"/>
    <col min="10" max="10" width="11.8984375" customWidth="1"/>
    <col min="11" max="11" width="11.69921875" bestFit="1" customWidth="1"/>
    <col min="12" max="12" width="8.5" bestFit="1" customWidth="1"/>
    <col min="13" max="13" width="3" customWidth="1"/>
    <col min="14" max="14" width="11.19921875" bestFit="1" customWidth="1"/>
    <col min="15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1" width="9.19921875" bestFit="1" customWidth="1"/>
    <col min="22" max="22" width="29.8984375" customWidth="1"/>
    <col min="23" max="23" width="38.09765625" customWidth="1"/>
    <col min="24" max="24" width="9.19921875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202412</v>
      </c>
      <c r="K1" s="46" t="s">
        <v>923</v>
      </c>
      <c r="L1" s="46">
        <v>202501</v>
      </c>
      <c r="N1" s="27" t="s">
        <v>950</v>
      </c>
      <c r="O1" s="133">
        <f>SUMIF(P3:P233,"지출",T3:T233)</f>
        <v>0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202501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-895849</v>
      </c>
      <c r="I3" s="41">
        <f ca="1">J3-H3</f>
        <v>0</v>
      </c>
      <c r="J3" s="43">
        <f>VLOOKUP(A3,대출!$B$4:$G$363,3,FALSE)*-1</f>
        <v>-895849</v>
      </c>
      <c r="K3" s="43">
        <f>G3+J3</f>
        <v>4151</v>
      </c>
      <c r="L3" s="24">
        <f>IF(G3=0,0,-J3/G3)</f>
        <v>0.99538777777777776</v>
      </c>
      <c r="N3" s="25"/>
      <c r="O3" s="26"/>
      <c r="P3" s="50"/>
      <c r="Q3" s="50"/>
      <c r="R3" s="50"/>
      <c r="S3" s="50"/>
      <c r="T3" s="50"/>
      <c r="U3" s="50"/>
      <c r="V3" s="50"/>
      <c r="W3" s="50"/>
      <c r="X3" s="50"/>
      <c r="Y3" s="6"/>
    </row>
    <row r="4" spans="1:25" x14ac:dyDescent="0.4">
      <c r="A4" s="4">
        <f t="shared" ref="A4:A18" si="0">$L$1</f>
        <v>202501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0</v>
      </c>
      <c r="I4" s="41">
        <f ca="1">J4-H4</f>
        <v>0</v>
      </c>
      <c r="J4" s="44">
        <f t="shared" ref="J4:J11" si="3">SUMIFS($T$3:$T$233,$P$3:$P$233,"지출",$Q$3:$Q$233,C4,$R$3:$R$233,D4)</f>
        <v>0</v>
      </c>
      <c r="K4" s="44">
        <f t="shared" ref="K4:K18" si="4">G4+J4</f>
        <v>100000</v>
      </c>
      <c r="L4" s="19">
        <f t="shared" ref="L4:L18" si="5">IF(G4=0,0,-J4/G4)</f>
        <v>0</v>
      </c>
      <c r="N4" s="25"/>
      <c r="O4" s="26"/>
      <c r="P4" s="50"/>
      <c r="Q4" s="50"/>
      <c r="R4" s="50"/>
      <c r="S4" s="50"/>
      <c r="T4" s="50"/>
      <c r="U4" s="50"/>
      <c r="V4" s="50"/>
      <c r="W4" s="50"/>
      <c r="X4" s="50"/>
      <c r="Y4" s="4"/>
    </row>
    <row r="5" spans="1:25" x14ac:dyDescent="0.4">
      <c r="A5" s="4">
        <f t="shared" si="0"/>
        <v>202501</v>
      </c>
      <c r="B5" s="4">
        <f t="shared" ref="B5:B18" si="6">ROW()-2</f>
        <v>3</v>
      </c>
      <c r="C5" s="4" t="s">
        <v>9</v>
      </c>
      <c r="D5" s="4" t="s">
        <v>1093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0</v>
      </c>
      <c r="I5" s="41">
        <f ca="1">J5-H5</f>
        <v>0</v>
      </c>
      <c r="J5" s="44">
        <f t="shared" si="3"/>
        <v>0</v>
      </c>
      <c r="K5" s="44">
        <f t="shared" si="4"/>
        <v>44000</v>
      </c>
      <c r="L5" s="19">
        <f t="shared" si="5"/>
        <v>0</v>
      </c>
      <c r="N5" s="25"/>
      <c r="O5" s="26"/>
      <c r="P5" s="50"/>
      <c r="Q5" s="85"/>
      <c r="R5" s="50"/>
      <c r="S5" s="50"/>
      <c r="T5" s="50"/>
      <c r="U5" s="50"/>
      <c r="V5" s="50"/>
      <c r="W5" s="50"/>
      <c r="X5" s="50"/>
      <c r="Y5" s="6"/>
    </row>
    <row r="6" spans="1:25" x14ac:dyDescent="0.4">
      <c r="A6" s="4">
        <f t="shared" si="0"/>
        <v>202501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0</v>
      </c>
      <c r="I6" s="41">
        <f t="shared" ref="I6:I18" ca="1" si="7">J6-H6</f>
        <v>0</v>
      </c>
      <c r="J6" s="44">
        <f t="shared" si="3"/>
        <v>0</v>
      </c>
      <c r="K6" s="44">
        <f t="shared" si="4"/>
        <v>330000</v>
      </c>
      <c r="L6" s="19">
        <f t="shared" si="5"/>
        <v>0</v>
      </c>
      <c r="N6" s="25"/>
      <c r="O6" s="26"/>
      <c r="P6" s="50"/>
      <c r="Q6" s="50"/>
      <c r="R6" s="50"/>
      <c r="S6" s="50"/>
      <c r="T6" s="50"/>
      <c r="U6" s="50"/>
      <c r="V6" s="50"/>
      <c r="W6" s="50"/>
      <c r="X6" s="50"/>
      <c r="Y6" s="6"/>
    </row>
    <row r="7" spans="1:25" x14ac:dyDescent="0.4">
      <c r="A7" s="4">
        <f t="shared" si="0"/>
        <v>202501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0</v>
      </c>
      <c r="I7" s="41">
        <f t="shared" ca="1" si="7"/>
        <v>0</v>
      </c>
      <c r="J7" s="44">
        <f t="shared" si="3"/>
        <v>0</v>
      </c>
      <c r="K7" s="44">
        <f t="shared" si="4"/>
        <v>130000</v>
      </c>
      <c r="L7" s="19">
        <f t="shared" si="5"/>
        <v>0</v>
      </c>
      <c r="N7" s="25"/>
      <c r="O7" s="26"/>
      <c r="P7" s="50"/>
      <c r="Q7" s="50"/>
      <c r="R7" s="50"/>
      <c r="S7" s="50"/>
      <c r="T7" s="50"/>
      <c r="U7" s="50"/>
      <c r="V7" s="50"/>
      <c r="W7" s="50"/>
      <c r="X7" s="50"/>
      <c r="Y7" s="6"/>
    </row>
    <row r="8" spans="1:25" x14ac:dyDescent="0.4">
      <c r="A8" s="4">
        <f>$L$1</f>
        <v>202501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0</v>
      </c>
      <c r="I8" s="41">
        <f t="shared" ca="1" si="7"/>
        <v>0</v>
      </c>
      <c r="J8" s="44">
        <f t="shared" si="3"/>
        <v>0</v>
      </c>
      <c r="K8" s="44">
        <f t="shared" si="4"/>
        <v>171000</v>
      </c>
      <c r="L8" s="19">
        <f t="shared" si="5"/>
        <v>0</v>
      </c>
      <c r="N8" s="25"/>
      <c r="O8" s="26"/>
      <c r="P8" s="50"/>
      <c r="Q8" s="50"/>
      <c r="R8" s="50"/>
      <c r="S8" s="50"/>
      <c r="T8" s="50"/>
      <c r="U8" s="50"/>
      <c r="V8" s="50"/>
      <c r="W8" s="50"/>
      <c r="X8" s="50"/>
      <c r="Y8" s="4"/>
    </row>
    <row r="9" spans="1:25" x14ac:dyDescent="0.4">
      <c r="A9" s="4">
        <f t="shared" si="0"/>
        <v>202501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0</v>
      </c>
      <c r="I9" s="41">
        <f t="shared" ca="1" si="7"/>
        <v>0</v>
      </c>
      <c r="J9" s="44">
        <f t="shared" si="3"/>
        <v>0</v>
      </c>
      <c r="K9" s="44">
        <f t="shared" si="4"/>
        <v>246000</v>
      </c>
      <c r="L9" s="19">
        <f t="shared" si="5"/>
        <v>0</v>
      </c>
      <c r="N9" s="25"/>
      <c r="O9" s="26"/>
      <c r="P9" s="50"/>
      <c r="Q9" s="50"/>
      <c r="R9" s="50"/>
      <c r="S9" s="50"/>
      <c r="T9" s="50"/>
      <c r="U9" s="50"/>
      <c r="V9" s="50"/>
      <c r="W9" s="50"/>
      <c r="X9" s="50"/>
      <c r="Y9" s="4"/>
    </row>
    <row r="10" spans="1:25" x14ac:dyDescent="0.4">
      <c r="A10" s="4">
        <f t="shared" si="0"/>
        <v>202501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0</v>
      </c>
      <c r="I10" s="41">
        <f t="shared" ca="1" si="7"/>
        <v>0</v>
      </c>
      <c r="J10" s="44">
        <f t="shared" si="3"/>
        <v>0</v>
      </c>
      <c r="K10" s="44">
        <f t="shared" si="4"/>
        <v>160000</v>
      </c>
      <c r="L10" s="19">
        <f t="shared" si="5"/>
        <v>0</v>
      </c>
      <c r="N10" s="25"/>
      <c r="O10" s="26"/>
      <c r="P10" s="50"/>
      <c r="Q10" s="50"/>
      <c r="R10" s="50"/>
      <c r="S10" s="50"/>
      <c r="T10" s="50"/>
      <c r="U10" s="50"/>
      <c r="V10" s="50"/>
      <c r="W10" s="50"/>
      <c r="X10" s="50"/>
      <c r="Y10" s="6"/>
    </row>
    <row r="11" spans="1:25" x14ac:dyDescent="0.4">
      <c r="A11" s="4">
        <f t="shared" si="0"/>
        <v>202501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0</v>
      </c>
      <c r="I11" s="41">
        <f t="shared" ca="1" si="7"/>
        <v>0</v>
      </c>
      <c r="J11" s="44">
        <f t="shared" si="3"/>
        <v>0</v>
      </c>
      <c r="K11" s="44">
        <f t="shared" si="4"/>
        <v>44000</v>
      </c>
      <c r="L11" s="19">
        <f t="shared" si="5"/>
        <v>0</v>
      </c>
      <c r="N11" s="25"/>
      <c r="O11" s="26"/>
      <c r="P11" s="50"/>
      <c r="Q11" s="50"/>
      <c r="R11" s="50"/>
      <c r="S11" s="50"/>
      <c r="T11" s="50"/>
      <c r="U11" s="50"/>
      <c r="V11" s="50"/>
      <c r="W11" s="50"/>
      <c r="X11" s="50"/>
      <c r="Y11" s="6"/>
    </row>
    <row r="12" spans="1:25" x14ac:dyDescent="0.4">
      <c r="A12" s="4">
        <f t="shared" si="0"/>
        <v>202501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0</v>
      </c>
      <c r="I12" s="41">
        <f t="shared" ca="1" si="7"/>
        <v>0</v>
      </c>
      <c r="J12" s="44">
        <f t="shared" ref="J12:J18" si="8">SUMIFS($T$3:$T$233,$P$3:$P$233,"지출",$Q$3:$Q$233,C12)</f>
        <v>0</v>
      </c>
      <c r="K12" s="45">
        <f t="shared" si="4"/>
        <v>350000</v>
      </c>
      <c r="L12" s="19">
        <f t="shared" si="5"/>
        <v>0</v>
      </c>
      <c r="N12" s="25"/>
      <c r="O12" s="26"/>
      <c r="P12" s="50"/>
      <c r="Q12" s="50"/>
      <c r="R12" s="50"/>
      <c r="S12" s="50"/>
      <c r="T12" s="50"/>
      <c r="U12" s="50"/>
      <c r="V12" s="50"/>
      <c r="W12" s="50"/>
      <c r="X12" s="50"/>
      <c r="Y12" s="6"/>
    </row>
    <row r="13" spans="1:25" x14ac:dyDescent="0.4">
      <c r="A13" s="4">
        <f t="shared" si="0"/>
        <v>202501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0</v>
      </c>
      <c r="G13" s="18">
        <f t="shared" si="1"/>
        <v>0</v>
      </c>
      <c r="H13" s="41">
        <f t="shared" ca="1" si="2"/>
        <v>0</v>
      </c>
      <c r="I13" s="41">
        <f t="shared" ca="1" si="7"/>
        <v>0</v>
      </c>
      <c r="J13" s="44">
        <f t="shared" si="8"/>
        <v>0</v>
      </c>
      <c r="K13" s="44">
        <f t="shared" si="4"/>
        <v>0</v>
      </c>
      <c r="L13" s="19">
        <f t="shared" si="5"/>
        <v>0</v>
      </c>
      <c r="N13" s="25"/>
      <c r="O13" s="26"/>
      <c r="P13" s="50"/>
      <c r="Q13" s="50"/>
      <c r="R13" s="50"/>
      <c r="S13" s="50"/>
      <c r="T13" s="50"/>
      <c r="U13" s="50"/>
      <c r="V13" s="50"/>
      <c r="W13" s="50"/>
      <c r="X13" s="50"/>
      <c r="Y13" s="6"/>
    </row>
    <row r="14" spans="1:25" x14ac:dyDescent="0.4">
      <c r="A14" s="4">
        <f t="shared" si="0"/>
        <v>202501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0</v>
      </c>
      <c r="G14" s="18">
        <f t="shared" si="1"/>
        <v>0</v>
      </c>
      <c r="H14" s="41">
        <f ca="1">INDIRECT($J$1&amp;"!J"&amp;ROW())</f>
        <v>0</v>
      </c>
      <c r="I14" s="41">
        <f t="shared" ca="1" si="7"/>
        <v>0</v>
      </c>
      <c r="J14" s="44">
        <f t="shared" si="8"/>
        <v>0</v>
      </c>
      <c r="K14" s="44">
        <f t="shared" si="4"/>
        <v>0</v>
      </c>
      <c r="L14" s="19">
        <f t="shared" si="5"/>
        <v>0</v>
      </c>
      <c r="N14" s="25"/>
      <c r="O14" s="26"/>
      <c r="P14" s="50"/>
      <c r="Q14" s="50"/>
      <c r="R14" s="50"/>
      <c r="S14" s="50"/>
      <c r="T14" s="50"/>
      <c r="U14" s="50"/>
      <c r="V14" s="50"/>
      <c r="W14" s="50"/>
      <c r="X14" s="50"/>
      <c r="Y14" s="6"/>
    </row>
    <row r="15" spans="1:25" x14ac:dyDescent="0.4">
      <c r="A15" s="4">
        <f t="shared" si="0"/>
        <v>202501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0</v>
      </c>
      <c r="I15" s="41">
        <f t="shared" ca="1" si="7"/>
        <v>0</v>
      </c>
      <c r="J15" s="44">
        <f t="shared" si="8"/>
        <v>0</v>
      </c>
      <c r="K15" s="44">
        <f t="shared" si="4"/>
        <v>0</v>
      </c>
      <c r="L15" s="19">
        <f t="shared" si="5"/>
        <v>0</v>
      </c>
      <c r="N15" s="25"/>
      <c r="O15" s="26"/>
      <c r="P15" s="50"/>
      <c r="Q15" s="50"/>
      <c r="R15" s="50"/>
      <c r="S15" s="50"/>
      <c r="T15" s="50"/>
      <c r="U15" s="50"/>
      <c r="V15" s="50"/>
      <c r="W15" s="50"/>
      <c r="X15" s="50"/>
      <c r="Y15" s="6"/>
    </row>
    <row r="16" spans="1:25" x14ac:dyDescent="0.4">
      <c r="A16" s="4">
        <f t="shared" si="0"/>
        <v>202501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0</v>
      </c>
      <c r="J16" s="44">
        <f t="shared" si="8"/>
        <v>0</v>
      </c>
      <c r="K16" s="44">
        <f t="shared" si="4"/>
        <v>0</v>
      </c>
      <c r="L16" s="19">
        <f t="shared" si="5"/>
        <v>0</v>
      </c>
      <c r="N16" s="25"/>
      <c r="O16" s="26"/>
      <c r="P16" s="50"/>
      <c r="Q16" s="50"/>
      <c r="R16" s="50"/>
      <c r="S16" s="50"/>
      <c r="T16" s="50"/>
      <c r="U16" s="50"/>
      <c r="V16" s="50"/>
      <c r="W16" s="50"/>
      <c r="X16" s="50"/>
      <c r="Y16" s="6"/>
    </row>
    <row r="17" spans="1:25" x14ac:dyDescent="0.4">
      <c r="A17" s="4">
        <f t="shared" si="0"/>
        <v>202501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/>
      <c r="O17" s="26"/>
      <c r="P17" s="50"/>
      <c r="Q17" s="50"/>
      <c r="R17" s="50"/>
      <c r="S17" s="50"/>
      <c r="T17" s="50"/>
      <c r="U17" s="50"/>
      <c r="V17" s="50"/>
      <c r="W17" s="50"/>
      <c r="X17" s="50"/>
      <c r="Y17" s="6"/>
    </row>
    <row r="18" spans="1:25" x14ac:dyDescent="0.4">
      <c r="A18" s="4">
        <f t="shared" si="0"/>
        <v>202501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0</v>
      </c>
      <c r="G18" s="18">
        <f t="shared" si="1"/>
        <v>350000</v>
      </c>
      <c r="H18" s="41">
        <f t="shared" ca="1" si="2"/>
        <v>0</v>
      </c>
      <c r="I18" s="41">
        <f t="shared" ca="1" si="7"/>
        <v>0</v>
      </c>
      <c r="J18" s="44">
        <f t="shared" si="8"/>
        <v>0</v>
      </c>
      <c r="K18" s="44">
        <f t="shared" si="4"/>
        <v>350000</v>
      </c>
      <c r="L18" s="19">
        <f t="shared" si="5"/>
        <v>0</v>
      </c>
      <c r="N18" s="25"/>
      <c r="O18" s="26"/>
      <c r="P18" s="50"/>
      <c r="Q18" s="50"/>
      <c r="R18" s="50"/>
      <c r="S18" s="50"/>
      <c r="T18" s="50"/>
      <c r="U18" s="50"/>
      <c r="V18" s="50"/>
      <c r="W18" s="50"/>
      <c r="X18" s="50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SUM(E3:E17)</f>
        <v>2475000</v>
      </c>
      <c r="F19" s="20">
        <f t="shared" si="9"/>
        <v>0</v>
      </c>
      <c r="G19" s="20">
        <f t="shared" si="9"/>
        <v>2475000</v>
      </c>
      <c r="H19" s="42">
        <f t="shared" ca="1" si="9"/>
        <v>-895849</v>
      </c>
      <c r="I19" s="42">
        <f t="shared" ca="1" si="9"/>
        <v>0</v>
      </c>
      <c r="J19" s="45">
        <f t="shared" si="9"/>
        <v>-895849</v>
      </c>
      <c r="K19" s="45">
        <f t="shared" si="9"/>
        <v>1579151</v>
      </c>
      <c r="L19" s="21">
        <f>IF(G19=0,0,-J19/G19)</f>
        <v>0.3619591919191919</v>
      </c>
      <c r="N19" s="25"/>
      <c r="O19" s="26"/>
      <c r="P19" s="50"/>
      <c r="Q19" s="50"/>
      <c r="R19" s="50"/>
      <c r="S19" s="50"/>
      <c r="T19" s="50"/>
      <c r="U19" s="50"/>
      <c r="V19" s="50"/>
      <c r="W19" s="50"/>
      <c r="X19" s="50"/>
      <c r="Y19" s="6"/>
    </row>
    <row r="20" spans="1:25" x14ac:dyDescent="0.4">
      <c r="I20" s="132" t="s">
        <v>920</v>
      </c>
      <c r="J20" s="132"/>
      <c r="K20" s="17">
        <f>E19+J19</f>
        <v>1579151</v>
      </c>
      <c r="L20" s="22">
        <f>IF(E19=0,0,-J19/E19)</f>
        <v>0.3619591919191919</v>
      </c>
      <c r="N20" s="25"/>
      <c r="O20" s="26"/>
      <c r="P20" s="50"/>
      <c r="Q20" s="50"/>
      <c r="R20" s="50"/>
      <c r="S20" s="50"/>
      <c r="T20" s="50"/>
      <c r="U20" s="50"/>
      <c r="V20" s="50"/>
      <c r="W20" s="50"/>
      <c r="X20" s="50"/>
      <c r="Y20" s="6"/>
    </row>
    <row r="21" spans="1:25" x14ac:dyDescent="0.4">
      <c r="N21" s="25"/>
      <c r="O21" s="26"/>
      <c r="P21" s="50"/>
      <c r="Q21" s="50"/>
      <c r="R21" s="50"/>
      <c r="S21" s="50"/>
      <c r="T21" s="50"/>
      <c r="U21" s="50"/>
      <c r="V21" s="50"/>
      <c r="W21" s="50"/>
      <c r="X21" s="50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/>
      <c r="O22" s="26"/>
      <c r="P22" s="50"/>
      <c r="Q22" s="50"/>
      <c r="R22" s="50"/>
      <c r="S22" s="50"/>
      <c r="T22" s="50"/>
      <c r="U22" s="50"/>
      <c r="V22" s="50"/>
      <c r="W22" s="50"/>
      <c r="X22" s="50"/>
      <c r="Y22" s="6"/>
    </row>
    <row r="23" spans="1:25" x14ac:dyDescent="0.4">
      <c r="C23" s="4" t="s">
        <v>19</v>
      </c>
      <c r="D23" s="4" t="s">
        <v>939</v>
      </c>
      <c r="E23" s="23">
        <f>SUMIFS($T$3:$T$233,$P$3:$P$233,"지출",$Q$3:$Q$233,C23,$R$3:$R$233,D23)</f>
        <v>0</v>
      </c>
      <c r="N23" s="25"/>
      <c r="O23" s="26"/>
      <c r="P23" s="50"/>
      <c r="Q23" s="50"/>
      <c r="R23" s="50"/>
      <c r="S23" s="50"/>
      <c r="T23" s="50"/>
      <c r="U23" s="50"/>
      <c r="V23" s="50"/>
      <c r="W23" s="50"/>
      <c r="X23" s="50"/>
      <c r="Y23" s="6"/>
    </row>
    <row r="24" spans="1:25" x14ac:dyDescent="0.4">
      <c r="C24" s="4" t="s">
        <v>19</v>
      </c>
      <c r="D24" s="4" t="s">
        <v>938</v>
      </c>
      <c r="E24" s="23">
        <f>SUMIFS($T$3:$T$233,$P$3:$P$233,"지출",$Q$3:$Q$233,C24,$R$3:$R$233,D24)</f>
        <v>0</v>
      </c>
      <c r="N24" s="25"/>
      <c r="O24" s="26"/>
      <c r="P24" s="50"/>
      <c r="Q24" s="50"/>
      <c r="R24" s="50"/>
      <c r="S24" s="50"/>
      <c r="T24" s="50"/>
      <c r="U24" s="50"/>
      <c r="V24" s="50"/>
      <c r="W24" s="50"/>
      <c r="X24" s="50"/>
      <c r="Y24" s="4"/>
    </row>
    <row r="25" spans="1:25" x14ac:dyDescent="0.4">
      <c r="C25" s="4" t="s">
        <v>19</v>
      </c>
      <c r="D25" s="4" t="s">
        <v>944</v>
      </c>
      <c r="E25" s="23">
        <f>SUMIFS($T$3:$T$233,$P$3:$P$233,"지출",$Q$3:$Q$233,C25,$R$3:$R$233,D25)</f>
        <v>0</v>
      </c>
      <c r="N25" s="25"/>
      <c r="O25" s="26"/>
      <c r="P25" s="50"/>
      <c r="Q25" s="50"/>
      <c r="R25" s="50"/>
      <c r="S25" s="50"/>
      <c r="T25" s="50"/>
      <c r="U25" s="50"/>
      <c r="V25" s="50"/>
      <c r="W25" s="50"/>
      <c r="X25" s="50"/>
      <c r="Y25" s="6"/>
    </row>
    <row r="26" spans="1:25" x14ac:dyDescent="0.4">
      <c r="C26" s="4" t="s">
        <v>19</v>
      </c>
      <c r="D26" s="4" t="s">
        <v>5</v>
      </c>
      <c r="E26" s="23">
        <f>SUMIFS($T$3:$T$233,$P$3:$P$233,"지출",$Q$3:$Q$233,C26,$R$3:$R$233,D26)</f>
        <v>0</v>
      </c>
      <c r="N26" s="25"/>
      <c r="O26" s="26"/>
      <c r="P26" s="50"/>
      <c r="Q26" s="50"/>
      <c r="R26" s="50"/>
      <c r="S26" s="50"/>
      <c r="T26" s="50"/>
      <c r="U26" s="50"/>
      <c r="V26" s="50"/>
      <c r="W26" s="50"/>
      <c r="X26" s="50"/>
      <c r="Y26" s="6"/>
    </row>
    <row r="27" spans="1:25" x14ac:dyDescent="0.4">
      <c r="C27" s="92" t="s">
        <v>959</v>
      </c>
      <c r="D27" s="68"/>
      <c r="E27" s="49">
        <f>SUM(E22:E26)</f>
        <v>0</v>
      </c>
      <c r="N27" s="25"/>
      <c r="O27" s="26"/>
      <c r="P27" s="50"/>
      <c r="Q27" s="50"/>
      <c r="R27" s="50"/>
      <c r="S27" s="50"/>
      <c r="T27" s="50"/>
      <c r="U27" s="50"/>
      <c r="V27" s="50"/>
      <c r="W27" s="50"/>
      <c r="X27" s="50"/>
      <c r="Y27" s="6"/>
    </row>
    <row r="28" spans="1:25" x14ac:dyDescent="0.4">
      <c r="C28" s="4" t="s">
        <v>954</v>
      </c>
      <c r="D28" s="4" t="s">
        <v>951</v>
      </c>
      <c r="E28" s="23">
        <f>SUMIFS($T$3:$T$233,$P$3:$P$233,"지출",$Q$3:$Q$233,C28,$R$3:$R$233,D28)</f>
        <v>0</v>
      </c>
      <c r="N28" s="25"/>
      <c r="O28" s="26"/>
      <c r="P28" s="50"/>
      <c r="Q28" s="50"/>
      <c r="R28" s="50"/>
      <c r="S28" s="50"/>
      <c r="T28" s="50"/>
      <c r="U28" s="50"/>
      <c r="V28" s="50"/>
      <c r="W28" s="50"/>
      <c r="X28" s="50"/>
      <c r="Y28" s="6"/>
    </row>
    <row r="29" spans="1:25" x14ac:dyDescent="0.4">
      <c r="C29" s="4" t="s">
        <v>954</v>
      </c>
      <c r="D29" s="4" t="s">
        <v>957</v>
      </c>
      <c r="E29" s="23">
        <f>SUMIFS($T$3:$T$233,$P$3:$P$233,"지출",$Q$3:$Q$233,C29,$R$3:$R$233,D29)</f>
        <v>0</v>
      </c>
      <c r="N29" s="25"/>
      <c r="O29" s="26"/>
      <c r="P29" s="50"/>
      <c r="Q29" s="50"/>
      <c r="R29" s="50"/>
      <c r="S29" s="50"/>
      <c r="T29" s="50"/>
      <c r="U29" s="50"/>
      <c r="V29" s="50"/>
      <c r="W29" s="50"/>
      <c r="X29" s="50"/>
      <c r="Y29" s="6"/>
    </row>
    <row r="30" spans="1:25" x14ac:dyDescent="0.4">
      <c r="C30" s="4" t="s">
        <v>954</v>
      </c>
      <c r="D30" s="4" t="s">
        <v>5</v>
      </c>
      <c r="E30" s="23">
        <f>SUMIFS($T$3:$T$233,$P$3:$P$233,"지출",$Q$3:$Q$233,C30,$R$3:$R$233,D30)</f>
        <v>0</v>
      </c>
      <c r="N30" s="25"/>
      <c r="O30" s="26"/>
      <c r="P30" s="50"/>
      <c r="Q30" s="50"/>
      <c r="R30" s="50"/>
      <c r="S30" s="50"/>
      <c r="T30" s="50"/>
      <c r="U30" s="50"/>
      <c r="V30" s="50"/>
      <c r="W30" s="50"/>
      <c r="X30" s="50"/>
      <c r="Y30" s="6"/>
    </row>
    <row r="31" spans="1:25" x14ac:dyDescent="0.4">
      <c r="C31" s="92" t="s">
        <v>960</v>
      </c>
      <c r="D31" s="68"/>
      <c r="E31" s="49">
        <f>SUM(E28:E30)</f>
        <v>0</v>
      </c>
      <c r="N31" s="25"/>
      <c r="O31" s="26"/>
      <c r="P31" s="50"/>
      <c r="Q31" s="50"/>
      <c r="R31" s="50"/>
      <c r="S31" s="50"/>
      <c r="T31" s="50"/>
      <c r="U31" s="50"/>
      <c r="V31" s="50"/>
      <c r="W31" s="50"/>
      <c r="X31" s="50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SUMIFS($T$3:$T$233,$P$3:$P$233,"지출",$Q$3:$Q$233,C32,$R$3:$R$233,D32)</f>
        <v>0</v>
      </c>
      <c r="N32" s="25"/>
      <c r="O32" s="26"/>
      <c r="P32" s="50"/>
      <c r="Q32" s="50"/>
      <c r="R32" s="50"/>
      <c r="S32" s="50"/>
      <c r="T32" s="50"/>
      <c r="U32" s="50"/>
      <c r="V32" s="50"/>
      <c r="W32" s="50"/>
      <c r="X32" s="50"/>
      <c r="Y32" s="6"/>
    </row>
    <row r="33" spans="3:25" x14ac:dyDescent="0.4">
      <c r="C33" s="4" t="s">
        <v>5</v>
      </c>
      <c r="D33" s="4" t="s">
        <v>925</v>
      </c>
      <c r="E33" s="23">
        <f t="shared" si="10"/>
        <v>0</v>
      </c>
      <c r="N33" s="25"/>
      <c r="O33" s="26"/>
      <c r="P33" s="50"/>
      <c r="Q33" s="50"/>
      <c r="R33" s="50"/>
      <c r="S33" s="50"/>
      <c r="T33" s="50"/>
      <c r="U33" s="50"/>
      <c r="V33" s="50"/>
      <c r="W33" s="50"/>
      <c r="X33" s="50"/>
      <c r="Y33" s="6"/>
    </row>
    <row r="34" spans="3:25" x14ac:dyDescent="0.4">
      <c r="C34" s="4" t="s">
        <v>5</v>
      </c>
      <c r="D34" s="4" t="s">
        <v>958</v>
      </c>
      <c r="E34" s="23">
        <f t="shared" si="10"/>
        <v>0</v>
      </c>
      <c r="N34" s="25"/>
      <c r="O34" s="26"/>
      <c r="P34" s="50"/>
      <c r="Q34" s="50"/>
      <c r="R34" s="50"/>
      <c r="S34" s="50"/>
      <c r="T34" s="50"/>
      <c r="U34" s="50"/>
      <c r="V34" s="50"/>
      <c r="W34" s="50"/>
      <c r="X34" s="50"/>
      <c r="Y34" s="6"/>
    </row>
    <row r="35" spans="3:25" x14ac:dyDescent="0.4">
      <c r="C35" s="4" t="s">
        <v>5</v>
      </c>
      <c r="D35" s="4" t="s">
        <v>953</v>
      </c>
      <c r="E35" s="23">
        <f t="shared" si="10"/>
        <v>0</v>
      </c>
      <c r="N35" s="25"/>
      <c r="O35" s="26"/>
      <c r="P35" s="50"/>
      <c r="Q35" s="50"/>
      <c r="R35" s="50"/>
      <c r="S35" s="50"/>
      <c r="T35" s="50"/>
      <c r="U35" s="50"/>
      <c r="V35" s="50"/>
      <c r="W35" s="50"/>
      <c r="X35" s="50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/>
      <c r="O36" s="26"/>
      <c r="P36" s="50"/>
      <c r="Q36" s="50"/>
      <c r="R36" s="50"/>
      <c r="S36" s="50"/>
      <c r="T36" s="50"/>
      <c r="U36" s="50"/>
      <c r="V36" s="50"/>
      <c r="W36" s="50"/>
      <c r="X36" s="50"/>
      <c r="Y36" s="6"/>
    </row>
    <row r="37" spans="3:25" x14ac:dyDescent="0.4">
      <c r="C37" s="4" t="s">
        <v>5</v>
      </c>
      <c r="D37" s="95" t="s">
        <v>1010</v>
      </c>
      <c r="E37" s="23">
        <f t="shared" si="10"/>
        <v>0</v>
      </c>
      <c r="N37" s="25"/>
      <c r="O37" s="26"/>
      <c r="P37" s="50"/>
      <c r="Q37" s="50"/>
      <c r="R37" s="50"/>
      <c r="S37" s="50"/>
      <c r="T37" s="50"/>
      <c r="U37" s="50"/>
      <c r="V37" s="50"/>
      <c r="W37" s="50"/>
      <c r="X37" s="50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/>
      <c r="O38" s="26"/>
      <c r="P38" s="50"/>
      <c r="Q38" s="50"/>
      <c r="R38" s="50"/>
      <c r="S38" s="50"/>
      <c r="T38" s="50"/>
      <c r="U38" s="50"/>
      <c r="V38" s="50"/>
      <c r="W38" s="50"/>
      <c r="X38" s="50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/>
      <c r="O39" s="26"/>
      <c r="P39" s="50"/>
      <c r="Q39" s="50"/>
      <c r="R39" s="50"/>
      <c r="S39" s="50"/>
      <c r="T39" s="50"/>
      <c r="U39" s="50"/>
      <c r="V39" s="50"/>
      <c r="W39" s="50"/>
      <c r="X39" s="50"/>
      <c r="Y39" s="6"/>
    </row>
    <row r="40" spans="3:25" x14ac:dyDescent="0.4">
      <c r="C40" s="94" t="s">
        <v>962</v>
      </c>
      <c r="D40" s="93"/>
      <c r="E40" s="20">
        <f>SUM(E32:E35)</f>
        <v>0</v>
      </c>
      <c r="N40" s="25"/>
      <c r="O40" s="26"/>
      <c r="P40" s="50"/>
      <c r="Q40" s="50"/>
      <c r="R40" s="50"/>
      <c r="S40" s="50"/>
      <c r="T40" s="50"/>
      <c r="U40" s="50"/>
      <c r="V40" s="50"/>
      <c r="W40" s="50"/>
      <c r="X40" s="50"/>
      <c r="Y40" s="6"/>
    </row>
    <row r="41" spans="3:25" x14ac:dyDescent="0.4">
      <c r="C41" s="4" t="s">
        <v>1</v>
      </c>
      <c r="D41" s="95" t="s">
        <v>1013</v>
      </c>
      <c r="E41" s="23">
        <f>SUMIFS($T$3:$T$233,$P$3:$P$233,"지출",$Q$3:$Q$233,C41,$R$3:$R$233,D41)</f>
        <v>0</v>
      </c>
      <c r="N41" s="25"/>
      <c r="O41" s="26"/>
      <c r="P41" s="50"/>
      <c r="Q41" s="50"/>
      <c r="R41" s="50"/>
      <c r="S41" s="50"/>
      <c r="T41" s="50"/>
      <c r="U41" s="50"/>
      <c r="V41" s="50"/>
      <c r="W41" s="50"/>
      <c r="X41" s="50"/>
      <c r="Y41" s="6"/>
    </row>
    <row r="42" spans="3:25" x14ac:dyDescent="0.4">
      <c r="C42" s="4" t="s">
        <v>1</v>
      </c>
      <c r="D42" s="95" t="s">
        <v>1014</v>
      </c>
      <c r="E42" s="23">
        <f>SUMIFS($T$3:$T$233,$P$3:$P$233,"지출",$Q$3:$Q$233,C42,$R$3:$R$233,D42)</f>
        <v>0</v>
      </c>
      <c r="N42" s="25"/>
      <c r="O42" s="26"/>
      <c r="P42" s="50"/>
      <c r="Q42" s="50"/>
      <c r="R42" s="50"/>
      <c r="S42" s="50"/>
      <c r="T42" s="50"/>
      <c r="U42" s="50"/>
      <c r="V42" s="50"/>
      <c r="W42" s="50"/>
      <c r="X42" s="50"/>
      <c r="Y42" s="6"/>
    </row>
    <row r="43" spans="3:25" x14ac:dyDescent="0.4">
      <c r="C43" s="4" t="s">
        <v>1</v>
      </c>
      <c r="D43" s="95" t="s">
        <v>1015</v>
      </c>
      <c r="E43" s="23">
        <f>SUMIFS($T$3:$T$233,$P$3:$P$233,"지출",$Q$3:$Q$233,C43,$R$3:$R$233,D43)</f>
        <v>0</v>
      </c>
      <c r="N43" s="25"/>
      <c r="O43" s="26"/>
      <c r="P43" s="50"/>
      <c r="Q43" s="50"/>
      <c r="R43" s="50"/>
      <c r="S43" s="50"/>
      <c r="T43" s="50"/>
      <c r="U43" s="50"/>
      <c r="V43" s="50"/>
      <c r="W43" s="50"/>
      <c r="X43" s="50"/>
      <c r="Y43" s="6"/>
    </row>
    <row r="44" spans="3:25" x14ac:dyDescent="0.4">
      <c r="C44" s="4" t="s">
        <v>1</v>
      </c>
      <c r="D44" s="95" t="s">
        <v>1010</v>
      </c>
      <c r="E44" s="23">
        <f>SUMIFS($T$3:$T$233,$P$3:$P$233,"지출",$Q$3:$Q$233,C44,$R$3:$R$233,D44)</f>
        <v>0</v>
      </c>
      <c r="N44" s="25"/>
      <c r="O44" s="26"/>
      <c r="P44" s="50"/>
      <c r="Q44" s="50"/>
      <c r="R44" s="50"/>
      <c r="S44" s="50"/>
      <c r="T44" s="50"/>
      <c r="U44" s="50"/>
      <c r="V44" s="50"/>
      <c r="W44" s="50"/>
      <c r="X44" s="50"/>
      <c r="Y44" s="6"/>
    </row>
    <row r="45" spans="3:25" x14ac:dyDescent="0.4">
      <c r="C45" s="94" t="s">
        <v>1016</v>
      </c>
      <c r="D45" s="93"/>
      <c r="E45" s="20">
        <f>SUM(E37:E40)</f>
        <v>0</v>
      </c>
      <c r="N45" s="25"/>
      <c r="O45" s="26"/>
      <c r="P45" s="50"/>
      <c r="Q45" s="50"/>
      <c r="R45" s="50"/>
      <c r="S45" s="50"/>
      <c r="T45" s="50"/>
      <c r="U45" s="50"/>
      <c r="V45" s="50"/>
      <c r="W45" s="50"/>
      <c r="X45" s="50"/>
      <c r="Y45" s="6"/>
    </row>
    <row r="46" spans="3:25" x14ac:dyDescent="0.4">
      <c r="C46" s="4" t="s">
        <v>2</v>
      </c>
      <c r="D46" s="95" t="s">
        <v>1013</v>
      </c>
      <c r="E46" s="23">
        <f>SUMIFS($T$3:$T$233,$P$3:$P$233,"지출",$Q$3:$Q$233,C46,$R$3:$R$233,D46)</f>
        <v>0</v>
      </c>
      <c r="N46" s="25"/>
      <c r="O46" s="26"/>
      <c r="P46" s="50"/>
      <c r="Q46" s="50"/>
      <c r="R46" s="50"/>
      <c r="S46" s="50"/>
      <c r="T46" s="50"/>
      <c r="U46" s="50"/>
      <c r="V46" s="50"/>
      <c r="W46" s="50"/>
      <c r="X46" s="50"/>
      <c r="Y46" s="6"/>
    </row>
    <row r="47" spans="3:25" x14ac:dyDescent="0.4">
      <c r="C47" s="4" t="s">
        <v>2</v>
      </c>
      <c r="D47" s="95" t="s">
        <v>1014</v>
      </c>
      <c r="E47" s="23">
        <f>SUMIFS($T$3:$T$233,$P$3:$P$233,"지출",$Q$3:$Q$233,C47,$R$3:$R$233,D47)</f>
        <v>0</v>
      </c>
      <c r="N47" s="25"/>
      <c r="O47" s="26"/>
      <c r="P47" s="50"/>
      <c r="Q47" s="50"/>
      <c r="R47" s="50"/>
      <c r="S47" s="50"/>
      <c r="T47" s="50"/>
      <c r="U47" s="50"/>
      <c r="V47" s="50"/>
      <c r="W47" s="50"/>
      <c r="X47" s="50"/>
      <c r="Y47" s="6"/>
    </row>
    <row r="48" spans="3:25" x14ac:dyDescent="0.4">
      <c r="C48" s="4" t="s">
        <v>2</v>
      </c>
      <c r="D48" s="95" t="s">
        <v>1015</v>
      </c>
      <c r="E48" s="23">
        <f>SUMIFS($T$3:$T$233,$P$3:$P$233,"지출",$Q$3:$Q$233,C48,$R$3:$R$233,D48)</f>
        <v>0</v>
      </c>
      <c r="N48" s="25"/>
      <c r="O48" s="26"/>
      <c r="P48" s="50"/>
      <c r="Q48" s="50"/>
      <c r="R48" s="50"/>
      <c r="S48" s="50"/>
      <c r="T48" s="50"/>
      <c r="U48" s="50"/>
      <c r="V48" s="50"/>
      <c r="W48" s="50"/>
      <c r="X48" s="50"/>
      <c r="Y48" s="6"/>
    </row>
    <row r="49" spans="1:25" x14ac:dyDescent="0.4">
      <c r="C49" s="4" t="s">
        <v>2</v>
      </c>
      <c r="D49" s="95" t="s">
        <v>1010</v>
      </c>
      <c r="E49" s="23">
        <f>SUMIFS($T$3:$T$233,$P$3:$P$233,"지출",$Q$3:$Q$233,C49,$R$3:$R$233,D49)</f>
        <v>0</v>
      </c>
      <c r="N49" s="25"/>
      <c r="O49" s="26"/>
      <c r="P49" s="50"/>
      <c r="Q49" s="50"/>
      <c r="R49" s="50"/>
      <c r="S49" s="50"/>
      <c r="T49" s="50"/>
      <c r="U49" s="50"/>
      <c r="V49" s="50"/>
      <c r="W49" s="50"/>
      <c r="X49" s="50"/>
      <c r="Y49" s="6"/>
    </row>
    <row r="50" spans="1:25" x14ac:dyDescent="0.4">
      <c r="C50" s="94" t="s">
        <v>1017</v>
      </c>
      <c r="D50" s="93"/>
      <c r="E50" s="20">
        <f>SUM(E42:E45)</f>
        <v>0</v>
      </c>
      <c r="J50" s="53"/>
      <c r="K50" s="54"/>
      <c r="N50" s="25"/>
      <c r="O50" s="26"/>
      <c r="P50" s="50"/>
      <c r="Q50" s="50"/>
      <c r="R50" s="50"/>
      <c r="S50" s="50"/>
      <c r="T50" s="50"/>
      <c r="U50" s="50"/>
      <c r="V50" s="50"/>
      <c r="W50" s="50"/>
      <c r="X50" s="50"/>
      <c r="Y50" s="6"/>
    </row>
    <row r="51" spans="1:25" ht="18" thickBot="1" x14ac:dyDescent="0.45">
      <c r="J51" s="53"/>
      <c r="K51" s="54"/>
      <c r="N51" s="25"/>
      <c r="O51" s="26"/>
      <c r="P51" s="50"/>
      <c r="Q51" s="50"/>
      <c r="R51" s="50"/>
      <c r="S51" s="50"/>
      <c r="T51" s="50"/>
      <c r="U51" s="50"/>
      <c r="V51" s="50"/>
      <c r="W51" s="50"/>
      <c r="X51" s="50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138057062</v>
      </c>
      <c r="N52" s="25"/>
      <c r="O52" s="26"/>
      <c r="P52" s="50"/>
      <c r="Q52" s="50"/>
      <c r="R52" s="50"/>
      <c r="S52" s="50"/>
      <c r="T52" s="50"/>
      <c r="U52" s="50"/>
      <c r="V52" s="50"/>
      <c r="W52" s="50"/>
      <c r="X52" s="50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138057062</v>
      </c>
      <c r="N53" s="25"/>
      <c r="O53" s="26"/>
      <c r="P53" s="50"/>
      <c r="Q53" s="50"/>
      <c r="R53" s="50"/>
      <c r="S53" s="50"/>
      <c r="T53" s="50"/>
      <c r="U53" s="50"/>
      <c r="V53" s="50"/>
      <c r="W53" s="50"/>
      <c r="X53" s="50"/>
      <c r="Y53" s="6"/>
    </row>
    <row r="54" spans="1:25" ht="18" thickBot="1" x14ac:dyDescent="0.45">
      <c r="C54" s="79" t="s">
        <v>991</v>
      </c>
      <c r="D54" s="50" t="s">
        <v>993</v>
      </c>
      <c r="E54" s="86"/>
      <c r="F54" s="51">
        <v>2257943</v>
      </c>
      <c r="H54" s="98" t="s">
        <v>907</v>
      </c>
      <c r="I54" s="30">
        <f ca="1">I53-I52</f>
        <v>0</v>
      </c>
      <c r="J54" s="53"/>
      <c r="K54" s="54"/>
      <c r="N54" s="25"/>
      <c r="O54" s="26"/>
      <c r="P54" s="50"/>
      <c r="Q54" s="50"/>
      <c r="R54" s="50"/>
      <c r="S54" s="50"/>
      <c r="T54" s="50"/>
      <c r="U54" s="50"/>
      <c r="V54" s="50"/>
      <c r="W54" s="50"/>
      <c r="X54" s="50"/>
      <c r="Y54" s="6"/>
    </row>
    <row r="55" spans="1:25" x14ac:dyDescent="0.4">
      <c r="C55" s="83"/>
      <c r="D55" s="50" t="s">
        <v>994</v>
      </c>
      <c r="E55" s="86"/>
      <c r="F55" s="51">
        <v>50108414</v>
      </c>
      <c r="H55" s="52"/>
      <c r="I55" s="53"/>
      <c r="J55" s="53"/>
      <c r="K55" s="54"/>
      <c r="N55" s="25"/>
      <c r="O55" s="26"/>
      <c r="P55" s="50"/>
      <c r="Q55" s="50"/>
      <c r="R55" s="50"/>
      <c r="S55" s="50"/>
      <c r="T55" s="50"/>
      <c r="U55" s="50"/>
      <c r="V55" s="50"/>
      <c r="W55" s="50"/>
      <c r="X55" s="50"/>
      <c r="Y55" s="6"/>
    </row>
    <row r="56" spans="1:25" x14ac:dyDescent="0.4">
      <c r="C56" s="83"/>
      <c r="D56" s="84" t="s">
        <v>996</v>
      </c>
      <c r="E56" s="87"/>
      <c r="F56" s="51">
        <v>0</v>
      </c>
      <c r="H56" s="52"/>
      <c r="I56" s="53"/>
      <c r="J56" s="53"/>
      <c r="K56" s="54"/>
      <c r="N56" s="25"/>
      <c r="O56" s="26"/>
      <c r="P56" s="50"/>
      <c r="Q56" s="50"/>
      <c r="R56" s="50"/>
      <c r="S56" s="50"/>
      <c r="T56" s="50"/>
      <c r="U56" s="50"/>
      <c r="V56" s="50"/>
      <c r="W56" s="50"/>
      <c r="X56" s="50"/>
      <c r="Y56" s="6"/>
    </row>
    <row r="57" spans="1:25" x14ac:dyDescent="0.4">
      <c r="C57" s="80"/>
      <c r="D57" s="84" t="s">
        <v>1018</v>
      </c>
      <c r="E57" s="87"/>
      <c r="F57" s="51">
        <v>0</v>
      </c>
      <c r="H57" s="52"/>
      <c r="I57" s="53"/>
      <c r="J57" s="53"/>
      <c r="K57" s="54"/>
      <c r="N57" s="25"/>
      <c r="O57" s="26"/>
      <c r="P57" s="50"/>
      <c r="Q57" s="50"/>
      <c r="R57" s="50"/>
      <c r="S57" s="50"/>
      <c r="T57" s="50"/>
      <c r="U57" s="50"/>
      <c r="V57" s="50"/>
      <c r="W57" s="50"/>
      <c r="X57" s="50"/>
      <c r="Y57" s="6"/>
    </row>
    <row r="58" spans="1:25" x14ac:dyDescent="0.4">
      <c r="C58" s="81" t="s">
        <v>992</v>
      </c>
      <c r="D58" s="85" t="s">
        <v>1005</v>
      </c>
      <c r="E58" s="88"/>
      <c r="F58" s="51">
        <v>6000000</v>
      </c>
      <c r="H58" s="52"/>
      <c r="I58" s="53"/>
      <c r="J58" s="53"/>
      <c r="K58" s="54"/>
      <c r="N58" s="25"/>
      <c r="O58" s="26"/>
      <c r="P58" s="50"/>
      <c r="Q58" s="50"/>
      <c r="R58" s="50"/>
      <c r="S58" s="50"/>
      <c r="T58" s="50"/>
      <c r="U58" s="50"/>
      <c r="V58" s="50"/>
      <c r="W58" s="50"/>
      <c r="X58" s="50"/>
      <c r="Y58" s="6"/>
    </row>
    <row r="59" spans="1:25" x14ac:dyDescent="0.4">
      <c r="C59" s="79" t="s">
        <v>969</v>
      </c>
      <c r="D59" s="50" t="s">
        <v>989</v>
      </c>
      <c r="E59" s="89">
        <v>45676</v>
      </c>
      <c r="F59" s="51">
        <v>136580</v>
      </c>
      <c r="H59" s="52"/>
      <c r="I59" s="53"/>
      <c r="J59" s="53"/>
      <c r="K59" s="54"/>
      <c r="N59" s="25"/>
      <c r="O59" s="26"/>
      <c r="P59" s="50"/>
      <c r="Q59" s="50"/>
      <c r="R59" s="50"/>
      <c r="S59" s="50"/>
      <c r="T59" s="50"/>
      <c r="U59" s="50"/>
      <c r="V59" s="50"/>
      <c r="W59" s="50"/>
      <c r="X59" s="50"/>
      <c r="Y59" s="6"/>
    </row>
    <row r="60" spans="1:25" x14ac:dyDescent="0.4">
      <c r="C60" s="83"/>
      <c r="D60" s="50" t="s">
        <v>990</v>
      </c>
      <c r="E60" s="89">
        <v>45676</v>
      </c>
      <c r="F60" s="51">
        <v>51950</v>
      </c>
      <c r="H60" s="52"/>
      <c r="I60" s="53"/>
      <c r="J60" s="53"/>
      <c r="K60" s="54"/>
      <c r="N60" s="25"/>
      <c r="O60" s="26"/>
      <c r="P60" s="50"/>
      <c r="Q60" s="50"/>
      <c r="R60" s="50"/>
      <c r="S60" s="50"/>
      <c r="T60" s="50"/>
      <c r="U60" s="50"/>
      <c r="V60" s="50"/>
      <c r="W60" s="50"/>
      <c r="X60" s="50"/>
      <c r="Y60" s="6"/>
    </row>
    <row r="61" spans="1:25" x14ac:dyDescent="0.4">
      <c r="C61" s="83"/>
      <c r="D61" s="50" t="s">
        <v>946</v>
      </c>
      <c r="E61" s="89">
        <v>45676</v>
      </c>
      <c r="F61" s="51">
        <v>1000000</v>
      </c>
      <c r="H61" s="52"/>
      <c r="I61" s="53"/>
      <c r="J61" s="53"/>
      <c r="K61" s="54"/>
      <c r="N61" s="25"/>
      <c r="O61" s="26"/>
      <c r="P61" s="50"/>
      <c r="Q61" s="50"/>
      <c r="R61" s="50"/>
      <c r="S61" s="50"/>
      <c r="T61" s="50"/>
      <c r="U61" s="50"/>
      <c r="V61" s="50"/>
      <c r="W61" s="50"/>
      <c r="X61" s="50"/>
      <c r="Y61" s="6"/>
    </row>
    <row r="62" spans="1:25" x14ac:dyDescent="0.4">
      <c r="C62" s="83"/>
      <c r="D62" s="50" t="s">
        <v>995</v>
      </c>
      <c r="E62" s="89">
        <v>45676</v>
      </c>
      <c r="F62" s="51">
        <v>4500000</v>
      </c>
      <c r="H62" s="52"/>
      <c r="I62" s="53"/>
      <c r="J62" s="53"/>
      <c r="K62" s="54"/>
      <c r="N62" s="25"/>
      <c r="O62" s="26"/>
      <c r="P62" s="50"/>
      <c r="Q62" s="50"/>
      <c r="R62" s="50"/>
      <c r="S62" s="50"/>
      <c r="T62" s="50"/>
      <c r="U62" s="50"/>
      <c r="V62" s="50"/>
      <c r="W62" s="50"/>
      <c r="X62" s="50"/>
      <c r="Y62" s="6"/>
    </row>
    <row r="63" spans="1:25" x14ac:dyDescent="0.4">
      <c r="C63" s="80"/>
      <c r="D63" s="50" t="s">
        <v>1004</v>
      </c>
      <c r="E63" s="89">
        <v>45676</v>
      </c>
      <c r="F63" s="51">
        <v>782000</v>
      </c>
      <c r="H63" s="52"/>
      <c r="I63" s="53"/>
      <c r="J63" s="53"/>
      <c r="K63" s="54"/>
      <c r="N63" s="25"/>
      <c r="O63" s="26"/>
      <c r="P63" s="50"/>
      <c r="Q63" s="50"/>
      <c r="R63" s="50"/>
      <c r="S63" s="50"/>
      <c r="T63" s="50"/>
      <c r="U63" s="50"/>
      <c r="V63" s="50"/>
      <c r="W63" s="50"/>
      <c r="X63" s="50"/>
      <c r="Y63" s="6"/>
    </row>
    <row r="64" spans="1:25" x14ac:dyDescent="0.4">
      <c r="C64" s="79" t="s">
        <v>1001</v>
      </c>
      <c r="D64" s="50" t="s">
        <v>997</v>
      </c>
      <c r="E64" s="89">
        <v>45676</v>
      </c>
      <c r="F64" s="51">
        <v>22717000</v>
      </c>
      <c r="H64" s="52"/>
      <c r="I64" s="53"/>
      <c r="J64" s="53"/>
      <c r="K64" s="54"/>
      <c r="N64" s="25"/>
      <c r="O64" s="26"/>
      <c r="P64" s="50"/>
      <c r="Q64" s="50"/>
      <c r="R64" s="50"/>
      <c r="S64" s="50"/>
      <c r="T64" s="50"/>
      <c r="U64" s="50"/>
      <c r="V64" s="50"/>
      <c r="W64" s="50"/>
      <c r="X64" s="50"/>
      <c r="Y64" s="6"/>
    </row>
    <row r="65" spans="1:25" x14ac:dyDescent="0.4">
      <c r="C65" s="83"/>
      <c r="D65" s="85" t="s">
        <v>998</v>
      </c>
      <c r="E65" s="90">
        <v>45676</v>
      </c>
      <c r="F65" s="91">
        <v>34017825</v>
      </c>
      <c r="H65" s="52"/>
      <c r="I65" s="53"/>
      <c r="J65" s="53"/>
      <c r="K65" s="54"/>
      <c r="N65" s="25"/>
      <c r="O65" s="26"/>
      <c r="P65" s="50"/>
      <c r="Q65" s="50"/>
      <c r="R65" s="50"/>
      <c r="S65" s="50"/>
      <c r="T65" s="50"/>
      <c r="U65" s="50"/>
      <c r="V65" s="50"/>
      <c r="W65" s="50"/>
      <c r="X65" s="50"/>
      <c r="Y65" s="6"/>
    </row>
    <row r="66" spans="1:25" x14ac:dyDescent="0.4">
      <c r="C66" s="83"/>
      <c r="D66" s="50" t="s">
        <v>1003</v>
      </c>
      <c r="E66" s="89">
        <v>45676</v>
      </c>
      <c r="F66" s="51">
        <v>12823</v>
      </c>
      <c r="H66" s="52"/>
      <c r="I66" s="53"/>
      <c r="J66" s="53"/>
      <c r="K66" s="54"/>
      <c r="N66" s="25"/>
      <c r="O66" s="26"/>
      <c r="P66" s="50"/>
      <c r="Q66" s="50"/>
      <c r="R66" s="50"/>
      <c r="S66" s="50"/>
      <c r="T66" s="50"/>
      <c r="U66" s="50"/>
      <c r="V66" s="50"/>
      <c r="W66" s="50"/>
      <c r="X66" s="50"/>
      <c r="Y66" s="6"/>
    </row>
    <row r="67" spans="1:25" x14ac:dyDescent="0.4">
      <c r="C67" s="83"/>
      <c r="D67" s="85" t="s">
        <v>998</v>
      </c>
      <c r="E67" s="90">
        <v>45676</v>
      </c>
      <c r="F67" s="91">
        <v>41030</v>
      </c>
      <c r="H67" s="52"/>
      <c r="I67" s="53"/>
      <c r="J67" s="53"/>
      <c r="K67" s="54"/>
      <c r="N67" s="25"/>
      <c r="O67" s="26"/>
      <c r="P67" s="50"/>
      <c r="Q67" s="50"/>
      <c r="R67" s="50"/>
      <c r="S67" s="50"/>
      <c r="T67" s="50"/>
      <c r="U67" s="50"/>
      <c r="V67" s="50"/>
      <c r="W67" s="50"/>
      <c r="X67" s="50"/>
      <c r="Y67" s="6"/>
    </row>
    <row r="68" spans="1:25" x14ac:dyDescent="0.4">
      <c r="C68" s="80"/>
      <c r="D68" s="50" t="s">
        <v>1007</v>
      </c>
      <c r="E68" s="89">
        <v>45676</v>
      </c>
      <c r="F68" s="51">
        <v>1000080</v>
      </c>
      <c r="H68" s="52"/>
      <c r="I68" s="53"/>
      <c r="J68" s="53"/>
      <c r="K68" s="54"/>
      <c r="N68" s="25"/>
      <c r="O68" s="26"/>
      <c r="P68" s="50"/>
      <c r="Q68" s="50"/>
      <c r="R68" s="50"/>
      <c r="S68" s="50"/>
      <c r="T68" s="50"/>
      <c r="U68" s="50"/>
      <c r="V68" s="50"/>
      <c r="W68" s="50"/>
      <c r="X68" s="50"/>
      <c r="Y68" s="6"/>
    </row>
    <row r="69" spans="1:25" x14ac:dyDescent="0.4">
      <c r="C69" s="79" t="s">
        <v>1002</v>
      </c>
      <c r="D69" s="50" t="s">
        <v>999</v>
      </c>
      <c r="E69" s="89">
        <v>45676</v>
      </c>
      <c r="F69" s="51">
        <v>0</v>
      </c>
      <c r="H69" s="52"/>
      <c r="I69" s="53"/>
      <c r="J69" s="53"/>
      <c r="K69" s="54"/>
      <c r="N69" s="25"/>
      <c r="O69" s="26"/>
      <c r="P69" s="50"/>
      <c r="Q69" s="50"/>
      <c r="R69" s="50"/>
      <c r="S69" s="50"/>
      <c r="T69" s="50"/>
      <c r="U69" s="50"/>
      <c r="V69" s="50"/>
      <c r="W69" s="50"/>
      <c r="X69" s="50"/>
      <c r="Y69" s="6"/>
    </row>
    <row r="70" spans="1:25" x14ac:dyDescent="0.4">
      <c r="C70" s="80"/>
      <c r="D70" s="50" t="s">
        <v>1000</v>
      </c>
      <c r="E70" s="89">
        <v>45676</v>
      </c>
      <c r="F70" s="51">
        <v>15431417</v>
      </c>
      <c r="H70" s="52"/>
      <c r="I70" s="53"/>
      <c r="J70" s="53"/>
      <c r="K70" s="54"/>
      <c r="N70" s="25"/>
      <c r="O70" s="26"/>
      <c r="P70" s="50"/>
      <c r="Q70" s="50"/>
      <c r="R70" s="50"/>
      <c r="S70" s="50"/>
      <c r="T70" s="50"/>
      <c r="U70" s="50"/>
      <c r="V70" s="50"/>
      <c r="W70" s="50"/>
      <c r="X70" s="50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/>
      <c r="O71" s="26"/>
      <c r="P71" s="50"/>
      <c r="Q71" s="50"/>
      <c r="R71" s="50"/>
      <c r="S71" s="50"/>
      <c r="T71" s="50"/>
      <c r="U71" s="50"/>
      <c r="V71" s="50"/>
      <c r="W71" s="50"/>
      <c r="X71" s="50"/>
      <c r="Y71" s="6"/>
    </row>
    <row r="72" spans="1:25" x14ac:dyDescent="0.4">
      <c r="A72" s="3" t="s">
        <v>926</v>
      </c>
      <c r="H72" s="52"/>
      <c r="I72" s="53"/>
      <c r="J72" s="53"/>
      <c r="K72" s="54"/>
      <c r="N72" s="25"/>
      <c r="O72" s="26"/>
      <c r="P72" s="50"/>
      <c r="Q72" s="50"/>
      <c r="R72" s="50"/>
      <c r="S72" s="50"/>
      <c r="T72" s="50"/>
      <c r="U72" s="50"/>
      <c r="V72" s="50"/>
      <c r="W72" s="50"/>
      <c r="X72" s="50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/>
      <c r="O73" s="26"/>
      <c r="P73" s="50"/>
      <c r="Q73" s="50"/>
      <c r="R73" s="50"/>
      <c r="S73" s="50"/>
      <c r="T73" s="50"/>
      <c r="U73" s="50"/>
      <c r="V73" s="50"/>
      <c r="W73" s="50"/>
      <c r="X73" s="50"/>
      <c r="Y73" s="6"/>
    </row>
    <row r="74" spans="1:25" ht="18" thickTop="1" x14ac:dyDescent="0.4">
      <c r="A74" s="7">
        <f>$L$1</f>
        <v>202501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0</v>
      </c>
      <c r="G74" s="41">
        <f ca="1">H74-F74</f>
        <v>0</v>
      </c>
      <c r="H74" s="58">
        <f>SUMIFS($T$3:$T$233,$P$3:$P$233,"수입",$Q$3:$Q$233,C74)</f>
        <v>0</v>
      </c>
      <c r="I74" s="43">
        <f>H74-E74</f>
        <v>-5543000</v>
      </c>
      <c r="N74" s="25"/>
      <c r="O74" s="26"/>
      <c r="P74" s="50"/>
      <c r="Q74" s="50"/>
      <c r="R74" s="50"/>
      <c r="S74" s="50"/>
      <c r="T74" s="50"/>
      <c r="U74" s="50"/>
      <c r="V74" s="50"/>
      <c r="W74" s="50"/>
      <c r="X74" s="50"/>
      <c r="Y74" s="6"/>
    </row>
    <row r="75" spans="1:25" x14ac:dyDescent="0.4">
      <c r="A75" s="4">
        <f t="shared" ref="A75:A78" si="11">$L$1</f>
        <v>202501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19525199</v>
      </c>
      <c r="F75" s="41">
        <f ca="1">INDIRECT($J$1&amp;"!H"&amp;ROW())</f>
        <v>0</v>
      </c>
      <c r="G75" s="41">
        <f ca="1">H75-F75</f>
        <v>0</v>
      </c>
      <c r="H75" s="58">
        <f>SUMIFS($T$3:$T$233,$P$3:$P$233,"수입",$Q$3:$Q$233,C75)</f>
        <v>0</v>
      </c>
      <c r="I75" s="43">
        <f>H75-E75</f>
        <v>-19525199</v>
      </c>
      <c r="N75" s="25"/>
      <c r="O75" s="26"/>
      <c r="P75" s="50"/>
      <c r="Q75" s="50"/>
      <c r="R75" s="50"/>
      <c r="S75" s="50"/>
      <c r="T75" s="50"/>
      <c r="U75" s="50"/>
      <c r="V75" s="50"/>
      <c r="W75" s="50"/>
      <c r="X75" s="50"/>
      <c r="Y75" s="6"/>
    </row>
    <row r="76" spans="1:25" x14ac:dyDescent="0.4">
      <c r="A76" s="4">
        <f t="shared" si="11"/>
        <v>202501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ca="1">H76-F76</f>
        <v>0</v>
      </c>
      <c r="H76" s="58">
        <f>SUMIFS($T$3:$T$233,$P$3:$P$233,"수입",$Q$3:$Q$233,C76)</f>
        <v>0</v>
      </c>
      <c r="I76" s="43">
        <f>H76-E76</f>
        <v>0</v>
      </c>
      <c r="N76" s="25"/>
      <c r="O76" s="26"/>
      <c r="P76" s="50"/>
      <c r="Q76" s="50"/>
      <c r="R76" s="50"/>
      <c r="S76" s="50"/>
      <c r="T76" s="50"/>
      <c r="U76" s="50"/>
      <c r="V76" s="50"/>
      <c r="W76" s="50"/>
      <c r="X76" s="50"/>
      <c r="Y76" s="6"/>
    </row>
    <row r="77" spans="1:25" x14ac:dyDescent="0.4">
      <c r="A77" s="4">
        <f t="shared" si="11"/>
        <v>202501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0</v>
      </c>
      <c r="G77" s="41">
        <f ca="1">H77-F77</f>
        <v>0</v>
      </c>
      <c r="H77" s="58">
        <f>SUMIFS($T$3:$T$233,$P$3:$P$233,"수입",$Q$3:$Q$233,C77)</f>
        <v>0</v>
      </c>
      <c r="I77" s="43">
        <f>H77-E77</f>
        <v>0</v>
      </c>
      <c r="N77" s="25"/>
      <c r="O77" s="26"/>
      <c r="P77" s="50"/>
      <c r="Q77" s="50"/>
      <c r="R77" s="50"/>
      <c r="S77" s="50"/>
      <c r="T77" s="50"/>
      <c r="U77" s="50"/>
      <c r="V77" s="50"/>
      <c r="W77" s="50"/>
      <c r="X77" s="50"/>
      <c r="Y77" s="6"/>
    </row>
    <row r="78" spans="1:25" x14ac:dyDescent="0.4">
      <c r="A78" s="4">
        <f t="shared" si="11"/>
        <v>202501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0</v>
      </c>
      <c r="G78" s="41">
        <f ca="1">H78-F78</f>
        <v>0</v>
      </c>
      <c r="H78" s="58">
        <f>SUMIFS($T$3:$T$233,$P$3:$P$233,"수입",$Q$3:$Q$233,C78)</f>
        <v>0</v>
      </c>
      <c r="I78" s="43">
        <f>H78-E78</f>
        <v>0</v>
      </c>
      <c r="N78" s="25"/>
      <c r="O78" s="26"/>
      <c r="P78" s="50"/>
      <c r="Q78" s="50"/>
      <c r="R78" s="50"/>
      <c r="S78" s="50"/>
      <c r="T78" s="50"/>
      <c r="U78" s="50"/>
      <c r="V78" s="50"/>
      <c r="W78" s="50"/>
      <c r="X78" s="50"/>
      <c r="Y78" s="6"/>
    </row>
    <row r="79" spans="1:25" x14ac:dyDescent="0.4">
      <c r="A79" s="71" t="s">
        <v>14</v>
      </c>
      <c r="B79" s="72"/>
      <c r="C79" s="72"/>
      <c r="D79" s="73"/>
      <c r="E79" s="56">
        <f>SUM(E74:E78)</f>
        <v>25068199</v>
      </c>
      <c r="F79" s="57">
        <f ca="1">SUM(F74:F78)</f>
        <v>0</v>
      </c>
      <c r="G79" s="57">
        <f ca="1">SUM(G74:G78)</f>
        <v>0</v>
      </c>
      <c r="H79" s="59">
        <f>SUM(H74:H78)</f>
        <v>0</v>
      </c>
      <c r="I79" s="43">
        <f>SUM(I74:I78)</f>
        <v>-25068199</v>
      </c>
      <c r="N79" s="25"/>
      <c r="O79" s="26"/>
      <c r="P79" s="50"/>
      <c r="Q79" s="50"/>
      <c r="R79" s="50"/>
      <c r="S79" s="50"/>
      <c r="T79" s="50"/>
      <c r="U79" s="50"/>
      <c r="V79" s="50"/>
      <c r="W79" s="50"/>
      <c r="X79" s="50"/>
      <c r="Y79" s="6"/>
    </row>
    <row r="80" spans="1:25" x14ac:dyDescent="0.4">
      <c r="N80" s="25"/>
      <c r="O80" s="26"/>
      <c r="P80" s="50"/>
      <c r="Q80" s="50"/>
      <c r="R80" s="50"/>
      <c r="S80" s="50"/>
      <c r="T80" s="50"/>
      <c r="U80" s="50"/>
      <c r="V80" s="50"/>
      <c r="W80" s="50"/>
      <c r="X80" s="50"/>
      <c r="Y80" s="4"/>
    </row>
    <row r="81" spans="14:25" x14ac:dyDescent="0.4">
      <c r="N81" s="25"/>
      <c r="O81" s="26"/>
      <c r="P81" s="50"/>
      <c r="Q81" s="50"/>
      <c r="R81" s="50"/>
      <c r="S81" s="50"/>
      <c r="T81" s="50"/>
      <c r="U81" s="50"/>
      <c r="V81" s="50"/>
      <c r="W81" s="50"/>
      <c r="X81" s="50"/>
      <c r="Y81" s="4"/>
    </row>
    <row r="82" spans="14:25" x14ac:dyDescent="0.4">
      <c r="N82" s="25"/>
      <c r="O82" s="26"/>
      <c r="P82" s="50"/>
      <c r="Q82" s="50"/>
      <c r="R82" s="50"/>
      <c r="S82" s="50"/>
      <c r="T82" s="50"/>
      <c r="U82" s="50"/>
      <c r="V82" s="50"/>
      <c r="W82" s="50"/>
      <c r="X82" s="50"/>
      <c r="Y82" s="4"/>
    </row>
    <row r="83" spans="14:25" x14ac:dyDescent="0.4">
      <c r="N83" s="25"/>
      <c r="O83" s="26"/>
      <c r="P83" s="50"/>
      <c r="Q83" s="50"/>
      <c r="R83" s="50"/>
      <c r="S83" s="50"/>
      <c r="T83" s="50"/>
      <c r="U83" s="50"/>
      <c r="V83" s="50"/>
      <c r="W83" s="50"/>
      <c r="X83" s="50"/>
      <c r="Y83" s="4"/>
    </row>
    <row r="84" spans="14:25" x14ac:dyDescent="0.4">
      <c r="N84" s="25"/>
      <c r="O84" s="26"/>
      <c r="P84" s="50"/>
      <c r="Q84" s="50"/>
      <c r="R84" s="50"/>
      <c r="S84" s="50"/>
      <c r="T84" s="50"/>
      <c r="U84" s="50"/>
      <c r="V84" s="50"/>
      <c r="W84" s="50"/>
      <c r="X84" s="50"/>
      <c r="Y84" s="4"/>
    </row>
    <row r="85" spans="14:25" x14ac:dyDescent="0.4">
      <c r="N85" s="25"/>
      <c r="O85" s="26"/>
      <c r="P85" s="50"/>
      <c r="Q85" s="50"/>
      <c r="R85" s="50"/>
      <c r="S85" s="50"/>
      <c r="T85" s="50"/>
      <c r="U85" s="50"/>
      <c r="V85" s="50"/>
      <c r="W85" s="50"/>
      <c r="X85" s="50"/>
      <c r="Y85" s="4"/>
    </row>
    <row r="86" spans="14:25" x14ac:dyDescent="0.4">
      <c r="N86" s="25"/>
      <c r="O86" s="26"/>
      <c r="P86" s="50"/>
      <c r="Q86" s="50"/>
      <c r="R86" s="50"/>
      <c r="S86" s="50"/>
      <c r="T86" s="50"/>
      <c r="U86" s="50"/>
      <c r="V86" s="50"/>
      <c r="W86" s="50"/>
      <c r="X86" s="50"/>
      <c r="Y86" s="4"/>
    </row>
    <row r="87" spans="14:25" x14ac:dyDescent="0.4">
      <c r="N87" s="25"/>
      <c r="O87" s="26"/>
      <c r="P87" s="50"/>
      <c r="Q87" s="50"/>
      <c r="R87" s="50"/>
      <c r="S87" s="50"/>
      <c r="T87" s="50"/>
      <c r="U87" s="50"/>
      <c r="V87" s="50"/>
      <c r="W87" s="50"/>
      <c r="X87" s="50"/>
      <c r="Y87" s="4"/>
    </row>
    <row r="88" spans="14:25" x14ac:dyDescent="0.4">
      <c r="N88" s="25"/>
      <c r="O88" s="26"/>
      <c r="P88" s="50"/>
      <c r="Q88" s="50"/>
      <c r="R88" s="50"/>
      <c r="S88" s="50"/>
      <c r="T88" s="50"/>
      <c r="U88" s="50"/>
      <c r="V88" s="50"/>
      <c r="W88" s="50"/>
      <c r="X88" s="50"/>
      <c r="Y88" s="4"/>
    </row>
    <row r="89" spans="14:25" x14ac:dyDescent="0.4">
      <c r="N89" s="25"/>
      <c r="O89" s="26"/>
      <c r="P89" s="50"/>
      <c r="Q89" s="50"/>
      <c r="R89" s="50"/>
      <c r="S89" s="50"/>
      <c r="T89" s="50"/>
      <c r="U89" s="50"/>
      <c r="V89" s="50"/>
      <c r="W89" s="50"/>
      <c r="X89" s="50"/>
      <c r="Y89" s="6"/>
    </row>
    <row r="90" spans="14:25" x14ac:dyDescent="0.4">
      <c r="N90" s="25"/>
      <c r="O90" s="26"/>
      <c r="P90" s="50"/>
      <c r="Q90" s="50"/>
      <c r="R90" s="50"/>
      <c r="S90" s="50"/>
      <c r="T90" s="50"/>
      <c r="U90" s="50"/>
      <c r="V90" s="50"/>
      <c r="W90" s="50"/>
      <c r="X90" s="50"/>
      <c r="Y90" s="6"/>
    </row>
    <row r="91" spans="14:25" x14ac:dyDescent="0.4">
      <c r="N91" s="25"/>
      <c r="O91" s="26"/>
      <c r="P91" s="50"/>
      <c r="Q91" s="50"/>
      <c r="R91" s="50"/>
      <c r="S91" s="50"/>
      <c r="T91" s="50"/>
      <c r="U91" s="50"/>
      <c r="V91" s="50"/>
      <c r="W91" s="50"/>
      <c r="X91" s="50"/>
      <c r="Y91" s="6"/>
    </row>
    <row r="92" spans="14:25" x14ac:dyDescent="0.4">
      <c r="N92" s="25"/>
      <c r="O92" s="26"/>
      <c r="P92" s="50"/>
      <c r="Q92" s="50"/>
      <c r="R92" s="50"/>
      <c r="S92" s="50"/>
      <c r="T92" s="50"/>
      <c r="U92" s="50"/>
      <c r="V92" s="50"/>
      <c r="W92" s="50"/>
      <c r="X92" s="50"/>
      <c r="Y92" s="6"/>
    </row>
    <row r="93" spans="14:25" x14ac:dyDescent="0.4">
      <c r="N93" s="25"/>
      <c r="O93" s="26"/>
      <c r="P93" s="50"/>
      <c r="Q93" s="50"/>
      <c r="R93" s="50"/>
      <c r="S93" s="50"/>
      <c r="T93" s="50"/>
      <c r="U93" s="50"/>
      <c r="V93" s="50"/>
      <c r="W93" s="50"/>
      <c r="X93" s="50"/>
      <c r="Y93" s="6"/>
    </row>
    <row r="94" spans="14:25" x14ac:dyDescent="0.4">
      <c r="N94" s="25"/>
      <c r="O94" s="26"/>
      <c r="P94" s="50"/>
      <c r="Q94" s="50"/>
      <c r="R94" s="50"/>
      <c r="S94" s="50"/>
      <c r="T94" s="50"/>
      <c r="U94" s="50"/>
      <c r="V94" s="50"/>
      <c r="W94" s="50"/>
      <c r="X94" s="50"/>
      <c r="Y94" s="6"/>
    </row>
    <row r="95" spans="14:25" x14ac:dyDescent="0.4">
      <c r="N95" s="25"/>
      <c r="O95" s="26"/>
      <c r="P95" s="50"/>
      <c r="Q95" s="50"/>
      <c r="R95" s="50"/>
      <c r="S95" s="50"/>
      <c r="T95" s="50"/>
      <c r="U95" s="50"/>
      <c r="V95" s="50"/>
      <c r="W95" s="50"/>
      <c r="X95" s="50"/>
      <c r="Y95" s="6"/>
    </row>
    <row r="96" spans="14:25" x14ac:dyDescent="0.4">
      <c r="N96" s="25"/>
      <c r="O96" s="26"/>
      <c r="P96" s="50"/>
      <c r="Q96" s="50"/>
      <c r="R96" s="50"/>
      <c r="S96" s="50"/>
      <c r="T96" s="50"/>
      <c r="U96" s="50"/>
      <c r="V96" s="50"/>
      <c r="W96" s="50"/>
      <c r="X96" s="50"/>
      <c r="Y96" s="6"/>
    </row>
    <row r="97" spans="14:25" x14ac:dyDescent="0.4">
      <c r="N97" s="25"/>
      <c r="O97" s="26"/>
      <c r="P97" s="50"/>
      <c r="Q97" s="50"/>
      <c r="R97" s="50"/>
      <c r="S97" s="50"/>
      <c r="T97" s="50"/>
      <c r="U97" s="50"/>
      <c r="V97" s="50"/>
      <c r="W97" s="50"/>
      <c r="X97" s="50"/>
      <c r="Y97" s="6"/>
    </row>
    <row r="98" spans="14:25" x14ac:dyDescent="0.4">
      <c r="N98" s="25"/>
      <c r="O98" s="26"/>
      <c r="P98" s="50"/>
      <c r="Q98" s="50"/>
      <c r="R98" s="50"/>
      <c r="S98" s="50"/>
      <c r="T98" s="50"/>
      <c r="U98" s="50"/>
      <c r="V98" s="50"/>
      <c r="W98" s="50"/>
      <c r="X98" s="50"/>
      <c r="Y98" s="6"/>
    </row>
    <row r="99" spans="14:25" x14ac:dyDescent="0.4">
      <c r="N99" s="25"/>
      <c r="O99" s="26"/>
      <c r="P99" s="50"/>
      <c r="Q99" s="50"/>
      <c r="R99" s="50"/>
      <c r="S99" s="50"/>
      <c r="T99" s="50"/>
      <c r="U99" s="50"/>
      <c r="V99" s="50"/>
      <c r="W99" s="50"/>
      <c r="X99" s="50"/>
      <c r="Y99" s="6"/>
    </row>
    <row r="100" spans="14:25" x14ac:dyDescent="0.4">
      <c r="N100" s="25"/>
      <c r="O100" s="26"/>
      <c r="P100" s="50"/>
      <c r="Q100" s="50"/>
      <c r="R100" s="50"/>
      <c r="S100" s="50"/>
      <c r="T100" s="50"/>
      <c r="U100" s="50"/>
      <c r="V100" s="50"/>
      <c r="W100" s="50"/>
      <c r="X100" s="50"/>
      <c r="Y100" s="6"/>
    </row>
    <row r="101" spans="14:25" x14ac:dyDescent="0.4">
      <c r="N101" s="25"/>
      <c r="O101" s="26"/>
      <c r="P101" s="50"/>
      <c r="Q101" s="50"/>
      <c r="R101" s="50"/>
      <c r="S101" s="50"/>
      <c r="T101" s="50"/>
      <c r="U101" s="50"/>
      <c r="V101" s="50"/>
      <c r="W101" s="50"/>
      <c r="X101" s="50"/>
      <c r="Y101" s="6"/>
    </row>
    <row r="102" spans="14:25" x14ac:dyDescent="0.4">
      <c r="N102" s="25"/>
      <c r="O102" s="26"/>
      <c r="P102" s="50"/>
      <c r="Q102" s="50"/>
      <c r="R102" s="50"/>
      <c r="S102" s="50"/>
      <c r="T102" s="50"/>
      <c r="U102" s="50"/>
      <c r="V102" s="50"/>
      <c r="W102" s="50"/>
      <c r="X102" s="50"/>
      <c r="Y102" s="6"/>
    </row>
    <row r="103" spans="14:25" x14ac:dyDescent="0.4">
      <c r="N103" s="25"/>
      <c r="O103" s="26"/>
      <c r="P103" s="50"/>
      <c r="Q103" s="50"/>
      <c r="R103" s="50"/>
      <c r="S103" s="50"/>
      <c r="T103" s="50"/>
      <c r="U103" s="50"/>
      <c r="V103" s="50"/>
      <c r="W103" s="50"/>
      <c r="X103" s="50"/>
      <c r="Y103" s="6"/>
    </row>
    <row r="104" spans="14:25" x14ac:dyDescent="0.4">
      <c r="N104" s="25"/>
      <c r="O104" s="26"/>
      <c r="P104" s="50"/>
      <c r="Q104" s="50"/>
      <c r="R104" s="50"/>
      <c r="S104" s="50"/>
      <c r="T104" s="50"/>
      <c r="U104" s="50"/>
      <c r="V104" s="50"/>
      <c r="W104" s="50"/>
      <c r="X104" s="50"/>
      <c r="Y104" s="6"/>
    </row>
    <row r="105" spans="14:25" x14ac:dyDescent="0.4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6"/>
    </row>
    <row r="106" spans="14:25" x14ac:dyDescent="0.4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6"/>
    </row>
    <row r="107" spans="14:25" x14ac:dyDescent="0.4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6"/>
    </row>
    <row r="108" spans="14:25" x14ac:dyDescent="0.4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6"/>
    </row>
    <row r="109" spans="14:25" x14ac:dyDescent="0.4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6"/>
    </row>
    <row r="110" spans="14:25" x14ac:dyDescent="0.4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6"/>
    </row>
    <row r="111" spans="14:25" x14ac:dyDescent="0.4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6"/>
    </row>
    <row r="112" spans="14:25" x14ac:dyDescent="0.4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6"/>
    </row>
    <row r="113" spans="14:25" x14ac:dyDescent="0.4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6"/>
    </row>
    <row r="114" spans="14:25" x14ac:dyDescent="0.4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"/>
    </row>
    <row r="115" spans="14:25" x14ac:dyDescent="0.4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6"/>
    </row>
    <row r="116" spans="14:25" x14ac:dyDescent="0.4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6"/>
    </row>
    <row r="117" spans="14:25" x14ac:dyDescent="0.4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6"/>
    </row>
    <row r="118" spans="14:25" x14ac:dyDescent="0.4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6"/>
    </row>
    <row r="119" spans="14:25" x14ac:dyDescent="0.4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6"/>
    </row>
    <row r="120" spans="14:25" x14ac:dyDescent="0.4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6"/>
    </row>
    <row r="121" spans="14:25" x14ac:dyDescent="0.4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6"/>
    </row>
    <row r="122" spans="14:25" x14ac:dyDescent="0.4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6"/>
    </row>
  </sheetData>
  <autoFilter ref="N2:Y68" xr:uid="{11B47028-C17C-47C6-A882-4705ECF29BE6}"/>
  <mergeCells count="3">
    <mergeCell ref="A19:D19"/>
    <mergeCell ref="I20:J20"/>
    <mergeCell ref="O1:P1"/>
  </mergeCells>
  <phoneticPr fontId="2" type="noConversion"/>
  <conditionalFormatting sqref="G74:G79 I74:I79">
    <cfRule type="cellIs" dxfId="111" priority="1" operator="lessThan">
      <formula>0</formula>
    </cfRule>
    <cfRule type="cellIs" dxfId="110" priority="2" operator="greaterThan">
      <formula>0</formula>
    </cfRule>
  </conditionalFormatting>
  <conditionalFormatting sqref="I3:I18">
    <cfRule type="cellIs" dxfId="109" priority="4" operator="greaterThan">
      <formula>0</formula>
    </cfRule>
    <cfRule type="cellIs" dxfId="108" priority="5" operator="lessThan">
      <formula>0</formula>
    </cfRule>
  </conditionalFormatting>
  <conditionalFormatting sqref="K6:K20">
    <cfRule type="cellIs" dxfId="107" priority="3" operator="lessThan">
      <formula>0</formula>
    </cfRule>
  </conditionalFormatting>
  <conditionalFormatting sqref="L3:L20">
    <cfRule type="cellIs" dxfId="106" priority="6" operator="greaterThan">
      <formula>1</formula>
    </cfRule>
    <cfRule type="cellIs" dxfId="105" priority="7" operator="equal">
      <formula>1</formula>
    </cfRule>
    <cfRule type="cellIs" dxfId="104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0056-A7A6-4CA1-8C16-0726747394A7}">
  <dimension ref="A1:Y217"/>
  <sheetViews>
    <sheetView zoomScale="80" zoomScaleNormal="80" workbookViewId="0">
      <pane ySplit="2" topLeftCell="A38" activePane="bottomLeft" state="frozen"/>
      <selection activeCell="E1" sqref="E1"/>
      <selection pane="bottomLeft" activeCell="H75" sqref="H75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2.09765625" bestFit="1" customWidth="1"/>
    <col min="6" max="6" width="10.5" customWidth="1"/>
    <col min="7" max="8" width="12.09765625" bestFit="1" customWidth="1"/>
    <col min="9" max="9" width="12.8984375" bestFit="1" customWidth="1"/>
    <col min="10" max="10" width="11.8984375" customWidth="1"/>
    <col min="11" max="11" width="11.69921875" bestFit="1" customWidth="1"/>
    <col min="12" max="12" width="8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202412</v>
      </c>
      <c r="K1" s="46" t="s">
        <v>923</v>
      </c>
      <c r="L1" s="46">
        <v>202501</v>
      </c>
      <c r="N1" s="27" t="s">
        <v>950</v>
      </c>
      <c r="O1" s="133">
        <f>SUMIF(P3:P233,"지출",T3:T233)</f>
        <v>-3567122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202501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-895849</v>
      </c>
      <c r="I3" s="41">
        <f ca="1">J3-H3</f>
        <v>0</v>
      </c>
      <c r="J3" s="43">
        <f>VLOOKUP(A3,대출!$B$4:$G$363,3,FALSE)*-1</f>
        <v>-895849</v>
      </c>
      <c r="K3" s="43">
        <f>G3+J3</f>
        <v>4151</v>
      </c>
      <c r="L3" s="24">
        <f>IF(G3=0,0,-J3/G3)</f>
        <v>0.99538777777777776</v>
      </c>
      <c r="N3" s="25">
        <v>45659</v>
      </c>
      <c r="O3" s="26">
        <v>0.82672453703703708</v>
      </c>
      <c r="P3" s="50" t="s">
        <v>1020</v>
      </c>
      <c r="Q3" s="50" t="s">
        <v>1021</v>
      </c>
      <c r="R3" s="50" t="s">
        <v>1022</v>
      </c>
      <c r="S3" s="50" t="s">
        <v>1023</v>
      </c>
      <c r="T3" s="50">
        <v>-63000</v>
      </c>
      <c r="U3" s="50" t="s">
        <v>1024</v>
      </c>
      <c r="V3" s="50" t="s">
        <v>1025</v>
      </c>
      <c r="W3" s="50"/>
      <c r="X3" s="86" t="s">
        <v>1162</v>
      </c>
      <c r="Y3" s="6" t="s">
        <v>1160</v>
      </c>
    </row>
    <row r="4" spans="1:25" x14ac:dyDescent="0.4">
      <c r="A4" s="4">
        <f t="shared" ref="A4:A18" si="0">$L$1</f>
        <v>202501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5" si="1">SUM(E4:F4)</f>
        <v>100000</v>
      </c>
      <c r="H4" s="41">
        <f t="shared" ref="H4:H18" ca="1" si="2">INDIRECT($J$1&amp;"!J"&amp;ROW())</f>
        <v>0</v>
      </c>
      <c r="I4" s="41">
        <f ca="1">J4-H4</f>
        <v>-100000</v>
      </c>
      <c r="J4" s="44">
        <f t="shared" ref="J4:J11" si="3">SUMIFS($T$3:$T$233,$P$3:$P$233,"지출",$Q$3:$Q$233,C4,$R$3:$R$233,D4)</f>
        <v>-100000</v>
      </c>
      <c r="K4" s="44">
        <f t="shared" ref="K4:K15" si="4">G4+J4</f>
        <v>0</v>
      </c>
      <c r="L4" s="19">
        <f t="shared" ref="L4:L15" si="5">IF(G4=0,0,-J4/G4)</f>
        <v>1</v>
      </c>
      <c r="N4" s="25">
        <v>45660</v>
      </c>
      <c r="O4" s="26">
        <v>0.40185185185185179</v>
      </c>
      <c r="P4" s="50" t="s">
        <v>1020</v>
      </c>
      <c r="Q4" s="50" t="s">
        <v>1026</v>
      </c>
      <c r="R4" s="50" t="s">
        <v>1027</v>
      </c>
      <c r="S4" s="50" t="s">
        <v>1028</v>
      </c>
      <c r="T4" s="50">
        <v>-7890</v>
      </c>
      <c r="U4" s="50" t="s">
        <v>1024</v>
      </c>
      <c r="V4" s="50" t="s">
        <v>1025</v>
      </c>
      <c r="W4" s="50"/>
      <c r="X4" s="86"/>
      <c r="Y4" s="4"/>
    </row>
    <row r="5" spans="1:25" x14ac:dyDescent="0.4">
      <c r="A5" s="4">
        <f t="shared" si="0"/>
        <v>202501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0</v>
      </c>
      <c r="I5" s="41">
        <f ca="1">J5-H5</f>
        <v>-65890</v>
      </c>
      <c r="J5" s="44">
        <f t="shared" si="3"/>
        <v>-65890</v>
      </c>
      <c r="K5" s="44">
        <f t="shared" si="4"/>
        <v>-21890</v>
      </c>
      <c r="L5" s="19">
        <f t="shared" si="5"/>
        <v>1.4975000000000001</v>
      </c>
      <c r="N5" s="25">
        <v>45660</v>
      </c>
      <c r="O5" s="26">
        <v>0.6628356481481481</v>
      </c>
      <c r="P5" s="50" t="s">
        <v>1020</v>
      </c>
      <c r="Q5" s="99" t="s">
        <v>1029</v>
      </c>
      <c r="R5" s="50" t="s">
        <v>1030</v>
      </c>
      <c r="S5" s="50" t="s">
        <v>1031</v>
      </c>
      <c r="T5" s="50">
        <v>-25540</v>
      </c>
      <c r="U5" s="50" t="s">
        <v>1024</v>
      </c>
      <c r="V5" s="50" t="s">
        <v>1025</v>
      </c>
      <c r="W5" s="50"/>
      <c r="X5" s="86"/>
      <c r="Y5" s="6"/>
    </row>
    <row r="6" spans="1:25" x14ac:dyDescent="0.4">
      <c r="A6" s="4">
        <f t="shared" si="0"/>
        <v>202501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0</v>
      </c>
      <c r="I6" s="41">
        <f t="shared" ref="I6:I15" ca="1" si="7">J6-H6</f>
        <v>-367410</v>
      </c>
      <c r="J6" s="44">
        <f t="shared" si="3"/>
        <v>-367410</v>
      </c>
      <c r="K6" s="44">
        <f t="shared" si="4"/>
        <v>-37410</v>
      </c>
      <c r="L6" s="19">
        <f t="shared" si="5"/>
        <v>1.1133636363636363</v>
      </c>
      <c r="N6" s="25">
        <v>45660</v>
      </c>
      <c r="O6" s="26">
        <v>0.72605324074074074</v>
      </c>
      <c r="P6" s="50" t="s">
        <v>1020</v>
      </c>
      <c r="Q6" s="50" t="s">
        <v>1029</v>
      </c>
      <c r="R6" s="50" t="s">
        <v>1030</v>
      </c>
      <c r="S6" s="50" t="s">
        <v>1031</v>
      </c>
      <c r="T6" s="50">
        <v>-6230</v>
      </c>
      <c r="U6" s="50" t="s">
        <v>1024</v>
      </c>
      <c r="V6" s="50" t="s">
        <v>1025</v>
      </c>
      <c r="W6" s="50"/>
      <c r="X6" s="86"/>
      <c r="Y6" s="6"/>
    </row>
    <row r="7" spans="1:25" x14ac:dyDescent="0.4">
      <c r="A7" s="4">
        <f t="shared" si="0"/>
        <v>202501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0</v>
      </c>
      <c r="I7" s="41">
        <f t="shared" ca="1" si="7"/>
        <v>-130000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45661</v>
      </c>
      <c r="O7" s="26">
        <v>0.70269675925925923</v>
      </c>
      <c r="P7" s="50" t="s">
        <v>1020</v>
      </c>
      <c r="Q7" s="50" t="s">
        <v>1022</v>
      </c>
      <c r="R7" s="50" t="s">
        <v>1032</v>
      </c>
      <c r="S7" s="50" t="s">
        <v>1033</v>
      </c>
      <c r="T7" s="50">
        <v>-17500</v>
      </c>
      <c r="U7" s="50" t="s">
        <v>1024</v>
      </c>
      <c r="V7" s="50" t="s">
        <v>1025</v>
      </c>
      <c r="W7" s="50" t="s">
        <v>1034</v>
      </c>
      <c r="X7" s="86"/>
      <c r="Y7" s="6" t="s">
        <v>1160</v>
      </c>
    </row>
    <row r="8" spans="1:25" x14ac:dyDescent="0.4">
      <c r="A8" s="4">
        <f>$L$1</f>
        <v>202501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0</v>
      </c>
      <c r="I8" s="41">
        <f t="shared" ca="1" si="7"/>
        <v>-162690</v>
      </c>
      <c r="J8" s="44">
        <f t="shared" si="3"/>
        <v>-162690</v>
      </c>
      <c r="K8" s="44">
        <f t="shared" si="4"/>
        <v>8310</v>
      </c>
      <c r="L8" s="19">
        <f t="shared" si="5"/>
        <v>0.95140350877192981</v>
      </c>
      <c r="N8" s="25">
        <v>45661</v>
      </c>
      <c r="O8" s="26">
        <v>0.71642361111111108</v>
      </c>
      <c r="P8" s="50" t="s">
        <v>1020</v>
      </c>
      <c r="Q8" s="50" t="s">
        <v>1022</v>
      </c>
      <c r="R8" s="50" t="s">
        <v>1032</v>
      </c>
      <c r="S8" s="50" t="s">
        <v>1035</v>
      </c>
      <c r="T8" s="50">
        <v>-2000</v>
      </c>
      <c r="U8" s="50" t="s">
        <v>1024</v>
      </c>
      <c r="V8" s="50" t="s">
        <v>1036</v>
      </c>
      <c r="W8" s="50" t="s">
        <v>1037</v>
      </c>
      <c r="X8" s="86"/>
      <c r="Y8" s="6" t="s">
        <v>1160</v>
      </c>
    </row>
    <row r="9" spans="1:25" x14ac:dyDescent="0.4">
      <c r="A9" s="4">
        <f t="shared" si="0"/>
        <v>202501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0</v>
      </c>
      <c r="I9" s="41">
        <f t="shared" ca="1" si="7"/>
        <v>-218959</v>
      </c>
      <c r="J9" s="44">
        <f t="shared" si="3"/>
        <v>-218959</v>
      </c>
      <c r="K9" s="44">
        <f t="shared" si="4"/>
        <v>27041</v>
      </c>
      <c r="L9" s="19">
        <f t="shared" si="5"/>
        <v>0.89007723577235776</v>
      </c>
      <c r="N9" s="25">
        <v>45661</v>
      </c>
      <c r="O9" s="26">
        <v>0.72434027777777776</v>
      </c>
      <c r="P9" s="50" t="s">
        <v>1020</v>
      </c>
      <c r="Q9" s="50" t="s">
        <v>1022</v>
      </c>
      <c r="R9" s="50" t="s">
        <v>1032</v>
      </c>
      <c r="S9" s="50" t="s">
        <v>1038</v>
      </c>
      <c r="T9" s="50">
        <v>-17000</v>
      </c>
      <c r="U9" s="50" t="s">
        <v>1024</v>
      </c>
      <c r="V9" s="50" t="s">
        <v>1025</v>
      </c>
      <c r="W9" s="50" t="s">
        <v>1039</v>
      </c>
      <c r="X9" s="86"/>
      <c r="Y9" s="6" t="s">
        <v>1160</v>
      </c>
    </row>
    <row r="10" spans="1:25" x14ac:dyDescent="0.4">
      <c r="A10" s="4">
        <f t="shared" si="0"/>
        <v>202501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0</v>
      </c>
      <c r="I10" s="41">
        <f t="shared" ca="1" si="7"/>
        <v>-5800</v>
      </c>
      <c r="J10" s="44">
        <f t="shared" si="3"/>
        <v>-5800</v>
      </c>
      <c r="K10" s="44">
        <f t="shared" si="4"/>
        <v>154200</v>
      </c>
      <c r="L10" s="19">
        <f t="shared" si="5"/>
        <v>3.6249999999999998E-2</v>
      </c>
      <c r="N10" s="25">
        <v>45661</v>
      </c>
      <c r="O10" s="26">
        <v>0.77408564814814818</v>
      </c>
      <c r="P10" s="50" t="s">
        <v>1020</v>
      </c>
      <c r="Q10" s="50" t="s">
        <v>1029</v>
      </c>
      <c r="R10" s="50" t="s">
        <v>1030</v>
      </c>
      <c r="S10" s="50" t="s">
        <v>1040</v>
      </c>
      <c r="T10" s="50">
        <v>-16000</v>
      </c>
      <c r="U10" s="50" t="s">
        <v>1024</v>
      </c>
      <c r="V10" s="50" t="s">
        <v>1025</v>
      </c>
      <c r="W10" s="50" t="s">
        <v>1041</v>
      </c>
      <c r="X10" s="86"/>
      <c r="Y10" s="6" t="s">
        <v>1160</v>
      </c>
    </row>
    <row r="11" spans="1:25" x14ac:dyDescent="0.4">
      <c r="A11" s="4">
        <f t="shared" si="0"/>
        <v>202501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0</v>
      </c>
      <c r="I11" s="41">
        <f t="shared" ca="1" si="7"/>
        <v>-35690</v>
      </c>
      <c r="J11" s="44">
        <f t="shared" si="3"/>
        <v>-35690</v>
      </c>
      <c r="K11" s="44">
        <f t="shared" si="4"/>
        <v>8310</v>
      </c>
      <c r="L11" s="19">
        <f t="shared" si="5"/>
        <v>0.81113636363636366</v>
      </c>
      <c r="N11" s="25">
        <v>45661</v>
      </c>
      <c r="O11" s="26">
        <v>0.80642361111111116</v>
      </c>
      <c r="P11" s="50" t="s">
        <v>1020</v>
      </c>
      <c r="Q11" s="50" t="s">
        <v>1042</v>
      </c>
      <c r="R11" s="50" t="s">
        <v>1043</v>
      </c>
      <c r="S11" s="50" t="s">
        <v>1044</v>
      </c>
      <c r="T11" s="50">
        <v>-2000</v>
      </c>
      <c r="U11" s="50" t="s">
        <v>1024</v>
      </c>
      <c r="V11" s="50" t="s">
        <v>1025</v>
      </c>
      <c r="W11" s="50"/>
      <c r="X11" s="86"/>
      <c r="Y11" s="6"/>
    </row>
    <row r="12" spans="1:25" x14ac:dyDescent="0.4">
      <c r="A12" s="4">
        <f t="shared" si="0"/>
        <v>202501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0</v>
      </c>
      <c r="I12" s="41">
        <f t="shared" ca="1" si="7"/>
        <v>-889769</v>
      </c>
      <c r="J12" s="44">
        <f t="shared" ref="J12:J18" si="8">SUMIFS($T$3:$T$233,$P$3:$P$233,"지출",$Q$3:$Q$233,C12)</f>
        <v>-889769</v>
      </c>
      <c r="K12" s="45">
        <f t="shared" si="4"/>
        <v>-539769</v>
      </c>
      <c r="L12" s="19">
        <f t="shared" si="5"/>
        <v>2.5421971428571428</v>
      </c>
      <c r="N12" s="25">
        <v>45661</v>
      </c>
      <c r="O12" s="26">
        <v>0.81508101851851855</v>
      </c>
      <c r="P12" s="50" t="s">
        <v>1020</v>
      </c>
      <c r="Q12" s="50" t="s">
        <v>1029</v>
      </c>
      <c r="R12" s="50" t="s">
        <v>1045</v>
      </c>
      <c r="S12" s="50" t="s">
        <v>1046</v>
      </c>
      <c r="T12" s="50">
        <v>-10000</v>
      </c>
      <c r="U12" s="50" t="s">
        <v>1024</v>
      </c>
      <c r="V12" s="50" t="s">
        <v>1025</v>
      </c>
      <c r="W12" s="50"/>
      <c r="X12" s="86"/>
      <c r="Y12" s="6"/>
    </row>
    <row r="13" spans="1:25" x14ac:dyDescent="0.4">
      <c r="A13" s="4">
        <f t="shared" si="0"/>
        <v>202501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2000</v>
      </c>
      <c r="G13" s="18">
        <f t="shared" si="1"/>
        <v>2000</v>
      </c>
      <c r="H13" s="41">
        <f t="shared" ca="1" si="2"/>
        <v>0</v>
      </c>
      <c r="I13" s="41">
        <f t="shared" ca="1" si="7"/>
        <v>-2000</v>
      </c>
      <c r="J13" s="44">
        <f t="shared" si="8"/>
        <v>-2000</v>
      </c>
      <c r="K13" s="44">
        <f t="shared" si="4"/>
        <v>0</v>
      </c>
      <c r="L13" s="19">
        <f t="shared" si="5"/>
        <v>1</v>
      </c>
      <c r="N13" s="25">
        <v>45662</v>
      </c>
      <c r="O13" s="26">
        <v>0.84464120370370366</v>
      </c>
      <c r="P13" s="50" t="s">
        <v>1020</v>
      </c>
      <c r="Q13" s="50" t="s">
        <v>1029</v>
      </c>
      <c r="R13" s="50" t="s">
        <v>1045</v>
      </c>
      <c r="S13" s="50" t="s">
        <v>1031</v>
      </c>
      <c r="T13" s="50">
        <v>-26240</v>
      </c>
      <c r="U13" s="50" t="s">
        <v>1024</v>
      </c>
      <c r="V13" s="50" t="s">
        <v>1025</v>
      </c>
      <c r="W13" s="50"/>
      <c r="X13" s="86"/>
      <c r="Y13" s="6"/>
    </row>
    <row r="14" spans="1:25" x14ac:dyDescent="0.4">
      <c r="A14" s="4">
        <f t="shared" si="0"/>
        <v>202501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36500</v>
      </c>
      <c r="G14" s="18">
        <f t="shared" si="1"/>
        <v>36500</v>
      </c>
      <c r="H14" s="41">
        <f ca="1">INDIRECT($J$1&amp;"!J"&amp;ROW())</f>
        <v>0</v>
      </c>
      <c r="I14" s="41">
        <f t="shared" ca="1" si="7"/>
        <v>-36500</v>
      </c>
      <c r="J14" s="44">
        <f t="shared" si="8"/>
        <v>-36500</v>
      </c>
      <c r="K14" s="44">
        <f t="shared" si="4"/>
        <v>0</v>
      </c>
      <c r="L14" s="19">
        <f t="shared" si="5"/>
        <v>1</v>
      </c>
      <c r="N14" s="25">
        <v>45663</v>
      </c>
      <c r="O14" s="26">
        <v>0.71940972222222221</v>
      </c>
      <c r="P14" s="50" t="s">
        <v>1020</v>
      </c>
      <c r="Q14" s="50" t="s">
        <v>1047</v>
      </c>
      <c r="R14" s="50" t="s">
        <v>1048</v>
      </c>
      <c r="S14" s="50" t="s">
        <v>1049</v>
      </c>
      <c r="T14" s="50">
        <v>-25900</v>
      </c>
      <c r="U14" s="50" t="s">
        <v>1024</v>
      </c>
      <c r="V14" s="50" t="s">
        <v>1025</v>
      </c>
      <c r="W14" s="50" t="s">
        <v>1050</v>
      </c>
      <c r="X14" s="86"/>
      <c r="Y14" s="6"/>
    </row>
    <row r="15" spans="1:25" x14ac:dyDescent="0.4">
      <c r="A15" s="4">
        <f t="shared" si="0"/>
        <v>202501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0</v>
      </c>
      <c r="I15" s="41">
        <f t="shared" ca="1" si="7"/>
        <v>-63000</v>
      </c>
      <c r="J15" s="44">
        <f t="shared" si="8"/>
        <v>-63000</v>
      </c>
      <c r="K15" s="44">
        <f t="shared" si="4"/>
        <v>-63000</v>
      </c>
      <c r="L15" s="19">
        <f t="shared" si="5"/>
        <v>0</v>
      </c>
      <c r="N15" s="25">
        <v>45663</v>
      </c>
      <c r="O15" s="26">
        <v>0.92756944444444445</v>
      </c>
      <c r="P15" s="50" t="s">
        <v>1020</v>
      </c>
      <c r="Q15" s="50" t="s">
        <v>1029</v>
      </c>
      <c r="R15" s="50" t="s">
        <v>1047</v>
      </c>
      <c r="S15" s="50" t="s">
        <v>1051</v>
      </c>
      <c r="T15" s="50">
        <v>-317000</v>
      </c>
      <c r="U15" s="50" t="s">
        <v>1024</v>
      </c>
      <c r="V15" s="50" t="s">
        <v>1036</v>
      </c>
      <c r="W15" s="50" t="s">
        <v>1052</v>
      </c>
      <c r="X15" s="86"/>
      <c r="Y15" s="6"/>
    </row>
    <row r="16" spans="1:25" x14ac:dyDescent="0.4">
      <c r="A16" s="4">
        <f t="shared" si="0"/>
        <v>202501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ref="G16" si="9">SUM(E16:F16)</f>
        <v>0</v>
      </c>
      <c r="H16" s="41">
        <f t="shared" ca="1" si="2"/>
        <v>0</v>
      </c>
      <c r="I16" s="41">
        <f t="shared" ref="I16" ca="1" si="10">J16-H16</f>
        <v>0</v>
      </c>
      <c r="J16" s="44">
        <f t="shared" si="8"/>
        <v>0</v>
      </c>
      <c r="K16" s="44">
        <f t="shared" ref="K16" si="11">G16+J16</f>
        <v>0</v>
      </c>
      <c r="L16" s="19">
        <f t="shared" ref="L16" si="12">IF(G16=0,0,-J16/G16)</f>
        <v>0</v>
      </c>
      <c r="N16" s="25">
        <v>45666</v>
      </c>
      <c r="O16" s="26">
        <v>0.44849537037037029</v>
      </c>
      <c r="P16" s="50" t="s">
        <v>1053</v>
      </c>
      <c r="Q16" s="50" t="s">
        <v>946</v>
      </c>
      <c r="R16" s="50" t="s">
        <v>1054</v>
      </c>
      <c r="S16" s="50" t="s">
        <v>1055</v>
      </c>
      <c r="T16" s="50">
        <v>1000000</v>
      </c>
      <c r="U16" s="50" t="s">
        <v>1024</v>
      </c>
      <c r="V16" s="50" t="s">
        <v>946</v>
      </c>
      <c r="W16" s="50"/>
      <c r="X16" s="86"/>
      <c r="Y16" s="6"/>
    </row>
    <row r="17" spans="1:25" x14ac:dyDescent="0.4">
      <c r="A17" s="4">
        <f t="shared" si="0"/>
        <v>202501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ref="G17" si="13">SUM(E17:F17)</f>
        <v>0</v>
      </c>
      <c r="H17" s="41">
        <f t="shared" ca="1" si="2"/>
        <v>0</v>
      </c>
      <c r="I17" s="41">
        <f t="shared" ref="I17" ca="1" si="14">J17-H17</f>
        <v>0</v>
      </c>
      <c r="J17" s="44">
        <f t="shared" si="8"/>
        <v>0</v>
      </c>
      <c r="K17" s="44">
        <f t="shared" ref="K17" si="15">G17+J17</f>
        <v>0</v>
      </c>
      <c r="L17" s="19">
        <f t="shared" ref="L17" si="16">IF(G17=0,0,-J17/G17)</f>
        <v>0</v>
      </c>
      <c r="N17" s="25">
        <v>45666</v>
      </c>
      <c r="O17" s="26">
        <v>0.83646990740740745</v>
      </c>
      <c r="P17" s="50" t="s">
        <v>1020</v>
      </c>
      <c r="Q17" s="50" t="s">
        <v>1029</v>
      </c>
      <c r="R17" s="50" t="s">
        <v>1030</v>
      </c>
      <c r="S17" s="50" t="s">
        <v>1056</v>
      </c>
      <c r="T17" s="50">
        <v>-10000</v>
      </c>
      <c r="U17" s="50" t="s">
        <v>1024</v>
      </c>
      <c r="V17" s="50" t="s">
        <v>946</v>
      </c>
      <c r="W17" s="50" t="s">
        <v>1057</v>
      </c>
      <c r="X17" s="86"/>
      <c r="Y17" s="6" t="s">
        <v>1160</v>
      </c>
    </row>
    <row r="18" spans="1:25" x14ac:dyDescent="0.4">
      <c r="A18" s="4">
        <f t="shared" si="0"/>
        <v>202501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593565</v>
      </c>
      <c r="G18" s="18">
        <f t="shared" ref="G18" si="17">SUM(E18:F18)</f>
        <v>943565</v>
      </c>
      <c r="H18" s="41">
        <f t="shared" ca="1" si="2"/>
        <v>0</v>
      </c>
      <c r="I18" s="41">
        <f t="shared" ref="I18" ca="1" si="18">J18-H18</f>
        <v>-593565</v>
      </c>
      <c r="J18" s="44">
        <f t="shared" si="8"/>
        <v>-593565</v>
      </c>
      <c r="K18" s="44">
        <f t="shared" ref="K18" si="19">G18+J18</f>
        <v>350000</v>
      </c>
      <c r="L18" s="19">
        <f t="shared" ref="L18" si="20">IF(G18=0,0,-J18/G18)</f>
        <v>0.62906636002819094</v>
      </c>
      <c r="N18" s="25">
        <v>45667</v>
      </c>
      <c r="O18" s="26">
        <v>0.35170138888888891</v>
      </c>
      <c r="P18" s="50" t="s">
        <v>1020</v>
      </c>
      <c r="Q18" s="50" t="s">
        <v>1029</v>
      </c>
      <c r="R18" s="50" t="s">
        <v>1045</v>
      </c>
      <c r="S18" s="50" t="s">
        <v>1031</v>
      </c>
      <c r="T18" s="50">
        <v>-17080</v>
      </c>
      <c r="U18" s="50" t="s">
        <v>1024</v>
      </c>
      <c r="V18" s="50" t="s">
        <v>1025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21">SUM(E3:E18)</f>
        <v>2825000</v>
      </c>
      <c r="F19" s="20">
        <f t="shared" si="21"/>
        <v>632065</v>
      </c>
      <c r="G19" s="20">
        <f t="shared" si="21"/>
        <v>3457065</v>
      </c>
      <c r="H19" s="42">
        <f t="shared" ca="1" si="21"/>
        <v>-895849</v>
      </c>
      <c r="I19" s="42">
        <f t="shared" ca="1" si="21"/>
        <v>-2671273</v>
      </c>
      <c r="J19" s="45">
        <f t="shared" si="21"/>
        <v>-3567122</v>
      </c>
      <c r="K19" s="45">
        <f t="shared" si="21"/>
        <v>-110057</v>
      </c>
      <c r="L19" s="21">
        <f>IF(G19=0,0,-J19/G19)</f>
        <v>1.031835386375437</v>
      </c>
      <c r="N19" s="25">
        <v>45668</v>
      </c>
      <c r="O19" s="26">
        <v>0.67336805555555557</v>
      </c>
      <c r="P19" s="50" t="s">
        <v>1020</v>
      </c>
      <c r="Q19" s="50" t="s">
        <v>1029</v>
      </c>
      <c r="R19" s="50" t="s">
        <v>1045</v>
      </c>
      <c r="S19" s="50" t="s">
        <v>1058</v>
      </c>
      <c r="T19" s="50">
        <v>-13484</v>
      </c>
      <c r="U19" s="50" t="s">
        <v>1024</v>
      </c>
      <c r="V19" s="50" t="s">
        <v>1025</v>
      </c>
      <c r="W19" s="50" t="s">
        <v>1059</v>
      </c>
      <c r="X19" s="86"/>
      <c r="Y19" s="6" t="s">
        <v>1160</v>
      </c>
    </row>
    <row r="20" spans="1:25" x14ac:dyDescent="0.4">
      <c r="I20" s="132" t="s">
        <v>920</v>
      </c>
      <c r="J20" s="132"/>
      <c r="K20" s="17">
        <f>E19+J19</f>
        <v>-742122</v>
      </c>
      <c r="L20" s="22">
        <f>IF(E19=0,0,-J19/E19)</f>
        <v>1.2626980530973451</v>
      </c>
      <c r="N20" s="25">
        <v>45668</v>
      </c>
      <c r="O20" s="26">
        <v>0.84925925925925927</v>
      </c>
      <c r="P20" s="50" t="s">
        <v>1020</v>
      </c>
      <c r="Q20" s="50" t="s">
        <v>1029</v>
      </c>
      <c r="R20" s="50" t="s">
        <v>1045</v>
      </c>
      <c r="S20" s="50" t="s">
        <v>1031</v>
      </c>
      <c r="T20" s="50">
        <v>-7900</v>
      </c>
      <c r="U20" s="50" t="s">
        <v>1024</v>
      </c>
      <c r="V20" s="50" t="s">
        <v>1025</v>
      </c>
      <c r="W20" s="50" t="s">
        <v>1060</v>
      </c>
      <c r="X20" s="86"/>
      <c r="Y20" s="6"/>
    </row>
    <row r="21" spans="1:25" x14ac:dyDescent="0.4">
      <c r="N21" s="25">
        <v>45668</v>
      </c>
      <c r="O21" s="26">
        <v>0.86307870370370365</v>
      </c>
      <c r="P21" s="50" t="s">
        <v>1020</v>
      </c>
      <c r="Q21" s="50" t="s">
        <v>1029</v>
      </c>
      <c r="R21" s="50" t="s">
        <v>1045</v>
      </c>
      <c r="S21" s="50" t="s">
        <v>1046</v>
      </c>
      <c r="T21" s="50">
        <v>-10000</v>
      </c>
      <c r="U21" s="50" t="s">
        <v>1024</v>
      </c>
      <c r="V21" s="50" t="s">
        <v>1025</v>
      </c>
      <c r="W21" s="50" t="s">
        <v>1061</v>
      </c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45669</v>
      </c>
      <c r="O22" s="26">
        <v>0.83332175925925922</v>
      </c>
      <c r="P22" s="50" t="s">
        <v>1020</v>
      </c>
      <c r="Q22" s="50" t="s">
        <v>1029</v>
      </c>
      <c r="R22" s="50" t="s">
        <v>1045</v>
      </c>
      <c r="S22" s="50" t="s">
        <v>1031</v>
      </c>
      <c r="T22" s="50">
        <v>-29900</v>
      </c>
      <c r="U22" s="50" t="s">
        <v>1024</v>
      </c>
      <c r="V22" s="50" t="s">
        <v>1025</v>
      </c>
      <c r="W22" s="50" t="s">
        <v>1062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SUMIFS($T$3:$T$233,$P$3:$P$233,"지출",$Q$3:$Q$233,C23,$R$3:$R$233,D23)</f>
        <v>-199810</v>
      </c>
      <c r="N23" s="25">
        <v>45670</v>
      </c>
      <c r="O23" s="26">
        <v>0.79099537037037038</v>
      </c>
      <c r="P23" s="50" t="s">
        <v>1020</v>
      </c>
      <c r="Q23" s="50" t="s">
        <v>1047</v>
      </c>
      <c r="R23" s="50" t="s">
        <v>1063</v>
      </c>
      <c r="S23" s="50" t="s">
        <v>1064</v>
      </c>
      <c r="T23" s="50">
        <v>-32039</v>
      </c>
      <c r="U23" s="50" t="s">
        <v>1024</v>
      </c>
      <c r="V23" s="50" t="s">
        <v>1036</v>
      </c>
      <c r="W23" s="50" t="s">
        <v>1065</v>
      </c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SUMIFS($T$3:$T$233,$P$3:$P$233,"지출",$Q$3:$Q$233,C24,$R$3:$R$233,D24)</f>
        <v>-89760</v>
      </c>
      <c r="N24" s="25">
        <v>45670</v>
      </c>
      <c r="O24" s="26">
        <v>0.80646990740740743</v>
      </c>
      <c r="P24" s="50" t="s">
        <v>1053</v>
      </c>
      <c r="Q24" s="50" t="s">
        <v>1066</v>
      </c>
      <c r="R24" s="50" t="s">
        <v>1054</v>
      </c>
      <c r="S24" s="50" t="s">
        <v>1067</v>
      </c>
      <c r="T24" s="50">
        <v>-903017</v>
      </c>
      <c r="U24" s="50" t="s">
        <v>1024</v>
      </c>
      <c r="V24" s="50" t="s">
        <v>1036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SUMIFS($T$3:$T$233,$P$3:$P$233,"지출",$Q$3:$Q$233,C25,$R$3:$R$233,D25)</f>
        <v>-280199</v>
      </c>
      <c r="N25" s="25">
        <v>45671</v>
      </c>
      <c r="O25" s="26">
        <v>0.77190972222222221</v>
      </c>
      <c r="P25" s="50" t="s">
        <v>1053</v>
      </c>
      <c r="Q25" s="50" t="s">
        <v>1066</v>
      </c>
      <c r="R25" s="50" t="s">
        <v>1054</v>
      </c>
      <c r="S25" s="50" t="s">
        <v>1068</v>
      </c>
      <c r="T25" s="50">
        <v>-451140</v>
      </c>
      <c r="U25" s="50" t="s">
        <v>1024</v>
      </c>
      <c r="V25" s="50" t="s">
        <v>1036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SUMIFS($T$3:$T$233,$P$3:$P$233,"지출",$Q$3:$Q$233,C26,$R$3:$R$233,D26)</f>
        <v>-320000</v>
      </c>
      <c r="N26" s="25">
        <v>45671</v>
      </c>
      <c r="O26" s="26">
        <v>0.91105324074074079</v>
      </c>
      <c r="P26" s="50" t="s">
        <v>1020</v>
      </c>
      <c r="Q26" s="50" t="s">
        <v>1029</v>
      </c>
      <c r="R26" s="50" t="s">
        <v>1030</v>
      </c>
      <c r="S26" s="50" t="s">
        <v>1069</v>
      </c>
      <c r="T26" s="50">
        <v>-3500</v>
      </c>
      <c r="U26" s="50" t="s">
        <v>1024</v>
      </c>
      <c r="V26" s="50" t="s">
        <v>1025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-889769</v>
      </c>
      <c r="N27" s="25">
        <v>45674</v>
      </c>
      <c r="O27" s="26">
        <v>0.37206018518518519</v>
      </c>
      <c r="P27" s="50" t="s">
        <v>1020</v>
      </c>
      <c r="Q27" s="50" t="s">
        <v>1029</v>
      </c>
      <c r="R27" s="50" t="s">
        <v>1030</v>
      </c>
      <c r="S27" s="50" t="s">
        <v>1031</v>
      </c>
      <c r="T27" s="50">
        <v>-20530</v>
      </c>
      <c r="U27" s="50" t="s">
        <v>1024</v>
      </c>
      <c r="V27" s="50" t="s">
        <v>1025</v>
      </c>
      <c r="W27" s="50" t="s">
        <v>1161</v>
      </c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SUMIFS($T$3:$T$233,$P$3:$P$233,"지출",$Q$3:$Q$233,C28,$R$3:$R$233,D28)</f>
        <v>-36500</v>
      </c>
      <c r="N28" s="25">
        <v>45674</v>
      </c>
      <c r="O28" s="26">
        <v>0.38928240740740738</v>
      </c>
      <c r="P28" s="50" t="s">
        <v>1020</v>
      </c>
      <c r="Q28" s="50" t="s">
        <v>1029</v>
      </c>
      <c r="R28" s="50" t="s">
        <v>1070</v>
      </c>
      <c r="S28" s="50" t="s">
        <v>1071</v>
      </c>
      <c r="T28" s="50">
        <v>-29260</v>
      </c>
      <c r="U28" s="50" t="s">
        <v>1024</v>
      </c>
      <c r="V28" s="50" t="s">
        <v>1025</v>
      </c>
      <c r="W28" s="50" t="s">
        <v>1072</v>
      </c>
      <c r="X28" s="86"/>
      <c r="Y28" s="6" t="s">
        <v>1160</v>
      </c>
    </row>
    <row r="29" spans="1:25" x14ac:dyDescent="0.4">
      <c r="C29" s="4" t="s">
        <v>954</v>
      </c>
      <c r="D29" s="4" t="s">
        <v>957</v>
      </c>
      <c r="E29" s="23">
        <f>SUMIFS($T$3:$T$233,$P$3:$P$233,"지출",$Q$3:$Q$233,C29,$R$3:$R$233,D29)</f>
        <v>0</v>
      </c>
      <c r="N29" s="25">
        <v>45674</v>
      </c>
      <c r="O29" s="26">
        <v>0.58393518518518517</v>
      </c>
      <c r="P29" s="50" t="s">
        <v>1073</v>
      </c>
      <c r="Q29" s="50" t="s">
        <v>1074</v>
      </c>
      <c r="R29" s="50" t="s">
        <v>1054</v>
      </c>
      <c r="S29" s="50" t="s">
        <v>1075</v>
      </c>
      <c r="T29" s="50">
        <v>55199</v>
      </c>
      <c r="U29" s="50" t="s">
        <v>1024</v>
      </c>
      <c r="V29" s="50" t="s">
        <v>1036</v>
      </c>
      <c r="W29" s="50" t="s">
        <v>1076</v>
      </c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SUMIFS($T$3:$T$233,$P$3:$P$233,"지출",$Q$3:$Q$233,C30,$R$3:$R$233,D30)</f>
        <v>0</v>
      </c>
      <c r="N30" s="25">
        <v>45674</v>
      </c>
      <c r="O30" s="26">
        <v>0.60329861111111116</v>
      </c>
      <c r="P30" s="50" t="s">
        <v>1020</v>
      </c>
      <c r="Q30" s="50" t="s">
        <v>1047</v>
      </c>
      <c r="R30" s="50" t="s">
        <v>1077</v>
      </c>
      <c r="S30" s="50" t="s">
        <v>1078</v>
      </c>
      <c r="T30" s="50">
        <v>-50000</v>
      </c>
      <c r="U30" s="50" t="s">
        <v>1024</v>
      </c>
      <c r="V30" s="50" t="s">
        <v>1079</v>
      </c>
      <c r="W30" s="50" t="s">
        <v>1080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-36500</v>
      </c>
      <c r="N31" s="25">
        <v>45675</v>
      </c>
      <c r="O31" s="26">
        <v>0.72738425925925931</v>
      </c>
      <c r="P31" s="50" t="s">
        <v>1020</v>
      </c>
      <c r="Q31" s="50" t="s">
        <v>1029</v>
      </c>
      <c r="R31" s="50" t="s">
        <v>1030</v>
      </c>
      <c r="S31" s="50" t="s">
        <v>1031</v>
      </c>
      <c r="T31" s="50">
        <v>-9140</v>
      </c>
      <c r="U31" s="50" t="s">
        <v>1024</v>
      </c>
      <c r="V31" s="50" t="s">
        <v>1025</v>
      </c>
      <c r="W31" s="50" t="s">
        <v>1081</v>
      </c>
      <c r="X31" s="86"/>
      <c r="Y31" s="6" t="s">
        <v>1160</v>
      </c>
    </row>
    <row r="32" spans="1:25" x14ac:dyDescent="0.4">
      <c r="C32" s="4" t="s">
        <v>5</v>
      </c>
      <c r="D32" s="4" t="s">
        <v>913</v>
      </c>
      <c r="E32" s="23">
        <f t="shared" ref="E32:E39" si="22">SUMIFS($T$3:$T$233,$P$3:$P$233,"지출",$Q$3:$Q$233,C32,$R$3:$R$233,D32)</f>
        <v>-50000</v>
      </c>
      <c r="N32" s="25">
        <v>45676</v>
      </c>
      <c r="O32" s="26">
        <v>0.36712962962962958</v>
      </c>
      <c r="P32" s="50" t="s">
        <v>1053</v>
      </c>
      <c r="Q32" s="50" t="s">
        <v>1082</v>
      </c>
      <c r="R32" s="50" t="s">
        <v>1054</v>
      </c>
      <c r="S32" s="50" t="s">
        <v>1083</v>
      </c>
      <c r="T32" s="50">
        <v>1</v>
      </c>
      <c r="U32" s="50" t="s">
        <v>1024</v>
      </c>
      <c r="V32" s="50" t="s">
        <v>1036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22"/>
        <v>-32039</v>
      </c>
      <c r="N33" s="25">
        <v>45676</v>
      </c>
      <c r="O33" s="26">
        <v>0.36752314814814813</v>
      </c>
      <c r="P33" s="50" t="s">
        <v>1053</v>
      </c>
      <c r="Q33" s="50" t="s">
        <v>1053</v>
      </c>
      <c r="R33" s="50" t="s">
        <v>1054</v>
      </c>
      <c r="S33" s="50" t="s">
        <v>1084</v>
      </c>
      <c r="T33" s="50">
        <v>0</v>
      </c>
      <c r="U33" s="50" t="s">
        <v>1024</v>
      </c>
      <c r="V33" s="50" t="s">
        <v>1085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22"/>
        <v>0</v>
      </c>
      <c r="N34" s="25">
        <v>45676</v>
      </c>
      <c r="O34" s="26">
        <v>0.77175925925925926</v>
      </c>
      <c r="P34" s="50" t="s">
        <v>1020</v>
      </c>
      <c r="Q34" s="50" t="s">
        <v>1047</v>
      </c>
      <c r="R34" s="50" t="s">
        <v>1086</v>
      </c>
      <c r="S34" s="50" t="s">
        <v>1031</v>
      </c>
      <c r="T34" s="50">
        <v>-36170</v>
      </c>
      <c r="U34" s="50" t="s">
        <v>1024</v>
      </c>
      <c r="V34" s="50" t="s">
        <v>1025</v>
      </c>
      <c r="W34" s="50" t="s">
        <v>1087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22"/>
        <v>-340950</v>
      </c>
      <c r="N35" s="25">
        <v>45676</v>
      </c>
      <c r="O35" s="26">
        <v>0.78306712962962965</v>
      </c>
      <c r="P35" s="50" t="s">
        <v>1020</v>
      </c>
      <c r="Q35" s="50" t="s">
        <v>1029</v>
      </c>
      <c r="R35" s="50" t="s">
        <v>1047</v>
      </c>
      <c r="S35" s="50" t="s">
        <v>1088</v>
      </c>
      <c r="T35" s="50">
        <v>-3000</v>
      </c>
      <c r="U35" s="50" t="s">
        <v>1024</v>
      </c>
      <c r="V35" s="50" t="s">
        <v>1025</v>
      </c>
      <c r="W35" s="50" t="s">
        <v>1089</v>
      </c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22"/>
        <v>0</v>
      </c>
      <c r="N36" s="25">
        <v>45676</v>
      </c>
      <c r="O36" s="26">
        <v>0.79788194444444449</v>
      </c>
      <c r="P36" s="50" t="s">
        <v>1020</v>
      </c>
      <c r="Q36" s="50" t="s">
        <v>1029</v>
      </c>
      <c r="R36" s="50" t="s">
        <v>1045</v>
      </c>
      <c r="S36" s="50" t="s">
        <v>1031</v>
      </c>
      <c r="T36" s="50">
        <v>-9500</v>
      </c>
      <c r="U36" s="50" t="s">
        <v>1024</v>
      </c>
      <c r="V36" s="50" t="s">
        <v>1025</v>
      </c>
      <c r="W36" s="50" t="s">
        <v>1090</v>
      </c>
      <c r="X36" s="86"/>
      <c r="Y36" s="6"/>
    </row>
    <row r="37" spans="3:25" x14ac:dyDescent="0.4">
      <c r="C37" s="4" t="s">
        <v>5</v>
      </c>
      <c r="D37" s="95" t="s">
        <v>1010</v>
      </c>
      <c r="E37" s="23">
        <f t="shared" si="22"/>
        <v>0</v>
      </c>
      <c r="N37" s="25">
        <v>45676</v>
      </c>
      <c r="O37" s="26">
        <v>0.82934027777777775</v>
      </c>
      <c r="P37" s="50" t="s">
        <v>1053</v>
      </c>
      <c r="Q37" s="50" t="s">
        <v>1053</v>
      </c>
      <c r="R37" s="50" t="s">
        <v>1054</v>
      </c>
      <c r="S37" s="50" t="s">
        <v>1091</v>
      </c>
      <c r="T37" s="50">
        <v>-1000000</v>
      </c>
      <c r="U37" s="50" t="s">
        <v>1024</v>
      </c>
      <c r="V37" s="50" t="s">
        <v>1036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22"/>
        <v>0</v>
      </c>
      <c r="N38" s="25">
        <v>45676</v>
      </c>
      <c r="O38" s="26">
        <v>0.82934027777777775</v>
      </c>
      <c r="P38" s="50" t="s">
        <v>1053</v>
      </c>
      <c r="Q38" s="50" t="s">
        <v>1053</v>
      </c>
      <c r="R38" s="50" t="s">
        <v>1054</v>
      </c>
      <c r="S38" s="50" t="s">
        <v>1092</v>
      </c>
      <c r="T38" s="50">
        <v>1000000</v>
      </c>
      <c r="U38" s="50" t="s">
        <v>1024</v>
      </c>
      <c r="V38" s="50" t="s">
        <v>1079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22"/>
        <v>-170576</v>
      </c>
      <c r="N39" s="25">
        <v>45677</v>
      </c>
      <c r="O39" s="26">
        <v>0.40868055555555549</v>
      </c>
      <c r="P39" s="50" t="s">
        <v>1020</v>
      </c>
      <c r="Q39" s="50" t="s">
        <v>1026</v>
      </c>
      <c r="R39" s="50" t="s">
        <v>1093</v>
      </c>
      <c r="S39" s="50" t="s">
        <v>1094</v>
      </c>
      <c r="T39" s="50">
        <v>-22000</v>
      </c>
      <c r="U39" s="50" t="s">
        <v>1024</v>
      </c>
      <c r="V39" s="50" t="s">
        <v>1025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-593565</v>
      </c>
      <c r="N40" s="25">
        <v>45677</v>
      </c>
      <c r="O40" s="26">
        <v>0.40868055555555549</v>
      </c>
      <c r="P40" s="50" t="s">
        <v>1020</v>
      </c>
      <c r="Q40" s="50" t="s">
        <v>1026</v>
      </c>
      <c r="R40" s="50" t="s">
        <v>1093</v>
      </c>
      <c r="S40" s="50" t="s">
        <v>1095</v>
      </c>
      <c r="T40" s="50">
        <v>-43890</v>
      </c>
      <c r="U40" s="50" t="s">
        <v>1024</v>
      </c>
      <c r="V40" s="50" t="s">
        <v>1025</v>
      </c>
      <c r="W40" s="50"/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SUMIFS($T$3:$T$233,$P$3:$P$233,"지출",$Q$3:$Q$233,C41,$R$3:$R$233,D41)</f>
        <v>0</v>
      </c>
      <c r="N41" s="25">
        <v>45677</v>
      </c>
      <c r="O41" s="26">
        <v>0.51157407407407407</v>
      </c>
      <c r="P41" s="50" t="s">
        <v>1020</v>
      </c>
      <c r="Q41" s="50" t="s">
        <v>1029</v>
      </c>
      <c r="R41" s="50" t="s">
        <v>1070</v>
      </c>
      <c r="S41" s="50" t="s">
        <v>1096</v>
      </c>
      <c r="T41" s="50">
        <v>-10500</v>
      </c>
      <c r="U41" s="50" t="s">
        <v>1024</v>
      </c>
      <c r="V41" s="50" t="s">
        <v>1036</v>
      </c>
      <c r="W41" s="50" t="s">
        <v>1097</v>
      </c>
      <c r="X41" s="86"/>
      <c r="Y41" s="6"/>
    </row>
    <row r="42" spans="3:25" x14ac:dyDescent="0.4">
      <c r="C42" s="4" t="s">
        <v>1</v>
      </c>
      <c r="D42" s="95" t="s">
        <v>1014</v>
      </c>
      <c r="E42" s="23">
        <f>SUMIFS($T$3:$T$233,$P$3:$P$233,"지출",$Q$3:$Q$233,C42,$R$3:$R$233,D42)</f>
        <v>-63000</v>
      </c>
      <c r="N42" s="25">
        <v>45677</v>
      </c>
      <c r="O42" s="26">
        <v>0.5280555555555555</v>
      </c>
      <c r="P42" s="50" t="s">
        <v>1020</v>
      </c>
      <c r="Q42" s="50" t="s">
        <v>1029</v>
      </c>
      <c r="R42" s="50" t="s">
        <v>1070</v>
      </c>
      <c r="S42" s="50" t="s">
        <v>1096</v>
      </c>
      <c r="T42" s="50">
        <v>-3000</v>
      </c>
      <c r="U42" s="50" t="s">
        <v>1024</v>
      </c>
      <c r="V42" s="50" t="s">
        <v>1036</v>
      </c>
      <c r="W42" s="50" t="s">
        <v>1097</v>
      </c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SUMIFS($T$3:$T$233,$P$3:$P$233,"지출",$Q$3:$Q$233,C43,$R$3:$R$233,D43)</f>
        <v>0</v>
      </c>
      <c r="N43" s="25">
        <v>45677</v>
      </c>
      <c r="O43" s="26">
        <v>0.53728009259259257</v>
      </c>
      <c r="P43" s="50" t="s">
        <v>1020</v>
      </c>
      <c r="Q43" s="50" t="s">
        <v>1029</v>
      </c>
      <c r="R43" s="50" t="s">
        <v>1030</v>
      </c>
      <c r="S43" s="50" t="s">
        <v>1098</v>
      </c>
      <c r="T43" s="50">
        <v>-5000</v>
      </c>
      <c r="U43" s="50" t="s">
        <v>1024</v>
      </c>
      <c r="V43" s="50" t="s">
        <v>1099</v>
      </c>
      <c r="W43" s="50"/>
      <c r="X43" s="86"/>
      <c r="Y43" s="6"/>
    </row>
    <row r="44" spans="3:25" x14ac:dyDescent="0.4">
      <c r="C44" s="4" t="s">
        <v>1</v>
      </c>
      <c r="D44" s="95" t="s">
        <v>1010</v>
      </c>
      <c r="E44" s="23">
        <f>SUMIFS($T$3:$T$233,$P$3:$P$233,"지출",$Q$3:$Q$233,C44,$R$3:$R$233,D44)</f>
        <v>0</v>
      </c>
      <c r="N44" s="25">
        <v>45677</v>
      </c>
      <c r="O44" s="26">
        <v>0.60859953703703706</v>
      </c>
      <c r="P44" s="50" t="s">
        <v>1020</v>
      </c>
      <c r="Q44" s="50" t="s">
        <v>1029</v>
      </c>
      <c r="R44" s="50" t="s">
        <v>1030</v>
      </c>
      <c r="S44" s="50" t="s">
        <v>1100</v>
      </c>
      <c r="T44" s="50">
        <v>-10000</v>
      </c>
      <c r="U44" s="50" t="s">
        <v>1024</v>
      </c>
      <c r="V44" s="50" t="s">
        <v>1099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-63000</v>
      </c>
      <c r="N45" s="25">
        <v>45677</v>
      </c>
      <c r="O45" s="26">
        <v>0.63063657407407403</v>
      </c>
      <c r="P45" s="50" t="s">
        <v>1020</v>
      </c>
      <c r="Q45" s="50" t="s">
        <v>1029</v>
      </c>
      <c r="R45" s="50" t="s">
        <v>1045</v>
      </c>
      <c r="S45" s="50" t="s">
        <v>1101</v>
      </c>
      <c r="T45" s="50">
        <v>-8955</v>
      </c>
      <c r="U45" s="50" t="s">
        <v>1024</v>
      </c>
      <c r="V45" s="50" t="s">
        <v>1036</v>
      </c>
      <c r="W45" s="50" t="s">
        <v>1102</v>
      </c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SUMIFS($T$3:$T$233,$P$3:$P$233,"지출",$Q$3:$Q$233,C46,$R$3:$R$233,D46)</f>
        <v>0</v>
      </c>
      <c r="N46" s="25">
        <v>45677</v>
      </c>
      <c r="O46" s="26">
        <v>0.93695601851851851</v>
      </c>
      <c r="P46" s="50" t="s">
        <v>1053</v>
      </c>
      <c r="Q46" s="50" t="s">
        <v>1053</v>
      </c>
      <c r="R46" s="50" t="s">
        <v>1054</v>
      </c>
      <c r="S46" s="50" t="s">
        <v>1103</v>
      </c>
      <c r="T46" s="50">
        <v>20000000</v>
      </c>
      <c r="U46" s="50" t="s">
        <v>1024</v>
      </c>
      <c r="V46" s="50" t="s">
        <v>1036</v>
      </c>
      <c r="W46" s="50"/>
      <c r="X46" s="86"/>
      <c r="Y46" s="6"/>
    </row>
    <row r="47" spans="3:25" x14ac:dyDescent="0.4">
      <c r="C47" s="4" t="s">
        <v>2</v>
      </c>
      <c r="D47" s="95" t="s">
        <v>1014</v>
      </c>
      <c r="E47" s="23">
        <f>SUMIFS($T$3:$T$233,$P$3:$P$233,"지출",$Q$3:$Q$233,C47,$R$3:$R$233,D47)</f>
        <v>0</v>
      </c>
      <c r="N47" s="25">
        <v>45677</v>
      </c>
      <c r="O47" s="26">
        <v>0.93843750000000004</v>
      </c>
      <c r="P47" s="50" t="s">
        <v>1053</v>
      </c>
      <c r="Q47" s="50" t="s">
        <v>1053</v>
      </c>
      <c r="R47" s="50" t="s">
        <v>1054</v>
      </c>
      <c r="S47" s="50" t="s">
        <v>1103</v>
      </c>
      <c r="T47" s="50">
        <v>-20000000</v>
      </c>
      <c r="U47" s="50" t="s">
        <v>1024</v>
      </c>
      <c r="V47" s="50" t="s">
        <v>1036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SUMIFS($T$3:$T$233,$P$3:$P$233,"지출",$Q$3:$Q$233,C48,$R$3:$R$233,D48)</f>
        <v>0</v>
      </c>
      <c r="N48" s="25">
        <v>45677</v>
      </c>
      <c r="O48" s="26">
        <v>0.93847222222222226</v>
      </c>
      <c r="P48" s="50" t="s">
        <v>1053</v>
      </c>
      <c r="Q48" s="50" t="s">
        <v>1053</v>
      </c>
      <c r="R48" s="50" t="s">
        <v>1054</v>
      </c>
      <c r="S48" s="50" t="s">
        <v>1104</v>
      </c>
      <c r="T48" s="50">
        <v>20000000</v>
      </c>
      <c r="U48" s="50" t="s">
        <v>1024</v>
      </c>
      <c r="V48" s="50" t="s">
        <v>1085</v>
      </c>
      <c r="W48" s="50"/>
      <c r="X48" s="86"/>
      <c r="Y48" s="6"/>
    </row>
    <row r="49" spans="1:25" x14ac:dyDescent="0.4">
      <c r="C49" s="4" t="s">
        <v>2</v>
      </c>
      <c r="D49" s="95" t="s">
        <v>1010</v>
      </c>
      <c r="E49" s="23">
        <f>SUMIFS($T$3:$T$233,$P$3:$P$233,"지출",$Q$3:$Q$233,C49,$R$3:$R$233,D49)</f>
        <v>0</v>
      </c>
      <c r="N49" s="25">
        <v>45678</v>
      </c>
      <c r="O49" s="26">
        <v>0.56787037037037036</v>
      </c>
      <c r="P49" s="50" t="s">
        <v>1020</v>
      </c>
      <c r="Q49" s="50" t="s">
        <v>1026</v>
      </c>
      <c r="R49" s="50" t="s">
        <v>1105</v>
      </c>
      <c r="S49" s="50" t="s">
        <v>1105</v>
      </c>
      <c r="T49" s="50">
        <v>-367410</v>
      </c>
      <c r="U49" s="50" t="s">
        <v>1024</v>
      </c>
      <c r="V49" s="50" t="s">
        <v>1025</v>
      </c>
      <c r="W49" s="50"/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45679</v>
      </c>
      <c r="O50" s="26">
        <v>0.50240740740740741</v>
      </c>
      <c r="P50" s="50" t="s">
        <v>1073</v>
      </c>
      <c r="Q50" s="50" t="s">
        <v>1074</v>
      </c>
      <c r="R50" s="50" t="s">
        <v>1054</v>
      </c>
      <c r="S50" s="50" t="s">
        <v>1106</v>
      </c>
      <c r="T50" s="50">
        <v>19473581</v>
      </c>
      <c r="U50" s="50" t="s">
        <v>1024</v>
      </c>
      <c r="V50" s="50" t="s">
        <v>1036</v>
      </c>
      <c r="W50" s="50"/>
      <c r="X50" s="86"/>
      <c r="Y50" s="6"/>
    </row>
    <row r="51" spans="1:25" ht="18" thickBot="1" x14ac:dyDescent="0.45">
      <c r="J51" s="53"/>
      <c r="K51" s="54"/>
      <c r="N51" s="25">
        <v>45679</v>
      </c>
      <c r="O51" s="26">
        <v>0.50745370370370368</v>
      </c>
      <c r="P51" s="50" t="s">
        <v>1053</v>
      </c>
      <c r="Q51" s="50" t="s">
        <v>1053</v>
      </c>
      <c r="R51" s="50" t="s">
        <v>1054</v>
      </c>
      <c r="S51" s="50" t="s">
        <v>1103</v>
      </c>
      <c r="T51" s="50">
        <v>-2100000</v>
      </c>
      <c r="U51" s="50" t="s">
        <v>1024</v>
      </c>
      <c r="V51" s="50" t="s">
        <v>1036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138057062</v>
      </c>
      <c r="N52" s="25">
        <v>45679</v>
      </c>
      <c r="O52" s="26">
        <v>0.50790509259259264</v>
      </c>
      <c r="P52" s="50" t="s">
        <v>1053</v>
      </c>
      <c r="Q52" s="50" t="s">
        <v>1053</v>
      </c>
      <c r="R52" s="50" t="s">
        <v>1054</v>
      </c>
      <c r="S52" s="50" t="s">
        <v>1103</v>
      </c>
      <c r="T52" s="50">
        <v>-19000000</v>
      </c>
      <c r="U52" s="50" t="s">
        <v>1024</v>
      </c>
      <c r="V52" s="50" t="s">
        <v>1036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163863206</v>
      </c>
      <c r="N53" s="25">
        <v>45679</v>
      </c>
      <c r="O53" s="26">
        <v>0.52320601851851856</v>
      </c>
      <c r="P53" s="50" t="s">
        <v>1053</v>
      </c>
      <c r="Q53" s="50" t="s">
        <v>1053</v>
      </c>
      <c r="R53" s="50" t="s">
        <v>1054</v>
      </c>
      <c r="S53" s="50" t="s">
        <v>1107</v>
      </c>
      <c r="T53" s="50">
        <v>30000000</v>
      </c>
      <c r="U53" s="50" t="s">
        <v>1024</v>
      </c>
      <c r="V53" s="50" t="s">
        <v>1085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45689</v>
      </c>
      <c r="F54" s="51">
        <v>5537523</v>
      </c>
      <c r="H54" s="98" t="s">
        <v>907</v>
      </c>
      <c r="I54" s="30">
        <f ca="1">I53-I52</f>
        <v>25806144</v>
      </c>
      <c r="J54" s="53"/>
      <c r="K54" s="54"/>
      <c r="N54" s="25">
        <v>45679</v>
      </c>
      <c r="O54" s="26">
        <v>0.52335648148148151</v>
      </c>
      <c r="P54" s="50" t="s">
        <v>1053</v>
      </c>
      <c r="Q54" s="50" t="s">
        <v>1053</v>
      </c>
      <c r="R54" s="50" t="s">
        <v>1054</v>
      </c>
      <c r="S54" s="50" t="s">
        <v>1103</v>
      </c>
      <c r="T54" s="50">
        <v>157945</v>
      </c>
      <c r="U54" s="50" t="s">
        <v>1024</v>
      </c>
      <c r="V54" s="50" t="s">
        <v>1036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45689</v>
      </c>
      <c r="F55" s="51">
        <v>0</v>
      </c>
      <c r="H55" s="52"/>
      <c r="I55" s="53"/>
      <c r="J55" s="53"/>
      <c r="K55" s="54"/>
      <c r="N55" s="25">
        <v>45679</v>
      </c>
      <c r="O55" s="26">
        <v>0.74192129629629633</v>
      </c>
      <c r="P55" s="50" t="s">
        <v>1020</v>
      </c>
      <c r="Q55" s="50" t="s">
        <v>1029</v>
      </c>
      <c r="R55" s="50" t="s">
        <v>1070</v>
      </c>
      <c r="S55" s="50" t="s">
        <v>1108</v>
      </c>
      <c r="T55" s="50">
        <v>-28000</v>
      </c>
      <c r="U55" s="50" t="s">
        <v>1024</v>
      </c>
      <c r="V55" s="50" t="s">
        <v>1099</v>
      </c>
      <c r="W55" s="50"/>
      <c r="X55" s="86"/>
      <c r="Y55" s="6" t="s">
        <v>1160</v>
      </c>
    </row>
    <row r="56" spans="1:25" x14ac:dyDescent="0.4">
      <c r="C56" s="83"/>
      <c r="D56" s="84" t="s">
        <v>996</v>
      </c>
      <c r="E56" s="89">
        <v>45689</v>
      </c>
      <c r="F56" s="51">
        <v>50000000</v>
      </c>
      <c r="H56" s="52"/>
      <c r="I56" s="53"/>
      <c r="J56" s="53"/>
      <c r="K56" s="54"/>
      <c r="N56" s="25">
        <v>45679</v>
      </c>
      <c r="O56" s="26">
        <v>0.78770833333333334</v>
      </c>
      <c r="P56" s="50" t="s">
        <v>1020</v>
      </c>
      <c r="Q56" s="50" t="s">
        <v>1029</v>
      </c>
      <c r="R56" s="50" t="s">
        <v>1030</v>
      </c>
      <c r="S56" s="50" t="s">
        <v>1109</v>
      </c>
      <c r="T56" s="50">
        <v>-4000</v>
      </c>
      <c r="U56" s="50" t="s">
        <v>1024</v>
      </c>
      <c r="V56" s="50" t="s">
        <v>1099</v>
      </c>
      <c r="W56" s="50" t="s">
        <v>1110</v>
      </c>
      <c r="X56" s="86"/>
      <c r="Y56" s="6" t="s">
        <v>1160</v>
      </c>
    </row>
    <row r="57" spans="1:25" x14ac:dyDescent="0.4">
      <c r="C57" s="80"/>
      <c r="D57" s="84" t="s">
        <v>1018</v>
      </c>
      <c r="E57" s="89">
        <v>45689</v>
      </c>
      <c r="F57" s="51">
        <v>0</v>
      </c>
      <c r="H57" s="52"/>
      <c r="I57" s="53"/>
      <c r="J57" s="53"/>
      <c r="K57" s="54"/>
      <c r="N57" s="25">
        <v>45680</v>
      </c>
      <c r="O57" s="26">
        <v>0.33569444444444452</v>
      </c>
      <c r="P57" s="50" t="s">
        <v>1020</v>
      </c>
      <c r="Q57" s="50" t="s">
        <v>1029</v>
      </c>
      <c r="R57" s="50" t="s">
        <v>1045</v>
      </c>
      <c r="S57" s="50" t="s">
        <v>1031</v>
      </c>
      <c r="T57" s="50">
        <v>-22900</v>
      </c>
      <c r="U57" s="50" t="s">
        <v>1024</v>
      </c>
      <c r="V57" s="50" t="s">
        <v>1025</v>
      </c>
      <c r="W57" s="50" t="s">
        <v>1111</v>
      </c>
      <c r="X57" s="86"/>
      <c r="Y57" s="6"/>
    </row>
    <row r="58" spans="1:25" x14ac:dyDescent="0.4">
      <c r="C58" s="81" t="s">
        <v>992</v>
      </c>
      <c r="D58" s="85" t="s">
        <v>1005</v>
      </c>
      <c r="E58" s="89">
        <v>45689</v>
      </c>
      <c r="F58" s="51">
        <v>6000000</v>
      </c>
      <c r="H58" s="52"/>
      <c r="I58" s="53"/>
      <c r="J58" s="53"/>
      <c r="K58" s="54"/>
      <c r="N58" s="25">
        <v>45680</v>
      </c>
      <c r="O58" s="26">
        <v>0.3379861111111111</v>
      </c>
      <c r="P58" s="50" t="s">
        <v>1020</v>
      </c>
      <c r="Q58" s="50" t="s">
        <v>1029</v>
      </c>
      <c r="R58" s="50" t="s">
        <v>1045</v>
      </c>
      <c r="S58" s="50" t="s">
        <v>1112</v>
      </c>
      <c r="T58" s="50">
        <v>-26700</v>
      </c>
      <c r="U58" s="50" t="s">
        <v>1024</v>
      </c>
      <c r="V58" s="50" t="s">
        <v>1025</v>
      </c>
      <c r="W58" s="50" t="s">
        <v>1113</v>
      </c>
      <c r="X58" s="86"/>
      <c r="Y58" s="6"/>
    </row>
    <row r="59" spans="1:25" x14ac:dyDescent="0.4">
      <c r="C59" s="79" t="s">
        <v>969</v>
      </c>
      <c r="D59" s="50" t="s">
        <v>989</v>
      </c>
      <c r="E59" s="89">
        <v>45689</v>
      </c>
      <c r="F59" s="51">
        <v>136580</v>
      </c>
      <c r="H59" s="52"/>
      <c r="I59" s="53"/>
      <c r="J59" s="53"/>
      <c r="K59" s="54"/>
      <c r="N59" s="25">
        <v>45680</v>
      </c>
      <c r="O59" s="26">
        <v>0.48604166666666659</v>
      </c>
      <c r="P59" s="50" t="s">
        <v>1073</v>
      </c>
      <c r="Q59" s="50" t="s">
        <v>1074</v>
      </c>
      <c r="R59" s="50" t="s">
        <v>1054</v>
      </c>
      <c r="S59" s="50" t="s">
        <v>1114</v>
      </c>
      <c r="T59" s="50">
        <v>1100000</v>
      </c>
      <c r="U59" s="50" t="s">
        <v>1024</v>
      </c>
      <c r="V59" s="50" t="s">
        <v>1036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45689</v>
      </c>
      <c r="F60" s="51">
        <v>51950</v>
      </c>
      <c r="H60" s="52"/>
      <c r="I60" s="53"/>
      <c r="J60" s="53"/>
      <c r="K60" s="54"/>
      <c r="N60" s="25">
        <v>45680</v>
      </c>
      <c r="O60" s="26">
        <v>0.81231481481481482</v>
      </c>
      <c r="P60" s="50" t="s">
        <v>1020</v>
      </c>
      <c r="Q60" s="50" t="s">
        <v>1026</v>
      </c>
      <c r="R60" s="50" t="s">
        <v>1115</v>
      </c>
      <c r="S60" s="50" t="s">
        <v>1116</v>
      </c>
      <c r="T60" s="50">
        <v>-14232</v>
      </c>
      <c r="U60" s="50" t="s">
        <v>1024</v>
      </c>
      <c r="V60" s="50" t="s">
        <v>1036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45689</v>
      </c>
      <c r="F61" s="51">
        <v>990000</v>
      </c>
      <c r="H61" s="52"/>
      <c r="I61" s="53"/>
      <c r="J61" s="53"/>
      <c r="K61" s="54"/>
      <c r="N61" s="25">
        <v>45681</v>
      </c>
      <c r="O61" s="26">
        <v>0.25394675925925919</v>
      </c>
      <c r="P61" s="50" t="s">
        <v>1073</v>
      </c>
      <c r="Q61" s="50" t="s">
        <v>1117</v>
      </c>
      <c r="R61" s="50" t="s">
        <v>1054</v>
      </c>
      <c r="S61" s="50" t="s">
        <v>1118</v>
      </c>
      <c r="T61" s="50">
        <v>5278317</v>
      </c>
      <c r="U61" s="50" t="s">
        <v>1024</v>
      </c>
      <c r="V61" s="50" t="s">
        <v>1036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45689</v>
      </c>
      <c r="F62" s="51">
        <v>4500000</v>
      </c>
      <c r="H62" s="52"/>
      <c r="I62" s="53"/>
      <c r="J62" s="53"/>
      <c r="K62" s="54"/>
      <c r="N62" s="25">
        <v>45682</v>
      </c>
      <c r="O62" s="26">
        <v>0.77322916666666663</v>
      </c>
      <c r="P62" s="50" t="s">
        <v>1020</v>
      </c>
      <c r="Q62" s="50" t="s">
        <v>1029</v>
      </c>
      <c r="R62" s="50" t="s">
        <v>1030</v>
      </c>
      <c r="S62" s="50" t="s">
        <v>1031</v>
      </c>
      <c r="T62" s="50">
        <v>-89870</v>
      </c>
      <c r="U62" s="50" t="s">
        <v>1024</v>
      </c>
      <c r="V62" s="50" t="s">
        <v>1025</v>
      </c>
      <c r="W62" s="50" t="s">
        <v>1119</v>
      </c>
      <c r="X62" s="86"/>
      <c r="Y62" s="6"/>
    </row>
    <row r="63" spans="1:25" x14ac:dyDescent="0.4">
      <c r="C63" s="80"/>
      <c r="D63" s="50" t="s">
        <v>1004</v>
      </c>
      <c r="E63" s="89">
        <v>45689</v>
      </c>
      <c r="F63" s="51">
        <v>782000</v>
      </c>
      <c r="H63" s="52"/>
      <c r="I63" s="53"/>
      <c r="J63" s="53"/>
      <c r="K63" s="54"/>
      <c r="N63" s="25">
        <v>45682</v>
      </c>
      <c r="O63" s="26">
        <v>0.77895833333333331</v>
      </c>
      <c r="P63" s="50" t="s">
        <v>1020</v>
      </c>
      <c r="Q63" s="50" t="s">
        <v>1029</v>
      </c>
      <c r="R63" s="50" t="s">
        <v>1070</v>
      </c>
      <c r="S63" s="50" t="s">
        <v>1120</v>
      </c>
      <c r="T63" s="50">
        <v>-19000</v>
      </c>
      <c r="U63" s="50" t="s">
        <v>1024</v>
      </c>
      <c r="V63" s="50" t="s">
        <v>1025</v>
      </c>
      <c r="W63" s="50" t="s">
        <v>1121</v>
      </c>
      <c r="X63" s="86"/>
      <c r="Y63" s="6" t="s">
        <v>1160</v>
      </c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44053780</v>
      </c>
      <c r="H64" s="52"/>
      <c r="I64" s="53"/>
      <c r="J64" s="53"/>
      <c r="K64" s="54"/>
      <c r="N64" s="25">
        <v>45682</v>
      </c>
      <c r="O64" s="26">
        <v>0.89247685185185188</v>
      </c>
      <c r="P64" s="50" t="s">
        <v>1020</v>
      </c>
      <c r="Q64" s="50" t="s">
        <v>1047</v>
      </c>
      <c r="R64" s="50" t="s">
        <v>1086</v>
      </c>
      <c r="S64" s="50" t="s">
        <v>1122</v>
      </c>
      <c r="T64" s="50">
        <v>-56430</v>
      </c>
      <c r="U64" s="50" t="s">
        <v>1024</v>
      </c>
      <c r="V64" s="50" t="s">
        <v>1025</v>
      </c>
      <c r="W64" s="50" t="s">
        <v>1123</v>
      </c>
      <c r="X64" s="86"/>
      <c r="Y64" s="6" t="s">
        <v>1160</v>
      </c>
    </row>
    <row r="65" spans="1:25" x14ac:dyDescent="0.4">
      <c r="C65" s="83"/>
      <c r="D65" s="85" t="s">
        <v>998</v>
      </c>
      <c r="E65" s="90">
        <v>45689</v>
      </c>
      <c r="F65" s="91">
        <v>34672320</v>
      </c>
      <c r="H65" s="52"/>
      <c r="I65" s="53"/>
      <c r="J65" s="53"/>
      <c r="K65" s="54"/>
      <c r="N65" s="25">
        <v>45682</v>
      </c>
      <c r="O65" s="26">
        <v>0.90144675925925921</v>
      </c>
      <c r="P65" s="50" t="s">
        <v>1020</v>
      </c>
      <c r="Q65" s="50" t="s">
        <v>1047</v>
      </c>
      <c r="R65" s="50" t="s">
        <v>1086</v>
      </c>
      <c r="S65" s="50" t="s">
        <v>1124</v>
      </c>
      <c r="T65" s="50">
        <v>-77976</v>
      </c>
      <c r="U65" s="50" t="s">
        <v>1024</v>
      </c>
      <c r="V65" s="50" t="s">
        <v>1125</v>
      </c>
      <c r="W65" s="50" t="s">
        <v>1126</v>
      </c>
      <c r="X65" s="86"/>
      <c r="Y65" s="6"/>
    </row>
    <row r="66" spans="1:25" x14ac:dyDescent="0.4">
      <c r="C66" s="83"/>
      <c r="D66" s="50" t="s">
        <v>1158</v>
      </c>
      <c r="E66" s="89">
        <v>45689</v>
      </c>
      <c r="F66" s="51">
        <v>605461</v>
      </c>
      <c r="H66" s="52"/>
      <c r="I66" s="53"/>
      <c r="J66" s="53"/>
      <c r="K66" s="54"/>
      <c r="N66" s="25">
        <v>45684</v>
      </c>
      <c r="O66" s="26">
        <v>0.63665509259259256</v>
      </c>
      <c r="P66" s="50" t="s">
        <v>1020</v>
      </c>
      <c r="Q66" s="50" t="s">
        <v>1029</v>
      </c>
      <c r="R66" s="50" t="s">
        <v>1045</v>
      </c>
      <c r="S66" s="50" t="s">
        <v>1031</v>
      </c>
      <c r="T66" s="50">
        <v>-44670</v>
      </c>
      <c r="U66" s="50" t="s">
        <v>1024</v>
      </c>
      <c r="V66" s="50" t="s">
        <v>1025</v>
      </c>
      <c r="W66" s="50" t="s">
        <v>1127</v>
      </c>
      <c r="X66" s="86"/>
      <c r="Y66" s="6" t="s">
        <v>1160</v>
      </c>
    </row>
    <row r="67" spans="1:25" x14ac:dyDescent="0.4">
      <c r="C67" s="83"/>
      <c r="D67" s="85" t="s">
        <v>1159</v>
      </c>
      <c r="E67" s="90">
        <v>45689</v>
      </c>
      <c r="F67" s="91">
        <v>41030</v>
      </c>
      <c r="H67" s="52"/>
      <c r="I67" s="53"/>
      <c r="J67" s="53"/>
      <c r="K67" s="54"/>
      <c r="N67" s="25">
        <v>45684</v>
      </c>
      <c r="O67" s="26">
        <v>0.63908564814814817</v>
      </c>
      <c r="P67" s="50" t="s">
        <v>1020</v>
      </c>
      <c r="Q67" s="50" t="s">
        <v>1029</v>
      </c>
      <c r="R67" s="50" t="s">
        <v>1045</v>
      </c>
      <c r="S67" s="50" t="s">
        <v>1031</v>
      </c>
      <c r="T67" s="50">
        <v>-10900</v>
      </c>
      <c r="U67" s="50" t="s">
        <v>1024</v>
      </c>
      <c r="V67" s="50" t="s">
        <v>1025</v>
      </c>
      <c r="W67" s="50" t="s">
        <v>1128</v>
      </c>
      <c r="X67" s="86"/>
      <c r="Y67" s="6"/>
    </row>
    <row r="68" spans="1:25" x14ac:dyDescent="0.4">
      <c r="C68" s="80"/>
      <c r="D68" s="50" t="s">
        <v>1007</v>
      </c>
      <c r="E68" s="89">
        <v>45689</v>
      </c>
      <c r="F68" s="51">
        <v>1061145</v>
      </c>
      <c r="H68" s="52"/>
      <c r="I68" s="53"/>
      <c r="J68" s="53"/>
      <c r="K68" s="54"/>
      <c r="N68" s="25">
        <v>45684</v>
      </c>
      <c r="O68" s="26">
        <v>0.64175925925925925</v>
      </c>
      <c r="P68" s="50" t="s">
        <v>1020</v>
      </c>
      <c r="Q68" s="50" t="s">
        <v>1029</v>
      </c>
      <c r="R68" s="50" t="s">
        <v>1045</v>
      </c>
      <c r="S68" s="50" t="s">
        <v>1031</v>
      </c>
      <c r="T68" s="50">
        <v>-9990</v>
      </c>
      <c r="U68" s="50" t="s">
        <v>1024</v>
      </c>
      <c r="V68" s="50" t="s">
        <v>1025</v>
      </c>
      <c r="W68" s="50" t="s">
        <v>1129</v>
      </c>
      <c r="X68" s="86"/>
      <c r="Y68" s="6"/>
    </row>
    <row r="69" spans="1:25" x14ac:dyDescent="0.4">
      <c r="C69" s="79" t="s">
        <v>1002</v>
      </c>
      <c r="D69" s="50" t="s">
        <v>999</v>
      </c>
      <c r="E69" s="89">
        <v>45689</v>
      </c>
      <c r="F69" s="51">
        <v>0</v>
      </c>
      <c r="H69" s="52"/>
      <c r="I69" s="53"/>
      <c r="J69" s="53"/>
      <c r="K69" s="54"/>
      <c r="N69" s="25">
        <v>45685</v>
      </c>
      <c r="O69" s="26">
        <v>0.89435185185185184</v>
      </c>
      <c r="P69" s="50" t="s">
        <v>1020</v>
      </c>
      <c r="Q69" s="50" t="s">
        <v>1047</v>
      </c>
      <c r="R69" s="50" t="s">
        <v>1048</v>
      </c>
      <c r="S69" s="50" t="s">
        <v>1031</v>
      </c>
      <c r="T69" s="50">
        <v>-15050</v>
      </c>
      <c r="U69" s="50" t="s">
        <v>1024</v>
      </c>
      <c r="V69" s="50" t="s">
        <v>1025</v>
      </c>
      <c r="W69" s="50" t="s">
        <v>1130</v>
      </c>
      <c r="X69" s="86"/>
      <c r="Y69" s="6"/>
    </row>
    <row r="70" spans="1:25" x14ac:dyDescent="0.4">
      <c r="C70" s="80"/>
      <c r="D70" s="50" t="s">
        <v>1000</v>
      </c>
      <c r="E70" s="89">
        <v>45689</v>
      </c>
      <c r="F70" s="51">
        <v>15431417</v>
      </c>
      <c r="H70" s="52"/>
      <c r="I70" s="53"/>
      <c r="J70" s="53"/>
      <c r="K70" s="54"/>
      <c r="N70" s="25">
        <v>45686</v>
      </c>
      <c r="O70" s="26">
        <v>0.45577546296296301</v>
      </c>
      <c r="P70" s="50" t="s">
        <v>1020</v>
      </c>
      <c r="Q70" s="50" t="s">
        <v>1029</v>
      </c>
      <c r="R70" s="50" t="s">
        <v>1045</v>
      </c>
      <c r="S70" s="50" t="s">
        <v>1031</v>
      </c>
      <c r="T70" s="50">
        <v>-15980</v>
      </c>
      <c r="U70" s="50" t="s">
        <v>1024</v>
      </c>
      <c r="V70" s="50" t="s">
        <v>1025</v>
      </c>
      <c r="W70" s="50" t="s">
        <v>1131</v>
      </c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45686</v>
      </c>
      <c r="O71" s="26">
        <v>0.66197916666666667</v>
      </c>
      <c r="P71" s="50" t="s">
        <v>1020</v>
      </c>
      <c r="Q71" s="50" t="s">
        <v>1047</v>
      </c>
      <c r="R71" s="50" t="s">
        <v>1048</v>
      </c>
      <c r="S71" s="50" t="s">
        <v>1132</v>
      </c>
      <c r="T71" s="50">
        <v>-300000</v>
      </c>
      <c r="U71" s="50" t="s">
        <v>1024</v>
      </c>
      <c r="V71" s="50" t="s">
        <v>1036</v>
      </c>
      <c r="W71" s="50" t="s">
        <v>1133</v>
      </c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45687</v>
      </c>
      <c r="O72" s="26">
        <v>0.75093750000000004</v>
      </c>
      <c r="P72" s="50" t="s">
        <v>1020</v>
      </c>
      <c r="Q72" s="50" t="s">
        <v>1029</v>
      </c>
      <c r="R72" s="50" t="s">
        <v>1045</v>
      </c>
      <c r="S72" s="50" t="s">
        <v>1134</v>
      </c>
      <c r="T72" s="50">
        <v>-16000</v>
      </c>
      <c r="U72" s="50" t="s">
        <v>1024</v>
      </c>
      <c r="V72" s="50" t="s">
        <v>1036</v>
      </c>
      <c r="W72" s="50" t="s">
        <v>1135</v>
      </c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45688</v>
      </c>
      <c r="O73" s="26">
        <v>9.7303240740740746E-2</v>
      </c>
      <c r="P73" s="50" t="s">
        <v>1020</v>
      </c>
      <c r="Q73" s="50" t="s">
        <v>1026</v>
      </c>
      <c r="R73" s="50" t="s">
        <v>1151</v>
      </c>
      <c r="S73" s="50" t="s">
        <v>1152</v>
      </c>
      <c r="T73" s="50">
        <v>-1600</v>
      </c>
      <c r="U73" s="50" t="s">
        <v>1024</v>
      </c>
      <c r="V73" s="50" t="s">
        <v>1125</v>
      </c>
      <c r="W73" s="50"/>
      <c r="X73" s="86"/>
      <c r="Y73" s="6"/>
    </row>
    <row r="74" spans="1:25" ht="18" thickTop="1" x14ac:dyDescent="0.4">
      <c r="A74" s="7">
        <f>$L$1</f>
        <v>202501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0</v>
      </c>
      <c r="G74" s="41">
        <f ca="1">H74-F74</f>
        <v>5278317</v>
      </c>
      <c r="H74" s="58">
        <f>SUMIFS($T$3:$T$233,$P$3:$P$233,"수입",$Q$3:$Q$233,C74)</f>
        <v>5278317</v>
      </c>
      <c r="I74" s="43">
        <f>H74-E74</f>
        <v>-264683</v>
      </c>
      <c r="N74" s="25">
        <v>45688</v>
      </c>
      <c r="O74" s="26">
        <v>9.7303240740740746E-2</v>
      </c>
      <c r="P74" s="50" t="s">
        <v>1020</v>
      </c>
      <c r="Q74" s="50" t="s">
        <v>1026</v>
      </c>
      <c r="R74" s="50" t="s">
        <v>1151</v>
      </c>
      <c r="S74" s="50" t="s">
        <v>1153</v>
      </c>
      <c r="T74" s="50">
        <v>-4200</v>
      </c>
      <c r="U74" s="50" t="s">
        <v>1024</v>
      </c>
      <c r="V74" s="50" t="s">
        <v>1125</v>
      </c>
      <c r="W74" s="50"/>
      <c r="X74" s="86"/>
      <c r="Y74" s="6"/>
    </row>
    <row r="75" spans="1:25" x14ac:dyDescent="0.4">
      <c r="A75" s="4">
        <f t="shared" ref="A75:A78" si="23">$L$1</f>
        <v>202501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19525199</v>
      </c>
      <c r="F75" s="41">
        <f ca="1">INDIRECT($J$1&amp;"!H"&amp;ROW())</f>
        <v>0</v>
      </c>
      <c r="G75" s="41">
        <f ca="1">H75-F75</f>
        <v>20828780</v>
      </c>
      <c r="H75" s="58">
        <f>SUMIFS($T$3:$T$233,$P$3:$P$233,"수입",$Q$3:$Q$233,C75)</f>
        <v>20828780</v>
      </c>
      <c r="I75" s="43">
        <f>H75-E75</f>
        <v>1303581</v>
      </c>
      <c r="N75" s="25">
        <v>45688</v>
      </c>
      <c r="O75" s="26">
        <v>0.4190740740740741</v>
      </c>
      <c r="P75" s="50" t="s">
        <v>1020</v>
      </c>
      <c r="Q75" s="50" t="s">
        <v>1026</v>
      </c>
      <c r="R75" s="50" t="s">
        <v>1163</v>
      </c>
      <c r="S75" s="50" t="s">
        <v>1136</v>
      </c>
      <c r="T75" s="50">
        <v>-62690</v>
      </c>
      <c r="U75" s="50" t="s">
        <v>1024</v>
      </c>
      <c r="V75" s="50" t="s">
        <v>1025</v>
      </c>
      <c r="W75" s="50"/>
      <c r="X75" s="86"/>
      <c r="Y75" s="6"/>
    </row>
    <row r="76" spans="1:25" x14ac:dyDescent="0.4">
      <c r="A76" s="4">
        <f t="shared" si="23"/>
        <v>202501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ca="1">H76-F76</f>
        <v>0</v>
      </c>
      <c r="H76" s="58">
        <f>SUMIFS($T$3:$T$233,$P$3:$P$233,"수입",$Q$3:$Q$233,C76)</f>
        <v>0</v>
      </c>
      <c r="I76" s="43">
        <f>H76-E76</f>
        <v>0</v>
      </c>
      <c r="N76" s="25">
        <v>45688</v>
      </c>
      <c r="O76" s="26">
        <v>0.42570601851851853</v>
      </c>
      <c r="P76" s="50" t="s">
        <v>1020</v>
      </c>
      <c r="Q76" s="50" t="s">
        <v>1026</v>
      </c>
      <c r="R76" s="50" t="s">
        <v>1137</v>
      </c>
      <c r="S76" s="50" t="s">
        <v>1138</v>
      </c>
      <c r="T76" s="50">
        <v>-100000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23"/>
        <v>202501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0</v>
      </c>
      <c r="G77" s="41">
        <f ca="1">H77-F77</f>
        <v>0</v>
      </c>
      <c r="H77" s="58">
        <f>SUMIFS($T$3:$T$233,$P$3:$P$233,"수입",$Q$3:$Q$233,C77)</f>
        <v>0</v>
      </c>
      <c r="I77" s="43">
        <f>H77-E77</f>
        <v>0</v>
      </c>
      <c r="N77" s="25">
        <v>45688</v>
      </c>
      <c r="O77" s="26">
        <v>0.42578703703703702</v>
      </c>
      <c r="P77" s="50" t="s">
        <v>1020</v>
      </c>
      <c r="Q77" s="50" t="s">
        <v>1026</v>
      </c>
      <c r="R77" s="50" t="s">
        <v>1139</v>
      </c>
      <c r="S77" s="50" t="s">
        <v>1140</v>
      </c>
      <c r="T77" s="50">
        <v>-100000</v>
      </c>
      <c r="U77" s="50" t="s">
        <v>1024</v>
      </c>
      <c r="V77" s="50" t="s">
        <v>1036</v>
      </c>
      <c r="W77" s="50"/>
      <c r="X77" s="86"/>
      <c r="Y77" s="6"/>
    </row>
    <row r="78" spans="1:25" x14ac:dyDescent="0.4">
      <c r="A78" s="4">
        <f t="shared" si="23"/>
        <v>202501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0</v>
      </c>
      <c r="G78" s="41">
        <f ca="1">H78-F78</f>
        <v>0</v>
      </c>
      <c r="H78" s="58">
        <f>SUMIFS($T$3:$T$233,$P$3:$P$233,"수입",$Q$3:$Q$233,C78)</f>
        <v>0</v>
      </c>
      <c r="I78" s="43">
        <f>H78-E78</f>
        <v>0</v>
      </c>
      <c r="N78" s="25">
        <v>45688</v>
      </c>
      <c r="O78" s="26">
        <v>0.42578703703703702</v>
      </c>
      <c r="P78" s="50" t="s">
        <v>1020</v>
      </c>
      <c r="Q78" s="50" t="s">
        <v>1026</v>
      </c>
      <c r="R78" s="50" t="s">
        <v>1141</v>
      </c>
      <c r="S78" s="50" t="s">
        <v>1142</v>
      </c>
      <c r="T78" s="50">
        <v>-130000</v>
      </c>
      <c r="U78" s="50" t="s">
        <v>1024</v>
      </c>
      <c r="V78" s="50" t="s">
        <v>1036</v>
      </c>
      <c r="W78" s="50"/>
      <c r="X78" s="86"/>
      <c r="Y78" s="6"/>
    </row>
    <row r="79" spans="1:25" x14ac:dyDescent="0.4">
      <c r="A79" s="71" t="s">
        <v>14</v>
      </c>
      <c r="B79" s="72"/>
      <c r="C79" s="72"/>
      <c r="D79" s="73"/>
      <c r="E79" s="56">
        <f>SUM(E74:E78)</f>
        <v>25068199</v>
      </c>
      <c r="F79" s="57">
        <f ca="1">SUM(F74:F78)</f>
        <v>0</v>
      </c>
      <c r="G79" s="57">
        <f ca="1">SUM(G74:G78)</f>
        <v>26107097</v>
      </c>
      <c r="H79" s="59">
        <f>SUM(H74:H78)</f>
        <v>26107097</v>
      </c>
      <c r="I79" s="43">
        <f>SUM(I74:I78)</f>
        <v>1038898</v>
      </c>
      <c r="N79" s="25">
        <v>45688</v>
      </c>
      <c r="O79" s="26">
        <v>0.51645833333333335</v>
      </c>
      <c r="P79" s="50" t="s">
        <v>1020</v>
      </c>
      <c r="Q79" s="50" t="s">
        <v>1026</v>
      </c>
      <c r="R79" s="50" t="s">
        <v>1027</v>
      </c>
      <c r="S79" s="50" t="s">
        <v>1143</v>
      </c>
      <c r="T79" s="50">
        <v>-13900</v>
      </c>
      <c r="U79" s="50" t="s">
        <v>1024</v>
      </c>
      <c r="V79" s="50" t="s">
        <v>1025</v>
      </c>
      <c r="W79" s="50"/>
      <c r="X79" s="86"/>
      <c r="Y79" s="6"/>
    </row>
    <row r="80" spans="1:25" x14ac:dyDescent="0.4">
      <c r="N80" s="25">
        <v>45688</v>
      </c>
      <c r="O80" s="26">
        <v>0.64627314814814818</v>
      </c>
      <c r="P80" s="50" t="s">
        <v>1073</v>
      </c>
      <c r="Q80" s="50" t="s">
        <v>1074</v>
      </c>
      <c r="R80" s="50" t="s">
        <v>1054</v>
      </c>
      <c r="S80" s="50" t="s">
        <v>1144</v>
      </c>
      <c r="T80" s="50">
        <v>200000</v>
      </c>
      <c r="U80" s="50" t="s">
        <v>1024</v>
      </c>
      <c r="V80" s="50" t="s">
        <v>1036</v>
      </c>
      <c r="W80" s="50" t="s">
        <v>1145</v>
      </c>
      <c r="X80" s="86"/>
      <c r="Y80" s="4"/>
    </row>
    <row r="81" spans="14:25" x14ac:dyDescent="0.4">
      <c r="N81" s="25">
        <v>45688</v>
      </c>
      <c r="O81" s="26">
        <v>0.8313194444444445</v>
      </c>
      <c r="P81" s="50" t="s">
        <v>1020</v>
      </c>
      <c r="Q81" s="50" t="s">
        <v>1026</v>
      </c>
      <c r="R81" s="50" t="s">
        <v>1115</v>
      </c>
      <c r="S81" s="50" t="s">
        <v>1146</v>
      </c>
      <c r="T81" s="50">
        <v>-204727</v>
      </c>
      <c r="U81" s="50" t="s">
        <v>1024</v>
      </c>
      <c r="V81" s="50" t="s">
        <v>1036</v>
      </c>
      <c r="W81" s="50"/>
      <c r="X81" s="86"/>
      <c r="Y81" s="4"/>
    </row>
    <row r="82" spans="14:25" x14ac:dyDescent="0.4">
      <c r="N82" s="25">
        <v>45688</v>
      </c>
      <c r="O82" s="26">
        <v>0.84664351851851849</v>
      </c>
      <c r="P82" s="50" t="s">
        <v>1020</v>
      </c>
      <c r="Q82" s="50" t="s">
        <v>1026</v>
      </c>
      <c r="R82" s="50" t="s">
        <v>1027</v>
      </c>
      <c r="S82" s="50" t="s">
        <v>1147</v>
      </c>
      <c r="T82" s="50">
        <v>-13900</v>
      </c>
      <c r="U82" s="50" t="s">
        <v>1024</v>
      </c>
      <c r="V82" s="50" t="s">
        <v>1025</v>
      </c>
      <c r="W82" s="50" t="s">
        <v>1143</v>
      </c>
      <c r="X82" s="86"/>
      <c r="Y82" s="4"/>
    </row>
    <row r="83" spans="14:25" x14ac:dyDescent="0.4">
      <c r="N83" s="25">
        <v>45688</v>
      </c>
      <c r="O83" s="26">
        <v>0.85030092592592588</v>
      </c>
      <c r="P83" s="50" t="s">
        <v>1020</v>
      </c>
      <c r="Q83" s="50" t="s">
        <v>1148</v>
      </c>
      <c r="R83" s="50" t="s">
        <v>1149</v>
      </c>
      <c r="S83" s="50" t="s">
        <v>1150</v>
      </c>
      <c r="T83" s="50">
        <v>-895849</v>
      </c>
      <c r="U83" s="50" t="s">
        <v>1024</v>
      </c>
      <c r="V83" s="50" t="s">
        <v>1036</v>
      </c>
      <c r="W83" s="50"/>
      <c r="X83" s="86"/>
      <c r="Y83" s="4"/>
    </row>
    <row r="84" spans="14:25" x14ac:dyDescent="0.4">
      <c r="N84" s="25"/>
      <c r="O84" s="26"/>
      <c r="P84" s="50"/>
      <c r="Q84" s="50"/>
      <c r="R84" s="50"/>
      <c r="S84" s="50"/>
      <c r="T84" s="50"/>
      <c r="U84" s="50"/>
      <c r="V84" s="50"/>
      <c r="W84" s="50"/>
      <c r="X84" s="86"/>
      <c r="Y84" s="4"/>
    </row>
    <row r="85" spans="14:25" x14ac:dyDescent="0.4">
      <c r="N85" s="25"/>
      <c r="O85" s="26"/>
      <c r="P85" s="50"/>
      <c r="Q85" s="50"/>
      <c r="R85" s="50"/>
      <c r="S85" s="50"/>
      <c r="T85" s="50"/>
      <c r="U85" s="50"/>
      <c r="V85" s="50"/>
      <c r="W85" s="50"/>
      <c r="X85" s="86"/>
      <c r="Y85" s="4"/>
    </row>
    <row r="86" spans="14:25" x14ac:dyDescent="0.4">
      <c r="N86" s="25"/>
      <c r="O86" s="26"/>
      <c r="P86" s="50"/>
      <c r="Q86" s="50"/>
      <c r="R86" s="50"/>
      <c r="S86" s="50"/>
      <c r="T86" s="50"/>
      <c r="U86" s="50"/>
      <c r="V86" s="50"/>
      <c r="W86" s="50"/>
      <c r="X86" s="86"/>
      <c r="Y86" s="4"/>
    </row>
    <row r="87" spans="14:25" x14ac:dyDescent="0.4">
      <c r="N87" s="25"/>
      <c r="O87" s="26"/>
      <c r="P87" s="50"/>
      <c r="Q87" s="50"/>
      <c r="R87" s="50"/>
      <c r="S87" s="50"/>
      <c r="T87" s="50"/>
      <c r="U87" s="50"/>
      <c r="V87" s="50"/>
      <c r="W87" s="50"/>
      <c r="X87" s="86"/>
      <c r="Y87" s="4"/>
    </row>
    <row r="88" spans="14:25" x14ac:dyDescent="0.4">
      <c r="N88" s="25"/>
      <c r="O88" s="26"/>
      <c r="P88" s="50"/>
      <c r="Q88" s="50"/>
      <c r="R88" s="50"/>
      <c r="S88" s="50"/>
      <c r="T88" s="50"/>
      <c r="U88" s="50"/>
      <c r="V88" s="50"/>
      <c r="W88" s="50"/>
      <c r="X88" s="86"/>
      <c r="Y88" s="4"/>
    </row>
    <row r="89" spans="14:25" x14ac:dyDescent="0.4">
      <c r="N89" s="25"/>
      <c r="O89" s="26"/>
      <c r="P89" s="50"/>
      <c r="Q89" s="50"/>
      <c r="R89" s="50"/>
      <c r="S89" s="50"/>
      <c r="T89" s="50"/>
      <c r="U89" s="50"/>
      <c r="V89" s="50"/>
      <c r="W89" s="50"/>
      <c r="X89" s="86"/>
      <c r="Y89" s="6"/>
    </row>
    <row r="90" spans="14:25" x14ac:dyDescent="0.4">
      <c r="N90" s="25"/>
      <c r="O90" s="26"/>
      <c r="P90" s="50"/>
      <c r="Q90" s="50"/>
      <c r="R90" s="50"/>
      <c r="S90" s="50"/>
      <c r="T90" s="50"/>
      <c r="U90" s="50"/>
      <c r="V90" s="50"/>
      <c r="W90" s="50"/>
      <c r="X90" s="86"/>
      <c r="Y90" s="6"/>
    </row>
    <row r="91" spans="14:25" x14ac:dyDescent="0.4">
      <c r="N91" s="25"/>
      <c r="O91" s="26"/>
      <c r="P91" s="50"/>
      <c r="Q91" s="50"/>
      <c r="R91" s="50"/>
      <c r="S91" s="50"/>
      <c r="T91" s="50"/>
      <c r="U91" s="50"/>
      <c r="V91" s="50"/>
      <c r="W91" s="50"/>
      <c r="X91" s="86"/>
      <c r="Y91" s="6"/>
    </row>
    <row r="92" spans="14:25" x14ac:dyDescent="0.4">
      <c r="N92" s="25"/>
      <c r="O92" s="26"/>
      <c r="P92" s="50"/>
      <c r="Q92" s="50"/>
      <c r="R92" s="50"/>
      <c r="S92" s="50"/>
      <c r="T92" s="50"/>
      <c r="U92" s="50"/>
      <c r="V92" s="50"/>
      <c r="W92" s="50"/>
      <c r="X92" s="86"/>
      <c r="Y92" s="6"/>
    </row>
    <row r="93" spans="14:25" x14ac:dyDescent="0.4">
      <c r="N93" s="25"/>
      <c r="O93" s="26"/>
      <c r="P93" s="50"/>
      <c r="Q93" s="50"/>
      <c r="R93" s="50"/>
      <c r="S93" s="50"/>
      <c r="T93" s="50"/>
      <c r="U93" s="50"/>
      <c r="V93" s="50"/>
      <c r="W93" s="50"/>
      <c r="X93" s="86"/>
      <c r="Y93" s="6"/>
    </row>
    <row r="94" spans="14:25" x14ac:dyDescent="0.4">
      <c r="N94" s="25"/>
      <c r="O94" s="26"/>
      <c r="P94" s="50"/>
      <c r="Q94" s="50"/>
      <c r="R94" s="50"/>
      <c r="S94" s="50"/>
      <c r="T94" s="50"/>
      <c r="U94" s="50"/>
      <c r="V94" s="50"/>
      <c r="W94" s="50"/>
      <c r="X94" s="86"/>
      <c r="Y94" s="6"/>
    </row>
    <row r="95" spans="14:25" x14ac:dyDescent="0.4">
      <c r="N95" s="25"/>
      <c r="O95" s="26"/>
      <c r="P95" s="50"/>
      <c r="Q95" s="50"/>
      <c r="R95" s="50"/>
      <c r="S95" s="50"/>
      <c r="T95" s="50"/>
      <c r="U95" s="50"/>
      <c r="V95" s="50"/>
      <c r="W95" s="50"/>
      <c r="X95" s="86"/>
      <c r="Y95" s="6"/>
    </row>
    <row r="96" spans="14:25" x14ac:dyDescent="0.4">
      <c r="N96" s="25"/>
      <c r="O96" s="26"/>
      <c r="P96" s="50"/>
      <c r="Q96" s="50"/>
      <c r="R96" s="50"/>
      <c r="S96" s="50"/>
      <c r="T96" s="50"/>
      <c r="U96" s="50"/>
      <c r="V96" s="50"/>
      <c r="W96" s="50"/>
      <c r="X96" s="86"/>
      <c r="Y96" s="6"/>
    </row>
    <row r="97" spans="14:25" x14ac:dyDescent="0.4">
      <c r="N97" s="25"/>
      <c r="O97" s="26"/>
      <c r="P97" s="50"/>
      <c r="Q97" s="50"/>
      <c r="R97" s="50"/>
      <c r="S97" s="50"/>
      <c r="T97" s="50"/>
      <c r="U97" s="50"/>
      <c r="V97" s="50"/>
      <c r="W97" s="50"/>
      <c r="X97" s="86"/>
      <c r="Y97" s="6"/>
    </row>
    <row r="98" spans="14:25" x14ac:dyDescent="0.4">
      <c r="N98" s="25"/>
      <c r="O98" s="26"/>
      <c r="P98" s="50"/>
      <c r="Q98" s="50"/>
      <c r="R98" s="50"/>
      <c r="S98" s="50"/>
      <c r="T98" s="50"/>
      <c r="U98" s="50"/>
      <c r="V98" s="50"/>
      <c r="W98" s="50"/>
      <c r="X98" s="86"/>
      <c r="Y98" s="6"/>
    </row>
    <row r="99" spans="14:25" x14ac:dyDescent="0.4">
      <c r="N99" s="25"/>
      <c r="O99" s="26"/>
      <c r="P99" s="50"/>
      <c r="Q99" s="50"/>
      <c r="R99" s="50"/>
      <c r="S99" s="50"/>
      <c r="T99" s="50"/>
      <c r="U99" s="50"/>
      <c r="V99" s="50"/>
      <c r="W99" s="50"/>
      <c r="X99" s="86"/>
      <c r="Y99" s="6"/>
    </row>
    <row r="100" spans="14:25" x14ac:dyDescent="0.4">
      <c r="N100" s="25"/>
      <c r="O100" s="26"/>
      <c r="P100" s="50"/>
      <c r="Q100" s="50"/>
      <c r="R100" s="50"/>
      <c r="S100" s="50"/>
      <c r="T100" s="50"/>
      <c r="U100" s="50"/>
      <c r="V100" s="50"/>
      <c r="W100" s="50"/>
      <c r="X100" s="86"/>
      <c r="Y100" s="6"/>
    </row>
    <row r="101" spans="14:25" x14ac:dyDescent="0.4">
      <c r="N101" s="25"/>
      <c r="O101" s="26"/>
      <c r="P101" s="50"/>
      <c r="Q101" s="50"/>
      <c r="R101" s="50"/>
      <c r="S101" s="50"/>
      <c r="T101" s="50"/>
      <c r="U101" s="50"/>
      <c r="V101" s="50"/>
      <c r="W101" s="50"/>
      <c r="X101" s="86"/>
      <c r="Y101" s="6"/>
    </row>
    <row r="102" spans="14:25" x14ac:dyDescent="0.4">
      <c r="N102" s="25"/>
      <c r="O102" s="26"/>
      <c r="P102" s="50"/>
      <c r="Q102" s="50"/>
      <c r="R102" s="50"/>
      <c r="S102" s="50"/>
      <c r="T102" s="50"/>
      <c r="U102" s="50"/>
      <c r="V102" s="50"/>
      <c r="W102" s="50"/>
      <c r="X102" s="86"/>
      <c r="Y102" s="6"/>
    </row>
    <row r="103" spans="14:25" x14ac:dyDescent="0.4">
      <c r="N103" s="25"/>
      <c r="O103" s="26"/>
      <c r="P103" s="50"/>
      <c r="Q103" s="50"/>
      <c r="R103" s="50"/>
      <c r="S103" s="50"/>
      <c r="T103" s="50"/>
      <c r="U103" s="50"/>
      <c r="V103" s="50"/>
      <c r="W103" s="50"/>
      <c r="X103" s="86"/>
      <c r="Y103" s="6"/>
    </row>
    <row r="104" spans="14:25" x14ac:dyDescent="0.4">
      <c r="N104" s="25"/>
      <c r="O104" s="26"/>
      <c r="P104" s="50"/>
      <c r="Q104" s="50"/>
      <c r="R104" s="50"/>
      <c r="S104" s="50"/>
      <c r="T104" s="50"/>
      <c r="U104" s="50"/>
      <c r="V104" s="50"/>
      <c r="W104" s="50"/>
      <c r="X104" s="86"/>
      <c r="Y104" s="6"/>
    </row>
    <row r="105" spans="14:25" x14ac:dyDescent="0.4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6"/>
      <c r="Y105" s="6"/>
    </row>
    <row r="106" spans="14:25" x14ac:dyDescent="0.4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6"/>
      <c r="Y106" s="6"/>
    </row>
    <row r="107" spans="14:25" x14ac:dyDescent="0.4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</row>
    <row r="108" spans="14:25" x14ac:dyDescent="0.4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6"/>
      <c r="Y108" s="6"/>
    </row>
    <row r="109" spans="14:25" x14ac:dyDescent="0.4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6"/>
      <c r="Y109" s="6"/>
    </row>
    <row r="110" spans="14:25" x14ac:dyDescent="0.4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6"/>
      <c r="Y110" s="6"/>
    </row>
    <row r="111" spans="14:25" x14ac:dyDescent="0.4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"/>
      <c r="Y111" s="6"/>
    </row>
    <row r="112" spans="14:25" x14ac:dyDescent="0.4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6"/>
      <c r="Y112" s="6"/>
    </row>
    <row r="113" spans="14:25" x14ac:dyDescent="0.4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6"/>
      <c r="Y113" s="6"/>
    </row>
    <row r="114" spans="14:25" x14ac:dyDescent="0.4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6"/>
      <c r="Y114" s="6"/>
    </row>
    <row r="115" spans="14:25" x14ac:dyDescent="0.4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6"/>
      <c r="Y115" s="6"/>
    </row>
    <row r="116" spans="14:25" x14ac:dyDescent="0.4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6"/>
      <c r="Y116" s="6"/>
    </row>
    <row r="117" spans="14:25" x14ac:dyDescent="0.4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6"/>
      <c r="Y117" s="6"/>
    </row>
    <row r="118" spans="14:25" x14ac:dyDescent="0.4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/>
    </row>
    <row r="119" spans="14:25" x14ac:dyDescent="0.4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</row>
    <row r="120" spans="14:25" x14ac:dyDescent="0.4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6"/>
      <c r="Y120" s="6"/>
    </row>
    <row r="121" spans="14:25" x14ac:dyDescent="0.4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</row>
    <row r="122" spans="14:25" x14ac:dyDescent="0.4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</sheetData>
  <autoFilter ref="N2:Y104" xr:uid="{11B47028-C17C-47C6-A882-4705ECF29BE6}"/>
  <mergeCells count="3">
    <mergeCell ref="O1:P1"/>
    <mergeCell ref="A19:D19"/>
    <mergeCell ref="I20:J20"/>
  </mergeCells>
  <phoneticPr fontId="2" type="noConversion"/>
  <conditionalFormatting sqref="G74:G79 I74:I79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I3:I18">
    <cfRule type="cellIs" dxfId="101" priority="4" operator="greaterThan">
      <formula>0</formula>
    </cfRule>
    <cfRule type="cellIs" dxfId="100" priority="5" operator="lessThan">
      <formula>0</formula>
    </cfRule>
  </conditionalFormatting>
  <conditionalFormatting sqref="K6:K20">
    <cfRule type="cellIs" dxfId="99" priority="3" operator="lessThan">
      <formula>0</formula>
    </cfRule>
  </conditionalFormatting>
  <conditionalFormatting sqref="L3:L20">
    <cfRule type="cellIs" dxfId="98" priority="6" operator="greaterThan">
      <formula>1</formula>
    </cfRule>
    <cfRule type="cellIs" dxfId="97" priority="7" operator="equal">
      <formula>1</formula>
    </cfRule>
    <cfRule type="cellIs" dxfId="96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12A3-571A-41B0-9B04-B6940BEA24EF}">
  <dimension ref="A1:Y217"/>
  <sheetViews>
    <sheetView zoomScale="80" zoomScaleNormal="80" workbookViewId="0">
      <pane ySplit="2" topLeftCell="A29" activePane="bottomLeft" state="frozen"/>
      <selection activeCell="E1" sqref="E1"/>
      <selection pane="bottomLeft" activeCell="L74" sqref="L74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1.3984375" bestFit="1" customWidth="1"/>
    <col min="6" max="6" width="12.3984375" bestFit="1" customWidth="1"/>
    <col min="7" max="7" width="13.09765625" bestFit="1" customWidth="1"/>
    <col min="8" max="8" width="12.09765625" bestFit="1" customWidth="1"/>
    <col min="9" max="9" width="12.8984375" bestFit="1" customWidth="1"/>
    <col min="10" max="10" width="11.8984375" customWidth="1"/>
    <col min="11" max="11" width="11.69921875" bestFit="1" customWidth="1"/>
    <col min="12" max="12" width="8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202501</v>
      </c>
      <c r="K1" s="46" t="s">
        <v>923</v>
      </c>
      <c r="L1" s="46">
        <v>202502</v>
      </c>
      <c r="N1" s="27" t="s">
        <v>950</v>
      </c>
      <c r="O1" s="133">
        <f>SUMIF(P3:P233,"지출",T3:T233)</f>
        <v>-6131264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202502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-895849</v>
      </c>
      <c r="I3" s="41">
        <f ca="1">J3-H3</f>
        <v>993</v>
      </c>
      <c r="J3" s="43">
        <f>VLOOKUP(A3,대출!$B$4:$G$363,3,FALSE)*-1</f>
        <v>-894856</v>
      </c>
      <c r="K3" s="43">
        <f>G3+J3</f>
        <v>5144</v>
      </c>
      <c r="L3" s="24">
        <f>IF(G3=0,0,-J3/G3)</f>
        <v>0.99428444444444442</v>
      </c>
      <c r="N3" s="25">
        <v>45689</v>
      </c>
      <c r="O3" s="26">
        <v>0.36212962962962958</v>
      </c>
      <c r="P3" s="50" t="s">
        <v>1053</v>
      </c>
      <c r="Q3" s="50" t="s">
        <v>1053</v>
      </c>
      <c r="R3" s="50" t="s">
        <v>1054</v>
      </c>
      <c r="S3" s="50" t="s">
        <v>1055</v>
      </c>
      <c r="T3" s="50">
        <v>-5395</v>
      </c>
      <c r="U3" s="50" t="s">
        <v>1024</v>
      </c>
      <c r="V3" s="50" t="s">
        <v>1164</v>
      </c>
      <c r="W3" s="50"/>
      <c r="X3" s="86"/>
      <c r="Y3" s="6"/>
    </row>
    <row r="4" spans="1:25" x14ac:dyDescent="0.4">
      <c r="A4" s="4">
        <f t="shared" ref="A4:A18" si="0">$L$1</f>
        <v>202502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SUMIFS($T$3:$T$233,$P$3:$P$233,"지출",$Q$3:$Q$233,C4,$R$3:$R$233,D4)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45689</v>
      </c>
      <c r="O4" s="26">
        <v>0.36394675925925918</v>
      </c>
      <c r="P4" s="50" t="s">
        <v>1053</v>
      </c>
      <c r="Q4" s="50" t="s">
        <v>1053</v>
      </c>
      <c r="R4" s="50" t="s">
        <v>1054</v>
      </c>
      <c r="S4" s="50" t="s">
        <v>1165</v>
      </c>
      <c r="T4" s="50">
        <v>782000</v>
      </c>
      <c r="U4" s="50" t="s">
        <v>1024</v>
      </c>
      <c r="V4" s="50" t="s">
        <v>1166</v>
      </c>
      <c r="W4" s="50"/>
      <c r="X4" s="86"/>
      <c r="Y4" s="4"/>
    </row>
    <row r="5" spans="1:25" x14ac:dyDescent="0.4">
      <c r="A5" s="4">
        <f t="shared" si="0"/>
        <v>202502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-65890</v>
      </c>
      <c r="I5" s="41">
        <f ca="1">J5-H5</f>
        <v>-6400</v>
      </c>
      <c r="J5" s="44">
        <f t="shared" si="3"/>
        <v>-72290</v>
      </c>
      <c r="K5" s="44">
        <f t="shared" si="4"/>
        <v>-28290</v>
      </c>
      <c r="L5" s="19">
        <f t="shared" si="5"/>
        <v>1.6429545454545456</v>
      </c>
      <c r="N5" s="25">
        <v>45689</v>
      </c>
      <c r="O5" s="26">
        <v>0.39429398148148148</v>
      </c>
      <c r="P5" s="50" t="s">
        <v>1053</v>
      </c>
      <c r="Q5" s="99" t="s">
        <v>1053</v>
      </c>
      <c r="R5" s="50" t="s">
        <v>1054</v>
      </c>
      <c r="S5" s="50" t="s">
        <v>1167</v>
      </c>
      <c r="T5" s="50">
        <v>1</v>
      </c>
      <c r="U5" s="50" t="s">
        <v>1024</v>
      </c>
      <c r="V5" s="50" t="s">
        <v>1036</v>
      </c>
      <c r="W5" s="50"/>
      <c r="X5" s="86"/>
      <c r="Y5" s="6"/>
    </row>
    <row r="6" spans="1:25" x14ac:dyDescent="0.4">
      <c r="A6" s="4">
        <f t="shared" si="0"/>
        <v>202502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-367410</v>
      </c>
      <c r="I6" s="41">
        <f t="shared" ref="I6:I18" ca="1" si="7">J6-H6</f>
        <v>156160</v>
      </c>
      <c r="J6" s="44">
        <f t="shared" si="3"/>
        <v>-211250</v>
      </c>
      <c r="K6" s="44">
        <f t="shared" si="4"/>
        <v>118750</v>
      </c>
      <c r="L6" s="19">
        <f t="shared" si="5"/>
        <v>0.64015151515151514</v>
      </c>
      <c r="N6" s="25">
        <v>45689</v>
      </c>
      <c r="O6" s="26">
        <v>0.40708333333333341</v>
      </c>
      <c r="P6" s="50" t="s">
        <v>1020</v>
      </c>
      <c r="Q6" s="50" t="s">
        <v>1026</v>
      </c>
      <c r="R6" s="50" t="s">
        <v>1151</v>
      </c>
      <c r="S6" s="50" t="s">
        <v>1168</v>
      </c>
      <c r="T6" s="50">
        <v>-80000</v>
      </c>
      <c r="U6" s="50" t="s">
        <v>1024</v>
      </c>
      <c r="V6" s="50" t="s">
        <v>1036</v>
      </c>
      <c r="W6" s="50" t="s">
        <v>1169</v>
      </c>
      <c r="X6" s="86"/>
      <c r="Y6" s="6"/>
    </row>
    <row r="7" spans="1:25" x14ac:dyDescent="0.4">
      <c r="A7" s="4">
        <f t="shared" si="0"/>
        <v>202502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45689</v>
      </c>
      <c r="O7" s="26">
        <v>0.48016203703703703</v>
      </c>
      <c r="P7" s="50" t="s">
        <v>1020</v>
      </c>
      <c r="Q7" s="50" t="s">
        <v>1047</v>
      </c>
      <c r="R7" s="50" t="s">
        <v>1063</v>
      </c>
      <c r="S7" s="50" t="s">
        <v>1112</v>
      </c>
      <c r="T7" s="50">
        <v>-23500</v>
      </c>
      <c r="U7" s="50" t="s">
        <v>1024</v>
      </c>
      <c r="V7" s="50" t="s">
        <v>1025</v>
      </c>
      <c r="W7" s="50" t="s">
        <v>1102</v>
      </c>
      <c r="X7" s="86"/>
      <c r="Y7" s="6"/>
    </row>
    <row r="8" spans="1:25" x14ac:dyDescent="0.4">
      <c r="A8" s="4">
        <f>$L$1</f>
        <v>202502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-162690</v>
      </c>
      <c r="I8" s="41">
        <f t="shared" ca="1" si="7"/>
        <v>62690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45689</v>
      </c>
      <c r="O8" s="26">
        <v>0.52059027777777778</v>
      </c>
      <c r="P8" s="50" t="s">
        <v>1020</v>
      </c>
      <c r="Q8" s="50" t="s">
        <v>1042</v>
      </c>
      <c r="R8" s="50" t="s">
        <v>1054</v>
      </c>
      <c r="S8" s="50" t="s">
        <v>1170</v>
      </c>
      <c r="T8" s="50">
        <v>-23100</v>
      </c>
      <c r="U8" s="50" t="s">
        <v>1024</v>
      </c>
      <c r="V8" s="50" t="s">
        <v>1025</v>
      </c>
      <c r="W8" s="50"/>
      <c r="X8" s="86"/>
      <c r="Y8" s="6"/>
    </row>
    <row r="9" spans="1:25" x14ac:dyDescent="0.4">
      <c r="A9" s="4">
        <f t="shared" si="0"/>
        <v>202502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-218959</v>
      </c>
      <c r="I9" s="41">
        <f t="shared" ca="1" si="7"/>
        <v>-62690</v>
      </c>
      <c r="J9" s="44">
        <f t="shared" si="3"/>
        <v>-281649</v>
      </c>
      <c r="K9" s="44">
        <f t="shared" si="4"/>
        <v>-35649</v>
      </c>
      <c r="L9" s="19">
        <f t="shared" si="5"/>
        <v>1.1449146341463414</v>
      </c>
      <c r="N9" s="25">
        <v>45689</v>
      </c>
      <c r="O9" s="26">
        <v>0.52315972222222218</v>
      </c>
      <c r="P9" s="50" t="s">
        <v>1020</v>
      </c>
      <c r="Q9" s="50" t="s">
        <v>1042</v>
      </c>
      <c r="R9" s="50" t="s">
        <v>1043</v>
      </c>
      <c r="S9" s="50" t="s">
        <v>1171</v>
      </c>
      <c r="T9" s="50">
        <v>-5800</v>
      </c>
      <c r="U9" s="50" t="s">
        <v>1024</v>
      </c>
      <c r="V9" s="50" t="s">
        <v>1025</v>
      </c>
      <c r="W9" s="50"/>
      <c r="X9" s="86"/>
      <c r="Y9" s="6"/>
    </row>
    <row r="10" spans="1:25" x14ac:dyDescent="0.4">
      <c r="A10" s="4">
        <f t="shared" si="0"/>
        <v>202502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-5800</v>
      </c>
      <c r="I10" s="41">
        <f t="shared" ca="1" si="7"/>
        <v>-74200</v>
      </c>
      <c r="J10" s="44">
        <f t="shared" si="3"/>
        <v>-80000</v>
      </c>
      <c r="K10" s="44">
        <f t="shared" si="4"/>
        <v>80000</v>
      </c>
      <c r="L10" s="19">
        <f t="shared" si="5"/>
        <v>0.5</v>
      </c>
      <c r="N10" s="25">
        <v>45689</v>
      </c>
      <c r="O10" s="26">
        <v>0.54458333333333331</v>
      </c>
      <c r="P10" s="50" t="s">
        <v>1020</v>
      </c>
      <c r="Q10" s="50" t="s">
        <v>1029</v>
      </c>
      <c r="R10" s="50" t="s">
        <v>1045</v>
      </c>
      <c r="S10" s="50" t="s">
        <v>1046</v>
      </c>
      <c r="T10" s="50">
        <v>-39000</v>
      </c>
      <c r="U10" s="50" t="s">
        <v>1024</v>
      </c>
      <c r="V10" s="50" t="s">
        <v>1025</v>
      </c>
      <c r="W10" s="50" t="s">
        <v>1102</v>
      </c>
      <c r="X10" s="86"/>
      <c r="Y10" s="6"/>
    </row>
    <row r="11" spans="1:25" x14ac:dyDescent="0.4">
      <c r="A11" s="4">
        <f t="shared" si="0"/>
        <v>202502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-35690</v>
      </c>
      <c r="I11" s="41">
        <f t="shared" ca="1" si="7"/>
        <v>27800</v>
      </c>
      <c r="J11" s="44">
        <f t="shared" si="3"/>
        <v>-7890</v>
      </c>
      <c r="K11" s="44">
        <f t="shared" si="4"/>
        <v>36110</v>
      </c>
      <c r="L11" s="19">
        <f t="shared" si="5"/>
        <v>0.17931818181818182</v>
      </c>
      <c r="N11" s="25">
        <v>45689</v>
      </c>
      <c r="O11" s="26">
        <v>0.55493055555555559</v>
      </c>
      <c r="P11" s="50" t="s">
        <v>1020</v>
      </c>
      <c r="Q11" s="50" t="s">
        <v>1029</v>
      </c>
      <c r="R11" s="50" t="s">
        <v>1047</v>
      </c>
      <c r="S11" s="50" t="s">
        <v>1172</v>
      </c>
      <c r="T11" s="50">
        <v>-28900</v>
      </c>
      <c r="U11" s="50" t="s">
        <v>1024</v>
      </c>
      <c r="V11" s="50" t="s">
        <v>1025</v>
      </c>
      <c r="W11" s="50" t="s">
        <v>1173</v>
      </c>
      <c r="X11" s="86"/>
      <c r="Y11" s="6"/>
    </row>
    <row r="12" spans="1:25" x14ac:dyDescent="0.4">
      <c r="A12" s="4">
        <f t="shared" si="0"/>
        <v>202502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-889769</v>
      </c>
      <c r="I12" s="41">
        <f t="shared" ca="1" si="7"/>
        <v>372053</v>
      </c>
      <c r="J12" s="44">
        <f t="shared" ref="J12:J18" si="8">SUMIFS($T$3:$T$233,$P$3:$P$233,"지출",$Q$3:$Q$233,C12)</f>
        <v>-517716</v>
      </c>
      <c r="K12" s="45">
        <f t="shared" si="4"/>
        <v>-167716</v>
      </c>
      <c r="L12" s="19">
        <f t="shared" si="5"/>
        <v>1.4791885714285715</v>
      </c>
      <c r="N12" s="25">
        <v>45689</v>
      </c>
      <c r="O12" s="26">
        <v>0.55972222222222223</v>
      </c>
      <c r="P12" s="50" t="s">
        <v>1020</v>
      </c>
      <c r="Q12" s="50" t="s">
        <v>1029</v>
      </c>
      <c r="R12" s="50" t="s">
        <v>1030</v>
      </c>
      <c r="S12" s="50" t="s">
        <v>1174</v>
      </c>
      <c r="T12" s="50">
        <v>-4800</v>
      </c>
      <c r="U12" s="50" t="s">
        <v>1024</v>
      </c>
      <c r="V12" s="50" t="s">
        <v>1175</v>
      </c>
      <c r="W12" s="50"/>
      <c r="X12" s="86"/>
      <c r="Y12" s="6"/>
    </row>
    <row r="13" spans="1:25" x14ac:dyDescent="0.4">
      <c r="A13" s="4">
        <f t="shared" si="0"/>
        <v>202502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367900</v>
      </c>
      <c r="G13" s="18">
        <f t="shared" si="1"/>
        <v>367900</v>
      </c>
      <c r="H13" s="41">
        <f t="shared" ca="1" si="2"/>
        <v>-2000</v>
      </c>
      <c r="I13" s="41">
        <f t="shared" ca="1" si="7"/>
        <v>-365900</v>
      </c>
      <c r="J13" s="44">
        <f t="shared" si="8"/>
        <v>-367900</v>
      </c>
      <c r="K13" s="44">
        <f t="shared" si="4"/>
        <v>0</v>
      </c>
      <c r="L13" s="19">
        <f t="shared" si="5"/>
        <v>1</v>
      </c>
      <c r="N13" s="25">
        <v>45689</v>
      </c>
      <c r="O13" s="26">
        <v>0.59813657407407406</v>
      </c>
      <c r="P13" s="50" t="s">
        <v>1020</v>
      </c>
      <c r="Q13" s="50" t="s">
        <v>1029</v>
      </c>
      <c r="R13" s="50" t="s">
        <v>1045</v>
      </c>
      <c r="S13" s="50" t="s">
        <v>1031</v>
      </c>
      <c r="T13" s="50">
        <v>-6490</v>
      </c>
      <c r="U13" s="50" t="s">
        <v>1024</v>
      </c>
      <c r="V13" s="50" t="s">
        <v>1025</v>
      </c>
      <c r="W13" s="50" t="s">
        <v>1176</v>
      </c>
      <c r="X13" s="86"/>
      <c r="Y13" s="6"/>
    </row>
    <row r="14" spans="1:25" x14ac:dyDescent="0.4">
      <c r="A14" s="4">
        <f t="shared" si="0"/>
        <v>202502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243950</v>
      </c>
      <c r="G14" s="18">
        <f t="shared" si="1"/>
        <v>243950</v>
      </c>
      <c r="H14" s="41">
        <f ca="1">INDIRECT($J$1&amp;"!J"&amp;ROW())</f>
        <v>-36500</v>
      </c>
      <c r="I14" s="41">
        <f t="shared" ca="1" si="7"/>
        <v>-207450</v>
      </c>
      <c r="J14" s="44">
        <f t="shared" si="8"/>
        <v>-243950</v>
      </c>
      <c r="K14" s="44">
        <f t="shared" si="4"/>
        <v>0</v>
      </c>
      <c r="L14" s="19">
        <f t="shared" si="5"/>
        <v>1</v>
      </c>
      <c r="N14" s="25">
        <v>45690</v>
      </c>
      <c r="O14" s="26">
        <v>0.48223379629629631</v>
      </c>
      <c r="P14" s="50" t="s">
        <v>1020</v>
      </c>
      <c r="Q14" s="50" t="s">
        <v>1047</v>
      </c>
      <c r="R14" s="50" t="s">
        <v>1177</v>
      </c>
      <c r="S14" s="50" t="s">
        <v>1178</v>
      </c>
      <c r="T14" s="50">
        <v>-98200</v>
      </c>
      <c r="U14" s="50" t="s">
        <v>1024</v>
      </c>
      <c r="V14" s="50" t="s">
        <v>1025</v>
      </c>
      <c r="W14" s="50" t="s">
        <v>1179</v>
      </c>
      <c r="X14" s="86"/>
      <c r="Y14" s="6"/>
    </row>
    <row r="15" spans="1:25" x14ac:dyDescent="0.4">
      <c r="A15" s="4">
        <f t="shared" si="0"/>
        <v>202502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-63000</v>
      </c>
      <c r="I15" s="41">
        <f t="shared" ca="1" si="7"/>
        <v>63000</v>
      </c>
      <c r="J15" s="44">
        <f t="shared" si="8"/>
        <v>0</v>
      </c>
      <c r="K15" s="44">
        <f t="shared" si="4"/>
        <v>0</v>
      </c>
      <c r="L15" s="19">
        <f t="shared" si="5"/>
        <v>0</v>
      </c>
      <c r="N15" s="25">
        <v>45690</v>
      </c>
      <c r="O15" s="26">
        <v>0.52224537037037033</v>
      </c>
      <c r="P15" s="50" t="s">
        <v>1020</v>
      </c>
      <c r="Q15" s="50" t="s">
        <v>1029</v>
      </c>
      <c r="R15" s="50" t="s">
        <v>1070</v>
      </c>
      <c r="S15" s="50" t="s">
        <v>1180</v>
      </c>
      <c r="T15" s="50">
        <v>-30000</v>
      </c>
      <c r="U15" s="50" t="s">
        <v>1024</v>
      </c>
      <c r="V15" s="50" t="s">
        <v>1025</v>
      </c>
      <c r="W15" s="50"/>
      <c r="X15" s="86"/>
      <c r="Y15" s="6"/>
    </row>
    <row r="16" spans="1:25" x14ac:dyDescent="0.4">
      <c r="A16" s="4">
        <f t="shared" si="0"/>
        <v>202502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-20690</v>
      </c>
      <c r="J16" s="44">
        <f t="shared" si="8"/>
        <v>-20690</v>
      </c>
      <c r="K16" s="44">
        <f t="shared" si="4"/>
        <v>-20690</v>
      </c>
      <c r="L16" s="19">
        <f t="shared" si="5"/>
        <v>0</v>
      </c>
      <c r="N16" s="25">
        <v>45690</v>
      </c>
      <c r="O16" s="26">
        <v>0.55136574074074074</v>
      </c>
      <c r="P16" s="50" t="s">
        <v>1020</v>
      </c>
      <c r="Q16" s="50" t="s">
        <v>1047</v>
      </c>
      <c r="R16" s="50" t="s">
        <v>1177</v>
      </c>
      <c r="S16" s="50" t="s">
        <v>1181</v>
      </c>
      <c r="T16" s="50">
        <v>-44910</v>
      </c>
      <c r="U16" s="50" t="s">
        <v>1024</v>
      </c>
      <c r="V16" s="50" t="s">
        <v>1025</v>
      </c>
      <c r="W16" s="50" t="s">
        <v>1182</v>
      </c>
      <c r="X16" s="86"/>
      <c r="Y16" s="6"/>
    </row>
    <row r="17" spans="1:25" x14ac:dyDescent="0.4">
      <c r="A17" s="4">
        <f t="shared" si="0"/>
        <v>202502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45691</v>
      </c>
      <c r="O17" s="26">
        <v>0.27662037037037029</v>
      </c>
      <c r="P17" s="50" t="s">
        <v>1020</v>
      </c>
      <c r="Q17" s="50" t="s">
        <v>1029</v>
      </c>
      <c r="R17" s="50" t="s">
        <v>1045</v>
      </c>
      <c r="S17" s="50" t="s">
        <v>1031</v>
      </c>
      <c r="T17" s="50">
        <v>-11650</v>
      </c>
      <c r="U17" s="50" t="s">
        <v>1024</v>
      </c>
      <c r="V17" s="50" t="s">
        <v>1025</v>
      </c>
      <c r="W17" s="50" t="s">
        <v>1183</v>
      </c>
      <c r="X17" s="86"/>
      <c r="Y17" s="6"/>
    </row>
    <row r="18" spans="1:25" x14ac:dyDescent="0.4">
      <c r="A18" s="4">
        <f t="shared" si="0"/>
        <v>202502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3103048</v>
      </c>
      <c r="G18" s="18">
        <f t="shared" si="1"/>
        <v>3453048</v>
      </c>
      <c r="H18" s="41">
        <f t="shared" ca="1" si="2"/>
        <v>-593565</v>
      </c>
      <c r="I18" s="41">
        <f t="shared" ca="1" si="7"/>
        <v>-2509483</v>
      </c>
      <c r="J18" s="44">
        <f t="shared" si="8"/>
        <v>-3103048</v>
      </c>
      <c r="K18" s="44">
        <f t="shared" si="4"/>
        <v>350000</v>
      </c>
      <c r="L18" s="19">
        <f t="shared" si="5"/>
        <v>0.89864027375234867</v>
      </c>
      <c r="N18" s="25">
        <v>45691</v>
      </c>
      <c r="O18" s="26">
        <v>0.27964120370370371</v>
      </c>
      <c r="P18" s="50" t="s">
        <v>1020</v>
      </c>
      <c r="Q18" s="50" t="s">
        <v>1184</v>
      </c>
      <c r="R18" s="50" t="s">
        <v>1047</v>
      </c>
      <c r="S18" s="50" t="s">
        <v>1031</v>
      </c>
      <c r="T18" s="50">
        <v>-20690</v>
      </c>
      <c r="U18" s="50" t="s">
        <v>1024</v>
      </c>
      <c r="V18" s="50" t="s">
        <v>1025</v>
      </c>
      <c r="W18" s="50" t="s">
        <v>1185</v>
      </c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3714898</v>
      </c>
      <c r="G19" s="20">
        <f t="shared" si="9"/>
        <v>6539898</v>
      </c>
      <c r="H19" s="42">
        <f t="shared" ca="1" si="9"/>
        <v>-3567122</v>
      </c>
      <c r="I19" s="42">
        <f t="shared" ca="1" si="9"/>
        <v>-2564117</v>
      </c>
      <c r="J19" s="45">
        <f t="shared" si="9"/>
        <v>-6131239</v>
      </c>
      <c r="K19" s="45">
        <f t="shared" si="9"/>
        <v>408659</v>
      </c>
      <c r="L19" s="21">
        <f>IF(G19=0,0,-J19/G19)</f>
        <v>0.93751293980425998</v>
      </c>
      <c r="N19" s="25">
        <v>45691</v>
      </c>
      <c r="O19" s="26">
        <v>0.40172453703703698</v>
      </c>
      <c r="P19" s="50" t="s">
        <v>1020</v>
      </c>
      <c r="Q19" s="50" t="s">
        <v>1026</v>
      </c>
      <c r="R19" s="50" t="s">
        <v>1027</v>
      </c>
      <c r="S19" s="50" t="s">
        <v>1028</v>
      </c>
      <c r="T19" s="50">
        <v>-7890</v>
      </c>
      <c r="U19" s="50" t="s">
        <v>1024</v>
      </c>
      <c r="V19" s="50" t="s">
        <v>1025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-3306239</v>
      </c>
      <c r="L20" s="22">
        <f>IF(E19=0,0,-J19/E19)</f>
        <v>2.1703500884955753</v>
      </c>
      <c r="N20" s="25">
        <v>45691</v>
      </c>
      <c r="O20" s="26">
        <v>0.52462962962962967</v>
      </c>
      <c r="P20" s="50" t="s">
        <v>1020</v>
      </c>
      <c r="Q20" s="50" t="s">
        <v>1047</v>
      </c>
      <c r="R20" s="50" t="s">
        <v>1048</v>
      </c>
      <c r="S20" s="50" t="s">
        <v>1049</v>
      </c>
      <c r="T20" s="50">
        <v>-37000</v>
      </c>
      <c r="U20" s="50" t="s">
        <v>1024</v>
      </c>
      <c r="V20" s="50" t="s">
        <v>946</v>
      </c>
      <c r="W20" s="50" t="s">
        <v>1186</v>
      </c>
      <c r="X20" s="86"/>
      <c r="Y20" s="6"/>
    </row>
    <row r="21" spans="1:25" x14ac:dyDescent="0.4">
      <c r="N21" s="25">
        <v>45691</v>
      </c>
      <c r="O21" s="26">
        <v>0.53658564814814813</v>
      </c>
      <c r="P21" s="50" t="s">
        <v>1020</v>
      </c>
      <c r="Q21" s="50" t="s">
        <v>1047</v>
      </c>
      <c r="R21" s="50" t="s">
        <v>1048</v>
      </c>
      <c r="S21" s="50" t="s">
        <v>1187</v>
      </c>
      <c r="T21" s="50">
        <v>-30000</v>
      </c>
      <c r="U21" s="50" t="s">
        <v>1024</v>
      </c>
      <c r="V21" s="50" t="s">
        <v>946</v>
      </c>
      <c r="W21" s="50" t="s">
        <v>1188</v>
      </c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45691</v>
      </c>
      <c r="O22" s="26">
        <v>0.53857638888888892</v>
      </c>
      <c r="P22" s="50" t="s">
        <v>1020</v>
      </c>
      <c r="Q22" s="50" t="s">
        <v>1047</v>
      </c>
      <c r="R22" s="50" t="s">
        <v>1048</v>
      </c>
      <c r="S22" s="50" t="s">
        <v>1189</v>
      </c>
      <c r="T22" s="50">
        <v>-33000</v>
      </c>
      <c r="U22" s="50" t="s">
        <v>1024</v>
      </c>
      <c r="V22" s="50" t="s">
        <v>946</v>
      </c>
      <c r="W22" s="50" t="s">
        <v>1190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SUMIFS($T$3:$T$233,$P$3:$P$233,"지출",$Q$3:$Q$233,C23,$R$3:$R$233,D23)</f>
        <v>-304560</v>
      </c>
      <c r="N23" s="25">
        <v>45691</v>
      </c>
      <c r="O23" s="26">
        <v>0.73090277777777779</v>
      </c>
      <c r="P23" s="50" t="s">
        <v>1020</v>
      </c>
      <c r="Q23" s="50" t="s">
        <v>1047</v>
      </c>
      <c r="R23" s="50" t="s">
        <v>1177</v>
      </c>
      <c r="S23" s="50" t="s">
        <v>1031</v>
      </c>
      <c r="T23" s="50">
        <v>-9990</v>
      </c>
      <c r="U23" s="50" t="s">
        <v>1024</v>
      </c>
      <c r="V23" s="50" t="s">
        <v>1025</v>
      </c>
      <c r="W23" s="50" t="s">
        <v>1191</v>
      </c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SUMIFS($T$3:$T$233,$P$3:$P$233,"지출",$Q$3:$Q$233,C24,$R$3:$R$233,D24)</f>
        <v>-65500</v>
      </c>
      <c r="N24" s="25">
        <v>45691</v>
      </c>
      <c r="O24" s="26">
        <v>0.75609953703703703</v>
      </c>
      <c r="P24" s="50" t="s">
        <v>1020</v>
      </c>
      <c r="Q24" s="50" t="s">
        <v>1029</v>
      </c>
      <c r="R24" s="50" t="s">
        <v>1070</v>
      </c>
      <c r="S24" s="50" t="s">
        <v>1192</v>
      </c>
      <c r="T24" s="50">
        <v>-23500</v>
      </c>
      <c r="U24" s="50" t="s">
        <v>1024</v>
      </c>
      <c r="V24" s="50" t="s">
        <v>1099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SUMIFS($T$3:$T$233,$P$3:$P$233,"지출",$Q$3:$Q$233,C25,$R$3:$R$233,D25)</f>
        <v>-90000</v>
      </c>
      <c r="N25" s="25">
        <v>45692</v>
      </c>
      <c r="O25" s="26">
        <v>0.53195601851851848</v>
      </c>
      <c r="P25" s="50" t="s">
        <v>1073</v>
      </c>
      <c r="Q25" s="50" t="s">
        <v>1047</v>
      </c>
      <c r="R25" s="50" t="s">
        <v>1054</v>
      </c>
      <c r="S25" s="50" t="s">
        <v>1193</v>
      </c>
      <c r="T25" s="50">
        <v>20000</v>
      </c>
      <c r="U25" s="50" t="s">
        <v>1024</v>
      </c>
      <c r="V25" s="50" t="s">
        <v>1036</v>
      </c>
      <c r="W25" s="50" t="s">
        <v>1194</v>
      </c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SUMIFS($T$3:$T$233,$P$3:$P$233,"지출",$Q$3:$Q$233,C26,$R$3:$R$233,D26)</f>
        <v>-57656</v>
      </c>
      <c r="N26" s="25">
        <v>45692</v>
      </c>
      <c r="O26" s="26">
        <v>0.53195601851851848</v>
      </c>
      <c r="P26" s="50" t="s">
        <v>1073</v>
      </c>
      <c r="Q26" s="50" t="s">
        <v>1047</v>
      </c>
      <c r="R26" s="50" t="s">
        <v>1054</v>
      </c>
      <c r="S26" s="50" t="s">
        <v>1195</v>
      </c>
      <c r="T26" s="50">
        <v>100000</v>
      </c>
      <c r="U26" s="50" t="s">
        <v>1024</v>
      </c>
      <c r="V26" s="50" t="s">
        <v>1036</v>
      </c>
      <c r="W26" s="50" t="s">
        <v>1196</v>
      </c>
      <c r="X26" s="86"/>
      <c r="Y26" s="6"/>
    </row>
    <row r="27" spans="1:25" x14ac:dyDescent="0.4">
      <c r="C27" s="92" t="s">
        <v>959</v>
      </c>
      <c r="D27" s="68"/>
      <c r="E27" s="49">
        <f>SUM(E21:E26)</f>
        <v>-517716</v>
      </c>
      <c r="N27" s="25">
        <v>45693</v>
      </c>
      <c r="O27" s="26">
        <v>0.71278935185185188</v>
      </c>
      <c r="P27" s="50" t="s">
        <v>1073</v>
      </c>
      <c r="Q27" s="50" t="s">
        <v>1047</v>
      </c>
      <c r="R27" s="50" t="s">
        <v>1054</v>
      </c>
      <c r="S27" s="50" t="s">
        <v>1195</v>
      </c>
      <c r="T27" s="50">
        <v>100000</v>
      </c>
      <c r="U27" s="50" t="s">
        <v>1024</v>
      </c>
      <c r="V27" s="50" t="s">
        <v>1036</v>
      </c>
      <c r="W27" s="50" t="s">
        <v>1197</v>
      </c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SUMIFS($T$3:$T$233,$P$3:$P$233,"지출",$Q$3:$Q$233,C28,$R$3:$R$233,D28)</f>
        <v>-243950</v>
      </c>
      <c r="N28" s="25">
        <v>45694</v>
      </c>
      <c r="O28" s="26">
        <v>0.80084490740740744</v>
      </c>
      <c r="P28" s="50" t="s">
        <v>1020</v>
      </c>
      <c r="Q28" s="50" t="s">
        <v>1047</v>
      </c>
      <c r="R28" s="50" t="s">
        <v>1048</v>
      </c>
      <c r="S28" s="50" t="s">
        <v>1031</v>
      </c>
      <c r="T28" s="50">
        <v>-102520</v>
      </c>
      <c r="U28" s="50" t="s">
        <v>1024</v>
      </c>
      <c r="V28" s="50" t="s">
        <v>1025</v>
      </c>
      <c r="W28" s="50" t="s">
        <v>1198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SUMIFS($T$3:$T$233,$P$3:$P$233,"지출",$Q$3:$Q$233,C29,$R$3:$R$233,D29)</f>
        <v>0</v>
      </c>
      <c r="N29" s="25">
        <v>45695</v>
      </c>
      <c r="O29" s="26">
        <v>0.43966435185185188</v>
      </c>
      <c r="P29" s="50" t="s">
        <v>1020</v>
      </c>
      <c r="Q29" s="50" t="s">
        <v>1042</v>
      </c>
      <c r="R29" s="50" t="s">
        <v>1054</v>
      </c>
      <c r="S29" s="50" t="s">
        <v>1199</v>
      </c>
      <c r="T29" s="50">
        <v>-75000</v>
      </c>
      <c r="U29" s="50" t="s">
        <v>1024</v>
      </c>
      <c r="V29" s="50" t="s">
        <v>1025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SUMIFS($T$3:$T$233,$P$3:$P$233,"지출",$Q$3:$Q$233,C30,$R$3:$R$233,D30)</f>
        <v>0</v>
      </c>
      <c r="N30" s="25">
        <v>45695</v>
      </c>
      <c r="O30" s="26">
        <v>0.44399305555555563</v>
      </c>
      <c r="P30" s="50" t="s">
        <v>1020</v>
      </c>
      <c r="Q30" s="50" t="s">
        <v>1042</v>
      </c>
      <c r="R30" s="50" t="s">
        <v>1043</v>
      </c>
      <c r="S30" s="50" t="s">
        <v>1200</v>
      </c>
      <c r="T30" s="50">
        <v>-264000</v>
      </c>
      <c r="U30" s="50" t="s">
        <v>1024</v>
      </c>
      <c r="V30" s="50" t="s">
        <v>1025</v>
      </c>
      <c r="W30" s="50"/>
      <c r="X30" s="86"/>
      <c r="Y30" s="6"/>
    </row>
    <row r="31" spans="1:25" x14ac:dyDescent="0.4">
      <c r="C31" s="92" t="s">
        <v>960</v>
      </c>
      <c r="D31" s="68"/>
      <c r="E31" s="49">
        <f>SUM(E28:E30)</f>
        <v>-243950</v>
      </c>
      <c r="N31" s="25">
        <v>45695</v>
      </c>
      <c r="O31" s="26">
        <v>0.74157407407407405</v>
      </c>
      <c r="P31" s="50" t="s">
        <v>1020</v>
      </c>
      <c r="Q31" s="50" t="s">
        <v>1047</v>
      </c>
      <c r="R31" s="50" t="s">
        <v>1048</v>
      </c>
      <c r="S31" s="50" t="s">
        <v>1031</v>
      </c>
      <c r="T31" s="50">
        <v>-7900</v>
      </c>
      <c r="U31" s="50" t="s">
        <v>1024</v>
      </c>
      <c r="V31" s="50" t="s">
        <v>1025</v>
      </c>
      <c r="W31" s="50" t="s">
        <v>1198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SUMIFS($T$3:$T$233,$P$3:$P$233,"지출",$Q$3:$Q$233,C32,$R$3:$R$233,D32)</f>
        <v>0</v>
      </c>
      <c r="N32" s="25">
        <v>45696</v>
      </c>
      <c r="O32" s="26">
        <v>0.72797453703703707</v>
      </c>
      <c r="P32" s="50" t="s">
        <v>1020</v>
      </c>
      <c r="Q32" s="50" t="s">
        <v>1047</v>
      </c>
      <c r="R32" s="50" t="s">
        <v>1086</v>
      </c>
      <c r="S32" s="50" t="s">
        <v>1201</v>
      </c>
      <c r="T32" s="50">
        <v>-118000</v>
      </c>
      <c r="U32" s="50" t="s">
        <v>1024</v>
      </c>
      <c r="V32" s="50" t="s">
        <v>946</v>
      </c>
      <c r="W32" s="50" t="s">
        <v>1202</v>
      </c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-89100</v>
      </c>
      <c r="N33" s="25">
        <v>45697</v>
      </c>
      <c r="O33" s="26">
        <v>8.3680555555555557E-3</v>
      </c>
      <c r="P33" s="50" t="s">
        <v>1020</v>
      </c>
      <c r="Q33" s="50" t="s">
        <v>1029</v>
      </c>
      <c r="R33" s="50" t="s">
        <v>1030</v>
      </c>
      <c r="S33" s="50" t="s">
        <v>1122</v>
      </c>
      <c r="T33" s="50">
        <v>-33500</v>
      </c>
      <c r="U33" s="50" t="s">
        <v>1024</v>
      </c>
      <c r="V33" s="50" t="s">
        <v>1025</v>
      </c>
      <c r="W33" s="50" t="s">
        <v>1203</v>
      </c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-208460</v>
      </c>
      <c r="N34" s="25">
        <v>45698</v>
      </c>
      <c r="O34" s="26">
        <v>0.95899305555555558</v>
      </c>
      <c r="P34" s="50" t="s">
        <v>1020</v>
      </c>
      <c r="Q34" s="50" t="s">
        <v>1029</v>
      </c>
      <c r="R34" s="50" t="s">
        <v>1030</v>
      </c>
      <c r="S34" s="50" t="s">
        <v>1031</v>
      </c>
      <c r="T34" s="50">
        <v>-68960</v>
      </c>
      <c r="U34" s="50" t="s">
        <v>1024</v>
      </c>
      <c r="V34" s="50" t="s">
        <v>1025</v>
      </c>
      <c r="W34" s="50" t="s">
        <v>1204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-299420</v>
      </c>
      <c r="N35" s="25">
        <v>45699</v>
      </c>
      <c r="O35" s="26">
        <v>0.33751157407407412</v>
      </c>
      <c r="P35" s="50" t="s">
        <v>1020</v>
      </c>
      <c r="Q35" s="50" t="s">
        <v>1047</v>
      </c>
      <c r="R35" s="50" t="s">
        <v>1086</v>
      </c>
      <c r="S35" s="50" t="s">
        <v>1031</v>
      </c>
      <c r="T35" s="50">
        <v>-12899</v>
      </c>
      <c r="U35" s="50" t="s">
        <v>1024</v>
      </c>
      <c r="V35" s="50" t="s">
        <v>1025</v>
      </c>
      <c r="W35" s="50" t="s">
        <v>1205</v>
      </c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45699</v>
      </c>
      <c r="O36" s="26">
        <v>0.34151620370370372</v>
      </c>
      <c r="P36" s="50" t="s">
        <v>1020</v>
      </c>
      <c r="Q36" s="50" t="s">
        <v>1047</v>
      </c>
      <c r="R36" s="50" t="s">
        <v>1086</v>
      </c>
      <c r="S36" s="50" t="s">
        <v>1031</v>
      </c>
      <c r="T36" s="50">
        <v>-6120</v>
      </c>
      <c r="U36" s="50" t="s">
        <v>1024</v>
      </c>
      <c r="V36" s="50" t="s">
        <v>1025</v>
      </c>
      <c r="W36" s="50" t="s">
        <v>1206</v>
      </c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>
        <v>45699</v>
      </c>
      <c r="O37" s="26">
        <v>0.3477777777777778</v>
      </c>
      <c r="P37" s="50" t="s">
        <v>1020</v>
      </c>
      <c r="Q37" s="50" t="s">
        <v>1047</v>
      </c>
      <c r="R37" s="50" t="s">
        <v>1086</v>
      </c>
      <c r="S37" s="50" t="s">
        <v>1122</v>
      </c>
      <c r="T37" s="50">
        <v>-26900</v>
      </c>
      <c r="U37" s="50" t="s">
        <v>1024</v>
      </c>
      <c r="V37" s="50" t="s">
        <v>1025</v>
      </c>
      <c r="W37" s="50" t="s">
        <v>1207</v>
      </c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>
        <v>45699</v>
      </c>
      <c r="O38" s="26">
        <v>0.35552083333333329</v>
      </c>
      <c r="P38" s="50" t="s">
        <v>1020</v>
      </c>
      <c r="Q38" s="50" t="s">
        <v>1047</v>
      </c>
      <c r="R38" s="50" t="s">
        <v>1086</v>
      </c>
      <c r="S38" s="50" t="s">
        <v>1031</v>
      </c>
      <c r="T38" s="50">
        <v>-13149</v>
      </c>
      <c r="U38" s="50" t="s">
        <v>1024</v>
      </c>
      <c r="V38" s="50" t="s">
        <v>1025</v>
      </c>
      <c r="W38" s="50" t="s">
        <v>1208</v>
      </c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-2506068</v>
      </c>
      <c r="N39" s="25">
        <v>45699</v>
      </c>
      <c r="O39" s="26">
        <v>0.4004050925925926</v>
      </c>
      <c r="P39" s="50" t="s">
        <v>1020</v>
      </c>
      <c r="Q39" s="50" t="s">
        <v>1047</v>
      </c>
      <c r="R39" s="50" t="s">
        <v>1177</v>
      </c>
      <c r="S39" s="50" t="s">
        <v>1209</v>
      </c>
      <c r="T39" s="50">
        <v>-55360</v>
      </c>
      <c r="U39" s="50" t="s">
        <v>1024</v>
      </c>
      <c r="V39" s="50" t="s">
        <v>1025</v>
      </c>
      <c r="W39" s="50" t="s">
        <v>1210</v>
      </c>
      <c r="X39" s="86"/>
      <c r="Y39" s="6"/>
    </row>
    <row r="40" spans="3:25" x14ac:dyDescent="0.4">
      <c r="C40" s="94" t="s">
        <v>962</v>
      </c>
      <c r="D40" s="93"/>
      <c r="E40" s="20">
        <f>SUM(E32:E39)</f>
        <v>-3103048</v>
      </c>
      <c r="N40" s="25">
        <v>45700</v>
      </c>
      <c r="O40" s="26">
        <v>0.68715277777777772</v>
      </c>
      <c r="P40" s="50" t="s">
        <v>1073</v>
      </c>
      <c r="Q40" s="50" t="s">
        <v>1047</v>
      </c>
      <c r="R40" s="50" t="s">
        <v>1054</v>
      </c>
      <c r="S40" s="50" t="s">
        <v>1195</v>
      </c>
      <c r="T40" s="50">
        <v>200000</v>
      </c>
      <c r="U40" s="50" t="s">
        <v>1024</v>
      </c>
      <c r="V40" s="50" t="s">
        <v>1036</v>
      </c>
      <c r="W40" s="50" t="s">
        <v>1211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SUMIFS($T$3:$T$233,$P$3:$P$233,"지출",$Q$3:$Q$233,C41,$R$3:$R$233,D41)</f>
        <v>0</v>
      </c>
      <c r="N41" s="25">
        <v>45700</v>
      </c>
      <c r="O41" s="26">
        <v>0.80619212962962961</v>
      </c>
      <c r="P41" s="50" t="s">
        <v>1053</v>
      </c>
      <c r="Q41" s="50" t="s">
        <v>1066</v>
      </c>
      <c r="R41" s="50" t="s">
        <v>1054</v>
      </c>
      <c r="S41" s="50" t="s">
        <v>1067</v>
      </c>
      <c r="T41" s="50">
        <v>-1251234</v>
      </c>
      <c r="U41" s="50" t="s">
        <v>1024</v>
      </c>
      <c r="V41" s="50" t="s">
        <v>1036</v>
      </c>
      <c r="W41" s="50"/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SUMIFS($T$3:$T$233,$P$3:$P$233,"지출",$Q$3:$Q$233,C42,$R$3:$R$233,D42)</f>
        <v>0</v>
      </c>
      <c r="N42" s="25">
        <v>45701</v>
      </c>
      <c r="O42" s="26">
        <v>0.76050925925925927</v>
      </c>
      <c r="P42" s="50" t="s">
        <v>1073</v>
      </c>
      <c r="Q42" s="50" t="s">
        <v>1047</v>
      </c>
      <c r="R42" s="50" t="s">
        <v>1054</v>
      </c>
      <c r="S42" s="50" t="s">
        <v>1212</v>
      </c>
      <c r="T42" s="50">
        <v>42000</v>
      </c>
      <c r="U42" s="50" t="s">
        <v>1024</v>
      </c>
      <c r="V42" s="50" t="s">
        <v>1036</v>
      </c>
      <c r="W42" s="50" t="s">
        <v>1213</v>
      </c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SUMIFS($T$3:$T$233,$P$3:$P$233,"지출",$Q$3:$Q$233,C43,$R$3:$R$233,D43)</f>
        <v>0</v>
      </c>
      <c r="N43" s="25">
        <v>45701</v>
      </c>
      <c r="O43" s="26">
        <v>0.91511574074074076</v>
      </c>
      <c r="P43" s="50" t="s">
        <v>1053</v>
      </c>
      <c r="Q43" s="50" t="s">
        <v>1053</v>
      </c>
      <c r="R43" s="50" t="s">
        <v>1054</v>
      </c>
      <c r="S43" s="50" t="s">
        <v>1103</v>
      </c>
      <c r="T43" s="50">
        <v>25000000</v>
      </c>
      <c r="U43" s="50" t="s">
        <v>1024</v>
      </c>
      <c r="V43" s="50" t="s">
        <v>1214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SUMIFS($T$3:$T$233,$P$3:$P$233,"지출",$Q$3:$Q$233,C44,$R$3:$R$233,D44)</f>
        <v>0</v>
      </c>
      <c r="N44" s="25">
        <v>45701</v>
      </c>
      <c r="O44" s="26">
        <v>0.91579861111111116</v>
      </c>
      <c r="P44" s="50" t="s">
        <v>1053</v>
      </c>
      <c r="Q44" s="50" t="s">
        <v>1053</v>
      </c>
      <c r="R44" s="50" t="s">
        <v>1054</v>
      </c>
      <c r="S44" s="50" t="s">
        <v>1103</v>
      </c>
      <c r="T44" s="50">
        <v>25000000</v>
      </c>
      <c r="U44" s="50" t="s">
        <v>1024</v>
      </c>
      <c r="V44" s="50" t="s">
        <v>1214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0</v>
      </c>
      <c r="N45" s="25">
        <v>45701</v>
      </c>
      <c r="O45" s="26">
        <v>0.91680555555555554</v>
      </c>
      <c r="P45" s="50" t="s">
        <v>1053</v>
      </c>
      <c r="Q45" s="50" t="s">
        <v>1054</v>
      </c>
      <c r="R45" s="50" t="s">
        <v>1054</v>
      </c>
      <c r="S45" s="50" t="s">
        <v>1215</v>
      </c>
      <c r="T45" s="50">
        <v>50000000</v>
      </c>
      <c r="U45" s="50" t="s">
        <v>1024</v>
      </c>
      <c r="V45" s="50" t="s">
        <v>1216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SUMIFS($T$3:$T$233,$P$3:$P$233,"지출",$Q$3:$Q$233,C46,$R$3:$R$233,D46)</f>
        <v>0</v>
      </c>
      <c r="N46" s="25">
        <v>45701</v>
      </c>
      <c r="O46" s="26">
        <v>0.91680555555555554</v>
      </c>
      <c r="P46" s="50" t="s">
        <v>1053</v>
      </c>
      <c r="Q46" s="50" t="s">
        <v>1054</v>
      </c>
      <c r="R46" s="50" t="s">
        <v>1054</v>
      </c>
      <c r="S46" s="50" t="s">
        <v>1217</v>
      </c>
      <c r="T46" s="50">
        <v>-50000000</v>
      </c>
      <c r="U46" s="50" t="s">
        <v>1024</v>
      </c>
      <c r="V46" s="50" t="s">
        <v>1214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SUMIFS($T$3:$T$233,$P$3:$P$233,"지출",$Q$3:$Q$233,C47,$R$3:$R$233,D47)</f>
        <v>0</v>
      </c>
      <c r="N47" s="25">
        <v>45702</v>
      </c>
      <c r="O47" s="26">
        <v>0.13120370370370371</v>
      </c>
      <c r="P47" s="50" t="s">
        <v>1073</v>
      </c>
      <c r="Q47" s="50" t="s">
        <v>1218</v>
      </c>
      <c r="R47" s="50" t="s">
        <v>1054</v>
      </c>
      <c r="S47" s="50" t="s">
        <v>1219</v>
      </c>
      <c r="T47" s="50">
        <v>2329</v>
      </c>
      <c r="U47" s="50" t="s">
        <v>1024</v>
      </c>
      <c r="V47" s="50" t="s">
        <v>1216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SUMIFS($T$3:$T$233,$P$3:$P$233,"지출",$Q$3:$Q$233,C48,$R$3:$R$233,D48)</f>
        <v>0</v>
      </c>
      <c r="N48" s="25">
        <v>45702</v>
      </c>
      <c r="O48" s="26">
        <v>0.44987268518518519</v>
      </c>
      <c r="P48" s="50" t="s">
        <v>1020</v>
      </c>
      <c r="Q48" s="50" t="s">
        <v>1029</v>
      </c>
      <c r="R48" s="50" t="s">
        <v>1047</v>
      </c>
      <c r="S48" s="50" t="s">
        <v>1220</v>
      </c>
      <c r="T48" s="50">
        <v>-28756</v>
      </c>
      <c r="U48" s="50" t="s">
        <v>1024</v>
      </c>
      <c r="V48" s="50" t="s">
        <v>1036</v>
      </c>
      <c r="W48" s="50" t="s">
        <v>1221</v>
      </c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SUMIFS($T$3:$T$233,$P$3:$P$233,"지출",$Q$3:$Q$233,C49,$R$3:$R$233,D49)</f>
        <v>-20690</v>
      </c>
      <c r="N49" s="25">
        <v>45702</v>
      </c>
      <c r="O49" s="26">
        <v>0.6272685185185185</v>
      </c>
      <c r="P49" s="50" t="s">
        <v>1020</v>
      </c>
      <c r="Q49" s="50" t="s">
        <v>1029</v>
      </c>
      <c r="R49" s="50" t="s">
        <v>1030</v>
      </c>
      <c r="S49" s="50" t="s">
        <v>1031</v>
      </c>
      <c r="T49" s="50">
        <v>-28360</v>
      </c>
      <c r="U49" s="50" t="s">
        <v>1024</v>
      </c>
      <c r="V49" s="50" t="s">
        <v>1025</v>
      </c>
      <c r="W49" s="50" t="s">
        <v>1222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-20690</v>
      </c>
      <c r="J50" s="53"/>
      <c r="K50" s="54"/>
      <c r="N50" s="25">
        <v>45703</v>
      </c>
      <c r="O50" s="26">
        <v>4.8935185185185193E-2</v>
      </c>
      <c r="P50" s="50" t="s">
        <v>1073</v>
      </c>
      <c r="Q50" s="50" t="s">
        <v>1218</v>
      </c>
      <c r="R50" s="50" t="s">
        <v>1054</v>
      </c>
      <c r="S50" s="50" t="s">
        <v>1223</v>
      </c>
      <c r="T50" s="50">
        <v>1182</v>
      </c>
      <c r="U50" s="50" t="s">
        <v>1024</v>
      </c>
      <c r="V50" s="50" t="s">
        <v>1036</v>
      </c>
      <c r="W50" s="50" t="s">
        <v>43</v>
      </c>
      <c r="X50" s="86"/>
      <c r="Y50" s="6"/>
    </row>
    <row r="51" spans="1:25" ht="18" thickBot="1" x14ac:dyDescent="0.45">
      <c r="J51" s="53"/>
      <c r="K51" s="54"/>
      <c r="N51" s="25">
        <v>45703</v>
      </c>
      <c r="O51" s="26">
        <v>0.1208796296296296</v>
      </c>
      <c r="P51" s="50" t="s">
        <v>1073</v>
      </c>
      <c r="Q51" s="50" t="s">
        <v>1218</v>
      </c>
      <c r="R51" s="50" t="s">
        <v>1054</v>
      </c>
      <c r="S51" s="50" t="s">
        <v>1219</v>
      </c>
      <c r="T51" s="50">
        <v>2329</v>
      </c>
      <c r="U51" s="50" t="s">
        <v>1024</v>
      </c>
      <c r="V51" s="50" t="s">
        <v>1216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163863206</v>
      </c>
      <c r="N52" s="25">
        <v>45703</v>
      </c>
      <c r="O52" s="26">
        <v>0.46309027777777778</v>
      </c>
      <c r="P52" s="50" t="s">
        <v>1020</v>
      </c>
      <c r="Q52" s="50" t="s">
        <v>1029</v>
      </c>
      <c r="R52" s="50" t="s">
        <v>1030</v>
      </c>
      <c r="S52" s="50" t="s">
        <v>1031</v>
      </c>
      <c r="T52" s="50">
        <v>-34200</v>
      </c>
      <c r="U52" s="50" t="s">
        <v>1024</v>
      </c>
      <c r="V52" s="50" t="s">
        <v>1025</v>
      </c>
      <c r="W52" s="50" t="s">
        <v>1224</v>
      </c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169383306</v>
      </c>
      <c r="N53" s="25">
        <v>45704</v>
      </c>
      <c r="O53" s="26">
        <v>0.1215509259259259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2329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2814243</v>
      </c>
      <c r="H54" s="98" t="s">
        <v>907</v>
      </c>
      <c r="I54" s="30">
        <f ca="1">I53-I52</f>
        <v>5520100</v>
      </c>
      <c r="J54" s="53"/>
      <c r="K54" s="54"/>
      <c r="N54" s="25">
        <v>45704</v>
      </c>
      <c r="O54" s="26">
        <v>0.45391203703703698</v>
      </c>
      <c r="P54" s="50" t="s">
        <v>1020</v>
      </c>
      <c r="Q54" s="50" t="s">
        <v>1047</v>
      </c>
      <c r="R54" s="50" t="s">
        <v>1063</v>
      </c>
      <c r="S54" s="50" t="s">
        <v>1225</v>
      </c>
      <c r="T54" s="50">
        <v>-28000</v>
      </c>
      <c r="U54" s="50" t="s">
        <v>1024</v>
      </c>
      <c r="V54" s="50" t="s">
        <v>1025</v>
      </c>
      <c r="W54" s="50" t="s">
        <v>1226</v>
      </c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47036705</v>
      </c>
      <c r="H55" s="52"/>
      <c r="I55" s="53"/>
      <c r="J55" s="53"/>
      <c r="K55" s="54"/>
      <c r="N55" s="25">
        <v>45704</v>
      </c>
      <c r="O55" s="26">
        <v>0.83391203703703709</v>
      </c>
      <c r="P55" s="50" t="s">
        <v>1020</v>
      </c>
      <c r="Q55" s="50" t="s">
        <v>1047</v>
      </c>
      <c r="R55" s="50" t="s">
        <v>1063</v>
      </c>
      <c r="S55" s="50" t="s">
        <v>1227</v>
      </c>
      <c r="T55" s="50">
        <v>-37600</v>
      </c>
      <c r="U55" s="50" t="s">
        <v>1024</v>
      </c>
      <c r="V55" s="50" t="s">
        <v>1228</v>
      </c>
      <c r="W55" s="50" t="s">
        <v>1229</v>
      </c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45704</v>
      </c>
      <c r="O56" s="26">
        <v>0.83394675925925921</v>
      </c>
      <c r="P56" s="50" t="s">
        <v>1053</v>
      </c>
      <c r="Q56" s="50" t="s">
        <v>1053</v>
      </c>
      <c r="R56" s="50" t="s">
        <v>1054</v>
      </c>
      <c r="S56" s="50" t="s">
        <v>1230</v>
      </c>
      <c r="T56" s="50">
        <v>40000</v>
      </c>
      <c r="U56" s="50" t="s">
        <v>1024</v>
      </c>
      <c r="V56" s="50" t="s">
        <v>1231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45704</v>
      </c>
      <c r="O57" s="26">
        <v>0.83394675925925921</v>
      </c>
      <c r="P57" s="50" t="s">
        <v>1053</v>
      </c>
      <c r="Q57" s="50" t="s">
        <v>1053</v>
      </c>
      <c r="R57" s="50" t="s">
        <v>1054</v>
      </c>
      <c r="S57" s="50" t="s">
        <v>1232</v>
      </c>
      <c r="T57" s="50">
        <v>-40000</v>
      </c>
      <c r="U57" s="50" t="s">
        <v>1024</v>
      </c>
      <c r="V57" s="50" t="s">
        <v>1036</v>
      </c>
      <c r="W57" s="50"/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45705</v>
      </c>
      <c r="O58" s="26">
        <v>0.1206134259259259</v>
      </c>
      <c r="P58" s="50" t="s">
        <v>1073</v>
      </c>
      <c r="Q58" s="50" t="s">
        <v>1218</v>
      </c>
      <c r="R58" s="50" t="s">
        <v>1054</v>
      </c>
      <c r="S58" s="50" t="s">
        <v>1219</v>
      </c>
      <c r="T58" s="50">
        <v>2330</v>
      </c>
      <c r="U58" s="50" t="s">
        <v>1024</v>
      </c>
      <c r="V58" s="50" t="s">
        <v>1216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136580</v>
      </c>
      <c r="H59" s="52"/>
      <c r="I59" s="53"/>
      <c r="J59" s="53"/>
      <c r="K59" s="54"/>
      <c r="N59" s="25">
        <v>45705</v>
      </c>
      <c r="O59" s="26">
        <v>0.55638888888888893</v>
      </c>
      <c r="P59" s="50" t="s">
        <v>1020</v>
      </c>
      <c r="Q59" s="50" t="s">
        <v>1047</v>
      </c>
      <c r="R59" s="50" t="s">
        <v>1048</v>
      </c>
      <c r="S59" s="50" t="s">
        <v>1049</v>
      </c>
      <c r="T59" s="50">
        <v>-39000</v>
      </c>
      <c r="U59" s="50" t="s">
        <v>1024</v>
      </c>
      <c r="V59" s="50" t="s">
        <v>946</v>
      </c>
      <c r="W59" s="50" t="s">
        <v>1233</v>
      </c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45706</v>
      </c>
      <c r="O60" s="26">
        <v>0.12023148148148149</v>
      </c>
      <c r="P60" s="50" t="s">
        <v>1073</v>
      </c>
      <c r="Q60" s="50" t="s">
        <v>1218</v>
      </c>
      <c r="R60" s="50" t="s">
        <v>1054</v>
      </c>
      <c r="S60" s="50" t="s">
        <v>1219</v>
      </c>
      <c r="T60" s="50">
        <v>2330</v>
      </c>
      <c r="U60" s="50" t="s">
        <v>1024</v>
      </c>
      <c r="V60" s="50" t="s">
        <v>1216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623450</v>
      </c>
      <c r="H61" s="52"/>
      <c r="I61" s="53"/>
      <c r="J61" s="53"/>
      <c r="K61" s="54"/>
      <c r="N61" s="25">
        <v>45707</v>
      </c>
      <c r="O61" s="26">
        <v>0.1218055555555556</v>
      </c>
      <c r="P61" s="50" t="s">
        <v>1073</v>
      </c>
      <c r="Q61" s="50" t="s">
        <v>1218</v>
      </c>
      <c r="R61" s="50" t="s">
        <v>1054</v>
      </c>
      <c r="S61" s="50" t="s">
        <v>1219</v>
      </c>
      <c r="T61" s="50">
        <v>2330</v>
      </c>
      <c r="U61" s="50" t="s">
        <v>1024</v>
      </c>
      <c r="V61" s="50" t="s">
        <v>1216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45707</v>
      </c>
      <c r="O62" s="26">
        <v>0.28233796296296299</v>
      </c>
      <c r="P62" s="50" t="s">
        <v>1020</v>
      </c>
      <c r="Q62" s="50" t="s">
        <v>1029</v>
      </c>
      <c r="R62" s="50" t="s">
        <v>1030</v>
      </c>
      <c r="S62" s="50" t="s">
        <v>1031</v>
      </c>
      <c r="T62" s="50">
        <v>-60000</v>
      </c>
      <c r="U62" s="50" t="s">
        <v>1024</v>
      </c>
      <c r="V62" s="50" t="s">
        <v>1025</v>
      </c>
      <c r="W62" s="50" t="s">
        <v>1234</v>
      </c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782000</v>
      </c>
      <c r="H63" s="52"/>
      <c r="I63" s="53"/>
      <c r="J63" s="53"/>
      <c r="K63" s="54"/>
      <c r="N63" s="25">
        <v>45707</v>
      </c>
      <c r="O63" s="26">
        <v>0.4105787037037037</v>
      </c>
      <c r="P63" s="50" t="s">
        <v>1020</v>
      </c>
      <c r="Q63" s="50" t="s">
        <v>1026</v>
      </c>
      <c r="R63" s="50" t="s">
        <v>1093</v>
      </c>
      <c r="S63" s="50" t="s">
        <v>1095</v>
      </c>
      <c r="T63" s="50">
        <v>-50290</v>
      </c>
      <c r="U63" s="50" t="s">
        <v>1024</v>
      </c>
      <c r="V63" s="50" t="s">
        <v>1025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45707</v>
      </c>
      <c r="O64" s="26">
        <v>0.4105787037037037</v>
      </c>
      <c r="P64" s="50" t="s">
        <v>1020</v>
      </c>
      <c r="Q64" s="50" t="s">
        <v>1026</v>
      </c>
      <c r="R64" s="50" t="s">
        <v>1093</v>
      </c>
      <c r="S64" s="50" t="s">
        <v>1094</v>
      </c>
      <c r="T64" s="50">
        <v>-22000</v>
      </c>
      <c r="U64" s="50" t="s">
        <v>1024</v>
      </c>
      <c r="V64" s="50" t="s">
        <v>1025</v>
      </c>
      <c r="W64" s="50"/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45707</v>
      </c>
      <c r="O65" s="26">
        <v>0.72412037037037036</v>
      </c>
      <c r="P65" s="50" t="s">
        <v>1073</v>
      </c>
      <c r="Q65" s="50" t="s">
        <v>1074</v>
      </c>
      <c r="R65" s="50" t="s">
        <v>1054</v>
      </c>
      <c r="S65" s="50" t="s">
        <v>1075</v>
      </c>
      <c r="T65" s="50">
        <v>55199</v>
      </c>
      <c r="U65" s="50" t="s">
        <v>1024</v>
      </c>
      <c r="V65" s="50" t="s">
        <v>1036</v>
      </c>
      <c r="W65" s="50"/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I66" s="53"/>
      <c r="J66" s="53"/>
      <c r="K66" s="54"/>
      <c r="N66" s="25">
        <v>45707</v>
      </c>
      <c r="O66" s="26">
        <v>0.75782407407407404</v>
      </c>
      <c r="P66" s="50" t="s">
        <v>1073</v>
      </c>
      <c r="Q66" s="50" t="s">
        <v>1047</v>
      </c>
      <c r="R66" s="50" t="s">
        <v>1054</v>
      </c>
      <c r="S66" s="50" t="s">
        <v>1195</v>
      </c>
      <c r="T66" s="50">
        <v>280000</v>
      </c>
      <c r="U66" s="50" t="s">
        <v>1024</v>
      </c>
      <c r="V66" s="50" t="s">
        <v>1036</v>
      </c>
      <c r="W66" s="50" t="s">
        <v>1235</v>
      </c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45708</v>
      </c>
      <c r="O67" s="26">
        <v>0.1207175925925926</v>
      </c>
      <c r="P67" s="50" t="s">
        <v>1073</v>
      </c>
      <c r="Q67" s="50" t="s">
        <v>1218</v>
      </c>
      <c r="R67" s="50" t="s">
        <v>1054</v>
      </c>
      <c r="S67" s="50" t="s">
        <v>1219</v>
      </c>
      <c r="T67" s="50">
        <v>2330</v>
      </c>
      <c r="U67" s="50" t="s">
        <v>1024</v>
      </c>
      <c r="V67" s="50" t="s">
        <v>1216</v>
      </c>
      <c r="W67" s="50"/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45709</v>
      </c>
      <c r="O68" s="26">
        <v>0.12258101851851851</v>
      </c>
      <c r="P68" s="50" t="s">
        <v>1073</v>
      </c>
      <c r="Q68" s="50" t="s">
        <v>1218</v>
      </c>
      <c r="R68" s="50" t="s">
        <v>1054</v>
      </c>
      <c r="S68" s="50" t="s">
        <v>1219</v>
      </c>
      <c r="T68" s="50">
        <v>2330</v>
      </c>
      <c r="U68" s="50" t="s">
        <v>1024</v>
      </c>
      <c r="V68" s="50" t="s">
        <v>1216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45709</v>
      </c>
      <c r="O69" s="26">
        <v>0.68809027777777776</v>
      </c>
      <c r="P69" s="50" t="s">
        <v>1020</v>
      </c>
      <c r="Q69" s="50" t="s">
        <v>1029</v>
      </c>
      <c r="R69" s="50" t="s">
        <v>1030</v>
      </c>
      <c r="S69" s="50" t="s">
        <v>1236</v>
      </c>
      <c r="T69" s="50">
        <v>-8130</v>
      </c>
      <c r="U69" s="50" t="s">
        <v>1024</v>
      </c>
      <c r="V69" s="50" t="s">
        <v>1099</v>
      </c>
      <c r="W69" s="50" t="s">
        <v>1237</v>
      </c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45709</v>
      </c>
      <c r="O70" s="26">
        <v>0.93193287037037043</v>
      </c>
      <c r="P70" s="50" t="s">
        <v>1053</v>
      </c>
      <c r="Q70" s="50" t="s">
        <v>1238</v>
      </c>
      <c r="R70" s="50" t="s">
        <v>1054</v>
      </c>
      <c r="S70" s="50" t="s">
        <v>1103</v>
      </c>
      <c r="T70" s="50">
        <v>0</v>
      </c>
      <c r="U70" s="50" t="s">
        <v>1024</v>
      </c>
      <c r="V70" s="50" t="s">
        <v>1036</v>
      </c>
      <c r="W70" s="50" t="s">
        <v>1239</v>
      </c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45710</v>
      </c>
      <c r="O71" s="26">
        <v>0.1228935185185185</v>
      </c>
      <c r="P71" s="50" t="s">
        <v>1073</v>
      </c>
      <c r="Q71" s="50" t="s">
        <v>1218</v>
      </c>
      <c r="R71" s="50" t="s">
        <v>1054</v>
      </c>
      <c r="S71" s="50" t="s">
        <v>1219</v>
      </c>
      <c r="T71" s="50">
        <v>2330</v>
      </c>
      <c r="U71" s="50" t="s">
        <v>1024</v>
      </c>
      <c r="V71" s="50" t="s">
        <v>1216</v>
      </c>
      <c r="W71" s="50"/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45711</v>
      </c>
      <c r="O72" s="26">
        <v>0.1246412037037037</v>
      </c>
      <c r="P72" s="50" t="s">
        <v>1073</v>
      </c>
      <c r="Q72" s="50" t="s">
        <v>1218</v>
      </c>
      <c r="R72" s="50" t="s">
        <v>1054</v>
      </c>
      <c r="S72" s="50" t="s">
        <v>1219</v>
      </c>
      <c r="T72" s="50">
        <v>2330</v>
      </c>
      <c r="U72" s="50" t="s">
        <v>1024</v>
      </c>
      <c r="V72" s="50" t="s">
        <v>1216</v>
      </c>
      <c r="W72" s="50"/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45711</v>
      </c>
      <c r="O73" s="26">
        <v>0.25195601851851851</v>
      </c>
      <c r="P73" s="50" t="s">
        <v>1020</v>
      </c>
      <c r="Q73" s="50" t="s">
        <v>1029</v>
      </c>
      <c r="R73" s="50" t="s">
        <v>1030</v>
      </c>
      <c r="S73" s="50" t="s">
        <v>1031</v>
      </c>
      <c r="T73" s="50">
        <v>-29430</v>
      </c>
      <c r="U73" s="50" t="s">
        <v>1024</v>
      </c>
      <c r="V73" s="50" t="s">
        <v>1025</v>
      </c>
      <c r="W73" s="50" t="s">
        <v>1240</v>
      </c>
      <c r="X73" s="86"/>
      <c r="Y73" s="6"/>
    </row>
    <row r="74" spans="1:25" ht="18" thickTop="1" x14ac:dyDescent="0.4">
      <c r="A74" s="7">
        <f>$L$1</f>
        <v>202502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5278317</v>
      </c>
      <c r="G74" s="41">
        <f ca="1">H74-F74</f>
        <v>3157480</v>
      </c>
      <c r="H74" s="58">
        <f>SUMIFS($T$3:$T$233,$P$3:$P$233,"수입",$Q$3:$Q$233,C74)</f>
        <v>8435797</v>
      </c>
      <c r="I74" s="43">
        <f>H74-E74</f>
        <v>2892797</v>
      </c>
      <c r="N74" s="25">
        <v>45711</v>
      </c>
      <c r="O74" s="26">
        <v>0.34587962962962959</v>
      </c>
      <c r="P74" s="50" t="s">
        <v>1053</v>
      </c>
      <c r="Q74" s="50" t="s">
        <v>1053</v>
      </c>
      <c r="R74" s="50" t="s">
        <v>1054</v>
      </c>
      <c r="S74" s="50" t="s">
        <v>1230</v>
      </c>
      <c r="T74" s="50">
        <v>80000</v>
      </c>
      <c r="U74" s="50" t="s">
        <v>1024</v>
      </c>
      <c r="V74" s="50" t="s">
        <v>1231</v>
      </c>
      <c r="W74" s="50"/>
      <c r="X74" s="86"/>
      <c r="Y74" s="6"/>
    </row>
    <row r="75" spans="1:25" x14ac:dyDescent="0.4">
      <c r="A75" s="4">
        <f t="shared" ref="A75:A78" si="11">$L$1</f>
        <v>202502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ca="1">INDIRECT($J$1&amp;"!H"&amp;ROW())</f>
        <v>20828780</v>
      </c>
      <c r="G75" s="41">
        <f ca="1">H75-F75</f>
        <v>-20773581</v>
      </c>
      <c r="H75" s="58">
        <f>SUMIFS($T$3:$T$233,$P$3:$P$233,"수입",$Q$3:$Q$233,C75)</f>
        <v>55199</v>
      </c>
      <c r="I75" s="43">
        <f>H75-E75</f>
        <v>0</v>
      </c>
      <c r="N75" s="25">
        <v>45711</v>
      </c>
      <c r="O75" s="26">
        <v>0.34587962962962959</v>
      </c>
      <c r="P75" s="50" t="s">
        <v>1020</v>
      </c>
      <c r="Q75" s="50" t="s">
        <v>1022</v>
      </c>
      <c r="R75" s="50" t="s">
        <v>1032</v>
      </c>
      <c r="S75" s="50" t="s">
        <v>1241</v>
      </c>
      <c r="T75" s="50">
        <v>-74700</v>
      </c>
      <c r="U75" s="50" t="s">
        <v>1024</v>
      </c>
      <c r="V75" s="50" t="s">
        <v>1228</v>
      </c>
      <c r="W75" s="50" t="s">
        <v>1242</v>
      </c>
      <c r="X75" s="86"/>
      <c r="Y75" s="6"/>
    </row>
    <row r="76" spans="1:25" x14ac:dyDescent="0.4">
      <c r="A76" s="4">
        <f t="shared" si="11"/>
        <v>202502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ca="1">H76-F76</f>
        <v>0</v>
      </c>
      <c r="H76" s="58">
        <f>SUMIFS($T$3:$T$233,$P$3:$P$233,"수입",$Q$3:$Q$233,C76)</f>
        <v>0</v>
      </c>
      <c r="I76" s="43">
        <f>H76-E76</f>
        <v>0</v>
      </c>
      <c r="N76" s="25">
        <v>45711</v>
      </c>
      <c r="O76" s="26">
        <v>0.34587962962962959</v>
      </c>
      <c r="P76" s="50" t="s">
        <v>1053</v>
      </c>
      <c r="Q76" s="50" t="s">
        <v>1053</v>
      </c>
      <c r="R76" s="50" t="s">
        <v>1054</v>
      </c>
      <c r="S76" s="50" t="s">
        <v>1232</v>
      </c>
      <c r="T76" s="50">
        <v>-80000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11"/>
        <v>202502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0</v>
      </c>
      <c r="G77" s="41">
        <f ca="1">H77-F77</f>
        <v>37887</v>
      </c>
      <c r="H77" s="58">
        <f>SUMIFS($T$3:$T$233,$P$3:$P$233,"수입",$Q$3:$Q$233,C77)</f>
        <v>37887</v>
      </c>
      <c r="I77" s="43">
        <f>H77-E77</f>
        <v>37887</v>
      </c>
      <c r="N77" s="25">
        <v>45711</v>
      </c>
      <c r="O77" s="26">
        <v>0.50215277777777778</v>
      </c>
      <c r="P77" s="50" t="s">
        <v>1020</v>
      </c>
      <c r="Q77" s="50" t="s">
        <v>1022</v>
      </c>
      <c r="R77" s="50" t="s">
        <v>1032</v>
      </c>
      <c r="S77" s="50" t="s">
        <v>1243</v>
      </c>
      <c r="T77" s="50">
        <v>-4000</v>
      </c>
      <c r="U77" s="50" t="s">
        <v>1024</v>
      </c>
      <c r="V77" s="50" t="s">
        <v>946</v>
      </c>
      <c r="W77" s="50"/>
      <c r="X77" s="86"/>
      <c r="Y77" s="6"/>
    </row>
    <row r="78" spans="1:25" x14ac:dyDescent="0.4">
      <c r="A78" s="4">
        <f t="shared" si="11"/>
        <v>202502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0</v>
      </c>
      <c r="G78" s="41">
        <f ca="1">H78-F78</f>
        <v>842001</v>
      </c>
      <c r="H78" s="58">
        <f>SUMIFS($T$3:$T$233,$P$3:$P$233,"수입",$Q$3:$Q$233,C78)</f>
        <v>842001</v>
      </c>
      <c r="I78" s="43">
        <f>H78-E78</f>
        <v>842001</v>
      </c>
      <c r="N78" s="25">
        <v>45711</v>
      </c>
      <c r="O78" s="26">
        <v>0.53787037037037033</v>
      </c>
      <c r="P78" s="50" t="s">
        <v>1020</v>
      </c>
      <c r="Q78" s="50" t="s">
        <v>1022</v>
      </c>
      <c r="R78" s="50" t="s">
        <v>1032</v>
      </c>
      <c r="S78" s="50" t="s">
        <v>1244</v>
      </c>
      <c r="T78" s="50">
        <v>-22000</v>
      </c>
      <c r="U78" s="50" t="s">
        <v>1024</v>
      </c>
      <c r="V78" s="50" t="s">
        <v>1025</v>
      </c>
      <c r="W78" s="50"/>
      <c r="X78" s="86"/>
      <c r="Y78" s="6"/>
    </row>
    <row r="79" spans="1:25" x14ac:dyDescent="0.4">
      <c r="A79" s="71" t="s">
        <v>14</v>
      </c>
      <c r="B79" s="72"/>
      <c r="C79" s="72"/>
      <c r="D79" s="73"/>
      <c r="E79" s="56">
        <f>SUM(E74:E78)</f>
        <v>5598199</v>
      </c>
      <c r="F79" s="57">
        <f ca="1">SUM(F74:F78)</f>
        <v>26107097</v>
      </c>
      <c r="G79" s="57">
        <f ca="1">SUM(G74:G78)</f>
        <v>-16736213</v>
      </c>
      <c r="H79" s="59">
        <f>SUM(H74:H78)</f>
        <v>9370884</v>
      </c>
      <c r="I79" s="43">
        <f>SUM(I74:I78)</f>
        <v>3772685</v>
      </c>
      <c r="N79" s="25">
        <v>45711</v>
      </c>
      <c r="O79" s="26">
        <v>0.55021990740740745</v>
      </c>
      <c r="P79" s="50" t="s">
        <v>1020</v>
      </c>
      <c r="Q79" s="50" t="s">
        <v>1022</v>
      </c>
      <c r="R79" s="50" t="s">
        <v>1032</v>
      </c>
      <c r="S79" s="50" t="s">
        <v>1245</v>
      </c>
      <c r="T79" s="50">
        <v>-6500</v>
      </c>
      <c r="U79" s="50" t="s">
        <v>1024</v>
      </c>
      <c r="V79" s="50" t="s">
        <v>1025</v>
      </c>
      <c r="W79" s="50"/>
      <c r="X79" s="86"/>
      <c r="Y79" s="6"/>
    </row>
    <row r="80" spans="1:25" x14ac:dyDescent="0.4">
      <c r="N80" s="25">
        <v>45711</v>
      </c>
      <c r="O80" s="26">
        <v>0.67967592592592596</v>
      </c>
      <c r="P80" s="50" t="s">
        <v>1020</v>
      </c>
      <c r="Q80" s="50" t="s">
        <v>1029</v>
      </c>
      <c r="R80" s="50" t="s">
        <v>1045</v>
      </c>
      <c r="S80" s="50" t="s">
        <v>1246</v>
      </c>
      <c r="T80" s="50">
        <v>-11000</v>
      </c>
      <c r="U80" s="50" t="s">
        <v>1024</v>
      </c>
      <c r="V80" s="50" t="s">
        <v>946</v>
      </c>
      <c r="W80" s="50" t="s">
        <v>1247</v>
      </c>
      <c r="X80" s="86"/>
      <c r="Y80" s="4"/>
    </row>
    <row r="81" spans="14:25" x14ac:dyDescent="0.4">
      <c r="N81" s="25">
        <v>45711</v>
      </c>
      <c r="O81" s="26">
        <v>0.69281250000000005</v>
      </c>
      <c r="P81" s="50" t="s">
        <v>1020</v>
      </c>
      <c r="Q81" s="50" t="s">
        <v>1022</v>
      </c>
      <c r="R81" s="50" t="s">
        <v>1032</v>
      </c>
      <c r="S81" s="50" t="s">
        <v>1248</v>
      </c>
      <c r="T81" s="50">
        <v>-7600</v>
      </c>
      <c r="U81" s="50" t="s">
        <v>1024</v>
      </c>
      <c r="V81" s="50" t="s">
        <v>1025</v>
      </c>
      <c r="W81" s="50"/>
      <c r="X81" s="86"/>
      <c r="Y81" s="4"/>
    </row>
    <row r="82" spans="14:25" x14ac:dyDescent="0.4">
      <c r="N82" s="25">
        <v>45711</v>
      </c>
      <c r="O82" s="26">
        <v>0.69800925925925927</v>
      </c>
      <c r="P82" s="50" t="s">
        <v>1020</v>
      </c>
      <c r="Q82" s="50" t="s">
        <v>1022</v>
      </c>
      <c r="R82" s="50" t="s">
        <v>1032</v>
      </c>
      <c r="S82" s="50" t="s">
        <v>1249</v>
      </c>
      <c r="T82" s="50">
        <v>-80550</v>
      </c>
      <c r="U82" s="50" t="s">
        <v>1024</v>
      </c>
      <c r="V82" s="50" t="s">
        <v>946</v>
      </c>
      <c r="W82" s="50" t="s">
        <v>1250</v>
      </c>
      <c r="X82" s="86"/>
      <c r="Y82" s="4"/>
    </row>
    <row r="83" spans="14:25" x14ac:dyDescent="0.4">
      <c r="N83" s="25">
        <v>45711</v>
      </c>
      <c r="O83" s="26">
        <v>0.73960648148148145</v>
      </c>
      <c r="P83" s="50" t="s">
        <v>1020</v>
      </c>
      <c r="Q83" s="50" t="s">
        <v>1022</v>
      </c>
      <c r="R83" s="50" t="s">
        <v>1032</v>
      </c>
      <c r="S83" s="50" t="s">
        <v>1249</v>
      </c>
      <c r="T83" s="50">
        <v>-28500</v>
      </c>
      <c r="U83" s="50" t="s">
        <v>1024</v>
      </c>
      <c r="V83" s="50" t="s">
        <v>1025</v>
      </c>
      <c r="W83" s="50" t="s">
        <v>1250</v>
      </c>
      <c r="X83" s="86"/>
      <c r="Y83" s="4"/>
    </row>
    <row r="84" spans="14:25" x14ac:dyDescent="0.4">
      <c r="N84" s="25">
        <v>45711</v>
      </c>
      <c r="O84" s="26">
        <v>0.78431712962962963</v>
      </c>
      <c r="P84" s="50" t="s">
        <v>1020</v>
      </c>
      <c r="Q84" s="50" t="s">
        <v>1022</v>
      </c>
      <c r="R84" s="50" t="s">
        <v>1032</v>
      </c>
      <c r="S84" s="50" t="s">
        <v>1251</v>
      </c>
      <c r="T84" s="50">
        <v>-3700</v>
      </c>
      <c r="U84" s="50" t="s">
        <v>1024</v>
      </c>
      <c r="V84" s="50" t="s">
        <v>1025</v>
      </c>
      <c r="W84" s="50"/>
      <c r="X84" s="86"/>
      <c r="Y84" s="4"/>
    </row>
    <row r="85" spans="14:25" x14ac:dyDescent="0.4">
      <c r="N85" s="25">
        <v>45712</v>
      </c>
      <c r="O85" s="26">
        <v>0.1238078703703704</v>
      </c>
      <c r="P85" s="50" t="s">
        <v>1073</v>
      </c>
      <c r="Q85" s="50" t="s">
        <v>1218</v>
      </c>
      <c r="R85" s="50" t="s">
        <v>1054</v>
      </c>
      <c r="S85" s="50" t="s">
        <v>1219</v>
      </c>
      <c r="T85" s="50">
        <v>2331</v>
      </c>
      <c r="U85" s="50" t="s">
        <v>1024</v>
      </c>
      <c r="V85" s="50" t="s">
        <v>1216</v>
      </c>
      <c r="W85" s="50"/>
      <c r="X85" s="86"/>
      <c r="Y85" s="4"/>
    </row>
    <row r="86" spans="14:25" x14ac:dyDescent="0.4">
      <c r="N86" s="25">
        <v>45712</v>
      </c>
      <c r="O86" s="26">
        <v>0.39428240740740739</v>
      </c>
      <c r="P86" s="50" t="s">
        <v>1020</v>
      </c>
      <c r="Q86" s="50" t="s">
        <v>1022</v>
      </c>
      <c r="R86" s="50" t="s">
        <v>1032</v>
      </c>
      <c r="S86" s="50" t="s">
        <v>1251</v>
      </c>
      <c r="T86" s="50">
        <v>-2400</v>
      </c>
      <c r="U86" s="50" t="s">
        <v>1024</v>
      </c>
      <c r="V86" s="50" t="s">
        <v>1025</v>
      </c>
      <c r="W86" s="50"/>
      <c r="X86" s="86"/>
      <c r="Y86" s="4"/>
    </row>
    <row r="87" spans="14:25" x14ac:dyDescent="0.4">
      <c r="N87" s="25">
        <v>45712</v>
      </c>
      <c r="O87" s="26">
        <v>0.46803240740740742</v>
      </c>
      <c r="P87" s="50" t="s">
        <v>1020</v>
      </c>
      <c r="Q87" s="50" t="s">
        <v>1022</v>
      </c>
      <c r="R87" s="50" t="s">
        <v>1032</v>
      </c>
      <c r="S87" s="50" t="s">
        <v>1252</v>
      </c>
      <c r="T87" s="50">
        <v>-14000</v>
      </c>
      <c r="U87" s="50" t="s">
        <v>1024</v>
      </c>
      <c r="V87" s="50" t="s">
        <v>946</v>
      </c>
      <c r="W87" s="50"/>
      <c r="X87" s="86"/>
      <c r="Y87" s="4"/>
    </row>
    <row r="88" spans="14:25" x14ac:dyDescent="0.4">
      <c r="N88" s="25">
        <v>45712</v>
      </c>
      <c r="O88" s="26">
        <v>0.56513888888888886</v>
      </c>
      <c r="P88" s="50" t="s">
        <v>1020</v>
      </c>
      <c r="Q88" s="50" t="s">
        <v>1026</v>
      </c>
      <c r="R88" s="50" t="s">
        <v>1105</v>
      </c>
      <c r="S88" s="50" t="s">
        <v>1105</v>
      </c>
      <c r="T88" s="50">
        <v>-211250</v>
      </c>
      <c r="U88" s="50" t="s">
        <v>1024</v>
      </c>
      <c r="V88" s="50" t="s">
        <v>1025</v>
      </c>
      <c r="W88" s="50"/>
      <c r="X88" s="86"/>
      <c r="Y88" s="4"/>
    </row>
    <row r="89" spans="14:25" x14ac:dyDescent="0.4">
      <c r="N89" s="25">
        <v>45712</v>
      </c>
      <c r="O89" s="26">
        <v>0.63423611111111111</v>
      </c>
      <c r="P89" s="50" t="s">
        <v>1020</v>
      </c>
      <c r="Q89" s="50" t="s">
        <v>1029</v>
      </c>
      <c r="R89" s="50" t="s">
        <v>1030</v>
      </c>
      <c r="S89" s="50" t="s">
        <v>1031</v>
      </c>
      <c r="T89" s="50">
        <v>-33200</v>
      </c>
      <c r="U89" s="50" t="s">
        <v>1024</v>
      </c>
      <c r="V89" s="50" t="s">
        <v>1025</v>
      </c>
      <c r="W89" s="50"/>
      <c r="X89" s="86"/>
      <c r="Y89" s="6"/>
    </row>
    <row r="90" spans="14:25" x14ac:dyDescent="0.4">
      <c r="N90" s="25">
        <v>45712</v>
      </c>
      <c r="O90" s="26">
        <v>0.8137847222222222</v>
      </c>
      <c r="P90" s="50" t="s">
        <v>1020</v>
      </c>
      <c r="Q90" s="50" t="s">
        <v>1026</v>
      </c>
      <c r="R90" s="50" t="s">
        <v>1115</v>
      </c>
      <c r="S90" s="50" t="s">
        <v>1253</v>
      </c>
      <c r="T90" s="50">
        <v>-14232</v>
      </c>
      <c r="U90" s="50" t="s">
        <v>1024</v>
      </c>
      <c r="V90" s="50" t="s">
        <v>1036</v>
      </c>
      <c r="W90" s="50"/>
      <c r="X90" s="86"/>
      <c r="Y90" s="6"/>
    </row>
    <row r="91" spans="14:25" x14ac:dyDescent="0.4">
      <c r="N91" s="25">
        <v>45713</v>
      </c>
      <c r="O91" s="26">
        <v>0.12686342592592589</v>
      </c>
      <c r="P91" s="50" t="s">
        <v>1073</v>
      </c>
      <c r="Q91" s="50" t="s">
        <v>1218</v>
      </c>
      <c r="R91" s="50" t="s">
        <v>1054</v>
      </c>
      <c r="S91" s="50" t="s">
        <v>1219</v>
      </c>
      <c r="T91" s="50">
        <v>2331</v>
      </c>
      <c r="U91" s="50" t="s">
        <v>1024</v>
      </c>
      <c r="V91" s="50" t="s">
        <v>1216</v>
      </c>
      <c r="W91" s="50"/>
      <c r="X91" s="86"/>
      <c r="Y91" s="6"/>
    </row>
    <row r="92" spans="14:25" x14ac:dyDescent="0.4">
      <c r="N92" s="25">
        <v>45713</v>
      </c>
      <c r="O92" s="26">
        <v>0.25327546296296288</v>
      </c>
      <c r="P92" s="50" t="s">
        <v>1073</v>
      </c>
      <c r="Q92" s="50" t="s">
        <v>1117</v>
      </c>
      <c r="R92" s="50" t="s">
        <v>1054</v>
      </c>
      <c r="S92" s="50" t="s">
        <v>1118</v>
      </c>
      <c r="T92" s="50">
        <v>8435797</v>
      </c>
      <c r="U92" s="50" t="s">
        <v>1024</v>
      </c>
      <c r="V92" s="50" t="s">
        <v>1036</v>
      </c>
      <c r="W92" s="50"/>
      <c r="X92" s="86"/>
      <c r="Y92" s="6"/>
    </row>
    <row r="93" spans="14:25" x14ac:dyDescent="0.4">
      <c r="N93" s="25">
        <v>45713</v>
      </c>
      <c r="O93" s="26">
        <v>0.4079861111111111</v>
      </c>
      <c r="P93" s="50" t="s">
        <v>1020</v>
      </c>
      <c r="Q93" s="50" t="s">
        <v>1026</v>
      </c>
      <c r="R93" s="50" t="s">
        <v>1141</v>
      </c>
      <c r="S93" s="50" t="s">
        <v>1142</v>
      </c>
      <c r="T93" s="50">
        <v>-130000</v>
      </c>
      <c r="U93" s="50" t="s">
        <v>1024</v>
      </c>
      <c r="V93" s="50" t="s">
        <v>1036</v>
      </c>
      <c r="W93" s="50"/>
      <c r="X93" s="86"/>
      <c r="Y93" s="6"/>
    </row>
    <row r="94" spans="14:25" x14ac:dyDescent="0.4">
      <c r="N94" s="25">
        <v>45713</v>
      </c>
      <c r="O94" s="26">
        <v>0.4079861111111111</v>
      </c>
      <c r="P94" s="50" t="s">
        <v>1020</v>
      </c>
      <c r="Q94" s="50" t="s">
        <v>1026</v>
      </c>
      <c r="R94" s="50" t="s">
        <v>1139</v>
      </c>
      <c r="S94" s="50" t="s">
        <v>1140</v>
      </c>
      <c r="T94" s="50">
        <v>-100000</v>
      </c>
      <c r="U94" s="50" t="s">
        <v>1024</v>
      </c>
      <c r="V94" s="50" t="s">
        <v>1036</v>
      </c>
      <c r="W94" s="50"/>
      <c r="X94" s="86"/>
      <c r="Y94" s="6"/>
    </row>
    <row r="95" spans="14:25" x14ac:dyDescent="0.4">
      <c r="N95" s="25">
        <v>45713</v>
      </c>
      <c r="O95" s="26">
        <v>0.42033564814814822</v>
      </c>
      <c r="P95" s="50" t="s">
        <v>1020</v>
      </c>
      <c r="Q95" s="50" t="s">
        <v>1026</v>
      </c>
      <c r="R95" s="50" t="s">
        <v>1137</v>
      </c>
      <c r="S95" s="50" t="s">
        <v>1138</v>
      </c>
      <c r="T95" s="50">
        <v>-100000</v>
      </c>
      <c r="U95" s="50" t="s">
        <v>1024</v>
      </c>
      <c r="V95" s="50" t="s">
        <v>1036</v>
      </c>
      <c r="W95" s="50"/>
      <c r="X95" s="86"/>
      <c r="Y95" s="6"/>
    </row>
    <row r="96" spans="14:25" x14ac:dyDescent="0.4">
      <c r="N96" s="25">
        <v>45713</v>
      </c>
      <c r="O96" s="26">
        <v>0.49813657407407408</v>
      </c>
      <c r="P96" s="50" t="s">
        <v>1053</v>
      </c>
      <c r="Q96" s="50" t="s">
        <v>1054</v>
      </c>
      <c r="R96" s="50" t="s">
        <v>1054</v>
      </c>
      <c r="S96" s="50" t="s">
        <v>1254</v>
      </c>
      <c r="T96" s="50">
        <v>-12000000</v>
      </c>
      <c r="U96" s="50" t="s">
        <v>1024</v>
      </c>
      <c r="V96" s="50" t="s">
        <v>1036</v>
      </c>
      <c r="W96" s="50"/>
      <c r="X96" s="86"/>
      <c r="Y96" s="6"/>
    </row>
    <row r="97" spans="14:25" x14ac:dyDescent="0.4">
      <c r="N97" s="25">
        <v>45713</v>
      </c>
      <c r="O97" s="26">
        <v>0.67262731481481486</v>
      </c>
      <c r="P97" s="50" t="s">
        <v>1020</v>
      </c>
      <c r="Q97" s="50" t="s">
        <v>1026</v>
      </c>
      <c r="R97" s="50" t="s">
        <v>1115</v>
      </c>
      <c r="S97" s="50" t="s">
        <v>1136</v>
      </c>
      <c r="T97" s="50">
        <v>-62690</v>
      </c>
      <c r="U97" s="50" t="s">
        <v>1024</v>
      </c>
      <c r="V97" s="50" t="s">
        <v>1025</v>
      </c>
      <c r="W97" s="50"/>
      <c r="X97" s="86"/>
      <c r="Y97" s="6"/>
    </row>
    <row r="98" spans="14:25" x14ac:dyDescent="0.4">
      <c r="N98" s="25">
        <v>45713</v>
      </c>
      <c r="O98" s="26">
        <v>0.81428240740740743</v>
      </c>
      <c r="P98" s="50" t="s">
        <v>1020</v>
      </c>
      <c r="Q98" s="50" t="s">
        <v>1026</v>
      </c>
      <c r="R98" s="50" t="s">
        <v>1115</v>
      </c>
      <c r="S98" s="50" t="s">
        <v>1255</v>
      </c>
      <c r="T98" s="50">
        <v>-204727</v>
      </c>
      <c r="U98" s="50" t="s">
        <v>1024</v>
      </c>
      <c r="V98" s="50" t="s">
        <v>1036</v>
      </c>
      <c r="W98" s="50"/>
      <c r="X98" s="86"/>
      <c r="Y98" s="6"/>
    </row>
    <row r="99" spans="14:25" x14ac:dyDescent="0.4">
      <c r="N99" s="25">
        <v>45713</v>
      </c>
      <c r="O99" s="26">
        <v>0.82710648148148147</v>
      </c>
      <c r="P99" s="50" t="s">
        <v>1020</v>
      </c>
      <c r="Q99" s="50" t="s">
        <v>1148</v>
      </c>
      <c r="R99" s="50" t="s">
        <v>1149</v>
      </c>
      <c r="S99" s="50" t="s">
        <v>1150</v>
      </c>
      <c r="T99" s="50">
        <v>-751123</v>
      </c>
      <c r="U99" s="50" t="s">
        <v>1024</v>
      </c>
      <c r="V99" s="50" t="s">
        <v>1036</v>
      </c>
      <c r="W99" s="50"/>
      <c r="X99" s="86"/>
      <c r="Y99" s="6"/>
    </row>
    <row r="100" spans="14:25" x14ac:dyDescent="0.4">
      <c r="N100" s="25">
        <v>45713</v>
      </c>
      <c r="O100" s="26">
        <v>0.92388888888888887</v>
      </c>
      <c r="P100" s="50" t="s">
        <v>1053</v>
      </c>
      <c r="Q100" s="50" t="s">
        <v>1053</v>
      </c>
      <c r="R100" s="50" t="s">
        <v>1054</v>
      </c>
      <c r="S100" s="50" t="s">
        <v>1217</v>
      </c>
      <c r="T100" s="50">
        <v>3000000</v>
      </c>
      <c r="U100" s="50" t="s">
        <v>1024</v>
      </c>
      <c r="V100" s="50" t="s">
        <v>1214</v>
      </c>
      <c r="W100" s="50"/>
      <c r="X100" s="86"/>
      <c r="Y100" s="6"/>
    </row>
    <row r="101" spans="14:25" x14ac:dyDescent="0.4">
      <c r="N101" s="25">
        <v>45713</v>
      </c>
      <c r="O101" s="26">
        <v>0.92388888888888887</v>
      </c>
      <c r="P101" s="50" t="s">
        <v>1053</v>
      </c>
      <c r="Q101" s="50" t="s">
        <v>1053</v>
      </c>
      <c r="R101" s="50" t="s">
        <v>1054</v>
      </c>
      <c r="S101" s="50" t="s">
        <v>1256</v>
      </c>
      <c r="T101" s="50">
        <v>-3000000</v>
      </c>
      <c r="U101" s="50" t="s">
        <v>1024</v>
      </c>
      <c r="V101" s="50" t="s">
        <v>1216</v>
      </c>
      <c r="W101" s="50"/>
      <c r="X101" s="86"/>
      <c r="Y101" s="6"/>
    </row>
    <row r="102" spans="14:25" x14ac:dyDescent="0.4">
      <c r="N102" s="25">
        <v>45713</v>
      </c>
      <c r="O102" s="26">
        <v>0.92406250000000001</v>
      </c>
      <c r="P102" s="50" t="s">
        <v>1053</v>
      </c>
      <c r="Q102" s="50" t="s">
        <v>1053</v>
      </c>
      <c r="R102" s="50" t="s">
        <v>1054</v>
      </c>
      <c r="S102" s="50" t="s">
        <v>1103</v>
      </c>
      <c r="T102" s="50">
        <v>-3000000</v>
      </c>
      <c r="U102" s="50" t="s">
        <v>1024</v>
      </c>
      <c r="V102" s="50" t="s">
        <v>1214</v>
      </c>
      <c r="W102" s="50"/>
      <c r="X102" s="86"/>
      <c r="Y102" s="6"/>
    </row>
    <row r="103" spans="14:25" x14ac:dyDescent="0.4">
      <c r="N103" s="25">
        <v>45713</v>
      </c>
      <c r="O103" s="26">
        <v>0.92406250000000001</v>
      </c>
      <c r="P103" s="50" t="s">
        <v>1053</v>
      </c>
      <c r="Q103" s="50" t="s">
        <v>1053</v>
      </c>
      <c r="R103" s="50" t="s">
        <v>1054</v>
      </c>
      <c r="S103" s="50" t="s">
        <v>1103</v>
      </c>
      <c r="T103" s="50">
        <v>3000000</v>
      </c>
      <c r="U103" s="50" t="s">
        <v>1024</v>
      </c>
      <c r="V103" s="50" t="s">
        <v>1036</v>
      </c>
      <c r="W103" s="50"/>
      <c r="X103" s="86"/>
      <c r="Y103" s="6"/>
    </row>
    <row r="104" spans="14:25" x14ac:dyDescent="0.4">
      <c r="N104" s="25">
        <v>45714</v>
      </c>
      <c r="O104" s="26">
        <v>0.1308101851851852</v>
      </c>
      <c r="P104" s="50" t="s">
        <v>1073</v>
      </c>
      <c r="Q104" s="50" t="s">
        <v>1218</v>
      </c>
      <c r="R104" s="50" t="s">
        <v>1054</v>
      </c>
      <c r="S104" s="50" t="s">
        <v>1219</v>
      </c>
      <c r="T104" s="50">
        <v>2186</v>
      </c>
      <c r="U104" s="50" t="s">
        <v>1024</v>
      </c>
      <c r="V104" s="50" t="s">
        <v>1216</v>
      </c>
      <c r="W104" s="50"/>
      <c r="X104" s="86"/>
      <c r="Y104" s="6"/>
    </row>
    <row r="105" spans="14:25" x14ac:dyDescent="0.4">
      <c r="N105" s="25">
        <v>45714</v>
      </c>
      <c r="O105" s="26">
        <v>0.73137731481481483</v>
      </c>
      <c r="P105" s="4" t="s">
        <v>1073</v>
      </c>
      <c r="Q105" s="4" t="s">
        <v>1047</v>
      </c>
      <c r="R105" s="4" t="s">
        <v>1054</v>
      </c>
      <c r="S105" s="4" t="s">
        <v>1195</v>
      </c>
      <c r="T105" s="4">
        <v>100000</v>
      </c>
      <c r="U105" s="4" t="s">
        <v>1024</v>
      </c>
      <c r="V105" s="4" t="s">
        <v>1036</v>
      </c>
      <c r="W105" s="4" t="s">
        <v>1257</v>
      </c>
      <c r="X105" s="6"/>
      <c r="Y105" s="6"/>
    </row>
    <row r="106" spans="14:25" x14ac:dyDescent="0.4">
      <c r="N106" s="25">
        <v>45714</v>
      </c>
      <c r="O106" s="26">
        <v>0.7757060185185185</v>
      </c>
      <c r="P106" s="4" t="s">
        <v>1020</v>
      </c>
      <c r="Q106" s="4" t="s">
        <v>1029</v>
      </c>
      <c r="R106" s="4" t="s">
        <v>1030</v>
      </c>
      <c r="S106" s="4" t="s">
        <v>1258</v>
      </c>
      <c r="T106" s="4">
        <v>-1980</v>
      </c>
      <c r="U106" s="4" t="s">
        <v>1024</v>
      </c>
      <c r="V106" s="4" t="s">
        <v>1125</v>
      </c>
      <c r="W106" s="4" t="s">
        <v>1259</v>
      </c>
      <c r="X106" s="6"/>
      <c r="Y106" s="6"/>
    </row>
    <row r="107" spans="14:25" x14ac:dyDescent="0.4">
      <c r="N107" s="25">
        <v>45714</v>
      </c>
      <c r="O107" s="26">
        <v>0.80186342592592597</v>
      </c>
      <c r="P107" s="4" t="s">
        <v>1020</v>
      </c>
      <c r="Q107" s="4" t="s">
        <v>1148</v>
      </c>
      <c r="R107" s="4" t="s">
        <v>1149</v>
      </c>
      <c r="S107" s="4" t="s">
        <v>1150</v>
      </c>
      <c r="T107" s="4">
        <v>-143758</v>
      </c>
      <c r="U107" s="4" t="s">
        <v>1024</v>
      </c>
      <c r="V107" s="4" t="s">
        <v>1036</v>
      </c>
      <c r="W107" s="4"/>
      <c r="X107" s="6"/>
      <c r="Y107" s="6"/>
    </row>
    <row r="108" spans="14:25" x14ac:dyDescent="0.4">
      <c r="N108" s="25">
        <v>45715</v>
      </c>
      <c r="O108" s="26">
        <v>0.12973379629629631</v>
      </c>
      <c r="P108" s="4" t="s">
        <v>1073</v>
      </c>
      <c r="Q108" s="4" t="s">
        <v>1218</v>
      </c>
      <c r="R108" s="4" t="s">
        <v>1054</v>
      </c>
      <c r="S108" s="4" t="s">
        <v>1219</v>
      </c>
      <c r="T108" s="4">
        <v>2186</v>
      </c>
      <c r="U108" s="4" t="s">
        <v>1024</v>
      </c>
      <c r="V108" s="4" t="s">
        <v>1216</v>
      </c>
      <c r="W108" s="4"/>
      <c r="X108" s="6"/>
      <c r="Y108" s="6"/>
    </row>
    <row r="109" spans="14:25" x14ac:dyDescent="0.4">
      <c r="N109" s="25">
        <v>45715</v>
      </c>
      <c r="O109" s="26">
        <v>0.45704861111111111</v>
      </c>
      <c r="P109" s="4" t="s">
        <v>1020</v>
      </c>
      <c r="Q109" s="4" t="s">
        <v>1047</v>
      </c>
      <c r="R109" s="4" t="s">
        <v>1086</v>
      </c>
      <c r="S109" s="4" t="s">
        <v>1260</v>
      </c>
      <c r="T109" s="4">
        <v>-2329000</v>
      </c>
      <c r="U109" s="4" t="s">
        <v>1024</v>
      </c>
      <c r="V109" s="4" t="s">
        <v>1025</v>
      </c>
      <c r="W109" s="4"/>
      <c r="X109" s="6"/>
      <c r="Y109" s="6"/>
    </row>
    <row r="110" spans="14:25" x14ac:dyDescent="0.4">
      <c r="N110" s="25">
        <v>45715</v>
      </c>
      <c r="O110" s="26">
        <v>0.8288888888888889</v>
      </c>
      <c r="P110" s="4" t="s">
        <v>1073</v>
      </c>
      <c r="Q110" s="4" t="s">
        <v>1047</v>
      </c>
      <c r="R110" s="4" t="s">
        <v>1054</v>
      </c>
      <c r="S110" s="4" t="s">
        <v>1261</v>
      </c>
      <c r="T110" s="4">
        <v>1</v>
      </c>
      <c r="U110" s="4" t="s">
        <v>1024</v>
      </c>
      <c r="V110" s="4" t="s">
        <v>1036</v>
      </c>
      <c r="W110" s="4"/>
      <c r="X110" s="6"/>
      <c r="Y110" s="6"/>
    </row>
    <row r="111" spans="14:25" x14ac:dyDescent="0.4">
      <c r="N111" s="25">
        <v>45716</v>
      </c>
      <c r="O111" s="26">
        <v>0.13068287037037041</v>
      </c>
      <c r="P111" s="4" t="s">
        <v>1073</v>
      </c>
      <c r="Q111" s="4" t="s">
        <v>1218</v>
      </c>
      <c r="R111" s="4" t="s">
        <v>1054</v>
      </c>
      <c r="S111" s="4" t="s">
        <v>1219</v>
      </c>
      <c r="T111" s="4">
        <v>2187</v>
      </c>
      <c r="U111" s="4" t="s">
        <v>1024</v>
      </c>
      <c r="V111" s="4" t="s">
        <v>1216</v>
      </c>
      <c r="W111" s="4"/>
      <c r="X111" s="6"/>
      <c r="Y111" s="6"/>
    </row>
    <row r="112" spans="14:25" x14ac:dyDescent="0.4">
      <c r="N112" s="25">
        <v>45716</v>
      </c>
      <c r="O112" s="26">
        <v>0.31160879629629629</v>
      </c>
      <c r="P112" s="4" t="s">
        <v>1020</v>
      </c>
      <c r="Q112" s="4" t="s">
        <v>1047</v>
      </c>
      <c r="R112" s="4" t="s">
        <v>1048</v>
      </c>
      <c r="S112" s="4" t="s">
        <v>1262</v>
      </c>
      <c r="T112" s="4">
        <v>-50000</v>
      </c>
      <c r="U112" s="4" t="s">
        <v>1024</v>
      </c>
      <c r="V112" s="4" t="s">
        <v>1079</v>
      </c>
      <c r="W112" s="4" t="s">
        <v>1263</v>
      </c>
      <c r="X112" s="6"/>
      <c r="Y112" s="6"/>
    </row>
    <row r="113" spans="14:25" x14ac:dyDescent="0.4">
      <c r="N113" s="25">
        <v>45716</v>
      </c>
      <c r="O113" s="26">
        <v>0.49619212962962961</v>
      </c>
      <c r="P113" s="4" t="s">
        <v>1053</v>
      </c>
      <c r="Q113" s="4" t="s">
        <v>1053</v>
      </c>
      <c r="R113" s="4" t="s">
        <v>1054</v>
      </c>
      <c r="S113" s="4" t="s">
        <v>1092</v>
      </c>
      <c r="T113" s="4">
        <v>100000</v>
      </c>
      <c r="U113" s="4" t="s">
        <v>1024</v>
      </c>
      <c r="V113" s="4" t="s">
        <v>1079</v>
      </c>
      <c r="W113" s="4"/>
      <c r="X113" s="6"/>
      <c r="Y113" s="6"/>
    </row>
    <row r="114" spans="14:25" x14ac:dyDescent="0.4">
      <c r="N114" s="25">
        <v>45716</v>
      </c>
      <c r="O114" s="26">
        <v>0.4962037037037037</v>
      </c>
      <c r="P114" s="4" t="s">
        <v>1053</v>
      </c>
      <c r="Q114" s="4" t="s">
        <v>1053</v>
      </c>
      <c r="R114" s="4" t="s">
        <v>1054</v>
      </c>
      <c r="S114" s="4" t="s">
        <v>1091</v>
      </c>
      <c r="T114" s="4">
        <v>-100000</v>
      </c>
      <c r="U114" s="4" t="s">
        <v>1024</v>
      </c>
      <c r="V114" s="4" t="s">
        <v>1036</v>
      </c>
      <c r="W114" s="4"/>
      <c r="X114" s="6"/>
      <c r="Y114" s="6"/>
    </row>
    <row r="115" spans="14:25" x14ac:dyDescent="0.4">
      <c r="N115" s="25">
        <v>45716</v>
      </c>
      <c r="O115" s="26">
        <v>0.6985069444444445</v>
      </c>
      <c r="P115" s="4" t="s">
        <v>1020</v>
      </c>
      <c r="Q115" s="4" t="s">
        <v>1029</v>
      </c>
      <c r="R115" s="4" t="s">
        <v>1070</v>
      </c>
      <c r="S115" s="4" t="s">
        <v>1264</v>
      </c>
      <c r="T115" s="4">
        <v>-12000</v>
      </c>
      <c r="U115" s="4" t="s">
        <v>1024</v>
      </c>
      <c r="V115" s="4" t="s">
        <v>1036</v>
      </c>
      <c r="W115" s="4" t="s">
        <v>1265</v>
      </c>
      <c r="X115" s="6"/>
      <c r="Y115" s="6"/>
    </row>
    <row r="116" spans="14:25" x14ac:dyDescent="0.4">
      <c r="N116" s="25">
        <v>45716</v>
      </c>
      <c r="O116" s="26">
        <v>0.75840277777777776</v>
      </c>
      <c r="P116" s="4" t="s">
        <v>1020</v>
      </c>
      <c r="Q116" s="4" t="s">
        <v>1029</v>
      </c>
      <c r="R116" s="4" t="s">
        <v>1030</v>
      </c>
      <c r="S116" s="4" t="s">
        <v>1266</v>
      </c>
      <c r="T116" s="4">
        <v>-2000</v>
      </c>
      <c r="U116" s="4" t="s">
        <v>1024</v>
      </c>
      <c r="V116" s="4" t="s">
        <v>1125</v>
      </c>
      <c r="W116" s="4"/>
      <c r="X116" s="6"/>
      <c r="Y116" s="6"/>
    </row>
    <row r="117" spans="14:25" x14ac:dyDescent="0.4">
      <c r="N117" s="25">
        <v>45716</v>
      </c>
      <c r="O117" s="26">
        <v>0.90449074074074076</v>
      </c>
      <c r="P117" s="4" t="s">
        <v>1020</v>
      </c>
      <c r="Q117" s="4" t="s">
        <v>1029</v>
      </c>
      <c r="R117" s="4" t="s">
        <v>1045</v>
      </c>
      <c r="S117" s="4" t="s">
        <v>1267</v>
      </c>
      <c r="T117" s="4">
        <v>-21860</v>
      </c>
      <c r="U117" s="4" t="s">
        <v>1024</v>
      </c>
      <c r="V117" s="4" t="s">
        <v>1228</v>
      </c>
      <c r="W117" s="4"/>
      <c r="X117" s="6"/>
      <c r="Y117" s="6"/>
    </row>
    <row r="118" spans="14:25" x14ac:dyDescent="0.4">
      <c r="N118" s="25">
        <v>45716</v>
      </c>
      <c r="O118" s="26">
        <v>0.90451388888888884</v>
      </c>
      <c r="P118" s="4" t="s">
        <v>1053</v>
      </c>
      <c r="Q118" s="4" t="s">
        <v>1053</v>
      </c>
      <c r="R118" s="4" t="s">
        <v>1054</v>
      </c>
      <c r="S118" s="4" t="s">
        <v>1230</v>
      </c>
      <c r="T118" s="4">
        <v>30000</v>
      </c>
      <c r="U118" s="4" t="s">
        <v>1024</v>
      </c>
      <c r="V118" s="4" t="s">
        <v>1231</v>
      </c>
      <c r="W118" s="4"/>
      <c r="X118" s="6"/>
      <c r="Y118" s="6"/>
    </row>
    <row r="119" spans="14:25" x14ac:dyDescent="0.4">
      <c r="N119" s="25">
        <v>45716</v>
      </c>
      <c r="O119" s="26">
        <v>0.90451388888888884</v>
      </c>
      <c r="P119" s="4" t="s">
        <v>1053</v>
      </c>
      <c r="Q119" s="4" t="s">
        <v>1053</v>
      </c>
      <c r="R119" s="4" t="s">
        <v>1054</v>
      </c>
      <c r="S119" s="4" t="s">
        <v>1232</v>
      </c>
      <c r="T119" s="4">
        <v>-30000</v>
      </c>
      <c r="U119" s="4" t="s">
        <v>1024</v>
      </c>
      <c r="V119" s="4" t="s">
        <v>1036</v>
      </c>
      <c r="W119" s="4"/>
      <c r="X119" s="6"/>
      <c r="Y119" s="6"/>
    </row>
    <row r="120" spans="14:25" x14ac:dyDescent="0.4">
      <c r="N120" s="25">
        <v>45717</v>
      </c>
      <c r="O120" s="26">
        <v>0.13719907407407411</v>
      </c>
      <c r="P120" s="4" t="s">
        <v>1073</v>
      </c>
      <c r="Q120" s="4" t="s">
        <v>1218</v>
      </c>
      <c r="R120" s="4" t="s">
        <v>1054</v>
      </c>
      <c r="S120" s="4" t="s">
        <v>1219</v>
      </c>
      <c r="T120" s="4">
        <v>2187</v>
      </c>
      <c r="U120" s="4" t="s">
        <v>1024</v>
      </c>
      <c r="V120" s="4" t="s">
        <v>1216</v>
      </c>
      <c r="W120" s="4"/>
      <c r="X120" s="6"/>
      <c r="Y120" s="6"/>
    </row>
    <row r="121" spans="14:25" x14ac:dyDescent="0.4">
      <c r="N121" s="25"/>
      <c r="O121" s="26"/>
      <c r="P121" s="4"/>
      <c r="Q121" s="4"/>
      <c r="R121" s="4"/>
      <c r="S121" s="4"/>
      <c r="T121" s="4"/>
      <c r="U121" s="4"/>
      <c r="V121" s="4"/>
      <c r="W121" s="4"/>
      <c r="X121" s="6"/>
      <c r="Y121" s="6"/>
    </row>
    <row r="122" spans="14:25" x14ac:dyDescent="0.4">
      <c r="N122" s="25"/>
      <c r="O122" s="26"/>
      <c r="P122" s="4"/>
      <c r="Q122" s="4"/>
      <c r="R122" s="4"/>
      <c r="S122" s="4"/>
      <c r="T122" s="4"/>
      <c r="U122" s="4"/>
      <c r="V122" s="4"/>
      <c r="W122" s="4"/>
      <c r="X122" s="6"/>
      <c r="Y122" s="6"/>
    </row>
    <row r="123" spans="14:25" x14ac:dyDescent="0.4">
      <c r="N123" s="25"/>
      <c r="O123" s="26"/>
      <c r="P123" s="4"/>
      <c r="Q123" s="4"/>
      <c r="R123" s="4"/>
      <c r="S123" s="4"/>
      <c r="T123" s="4"/>
      <c r="U123" s="4"/>
      <c r="V123" s="4"/>
      <c r="W123" s="4"/>
      <c r="X123" s="6"/>
      <c r="Y123" s="6"/>
    </row>
    <row r="124" spans="14:25" x14ac:dyDescent="0.4">
      <c r="N124" s="25"/>
      <c r="O124" s="26"/>
      <c r="P124" s="4"/>
      <c r="Q124" s="4"/>
      <c r="R124" s="4"/>
      <c r="S124" s="4"/>
      <c r="T124" s="4"/>
      <c r="U124" s="4"/>
      <c r="V124" s="4"/>
      <c r="W124" s="4"/>
      <c r="X124" s="6"/>
      <c r="Y124" s="6"/>
    </row>
    <row r="125" spans="14:25" x14ac:dyDescent="0.4">
      <c r="N125" s="25"/>
      <c r="O125" s="26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25"/>
      <c r="O126" s="26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25"/>
      <c r="O127" s="26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25"/>
      <c r="O128" s="26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25"/>
      <c r="O129" s="26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25"/>
      <c r="O130" s="26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25"/>
      <c r="O131" s="26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25"/>
      <c r="O132" s="26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25"/>
      <c r="O133" s="26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25"/>
      <c r="O134" s="26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25"/>
      <c r="O135" s="26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25"/>
      <c r="O136" s="26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25"/>
      <c r="O137" s="26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25"/>
      <c r="O138" s="26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25"/>
      <c r="O139" s="26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25"/>
      <c r="O140" s="26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25"/>
      <c r="O141" s="26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25"/>
      <c r="O142" s="26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25"/>
      <c r="O143" s="26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25"/>
      <c r="O144" s="26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25"/>
      <c r="O145" s="26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25"/>
      <c r="O146" s="26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25"/>
      <c r="O147" s="26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25"/>
      <c r="O148" s="26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25"/>
      <c r="O149" s="26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25"/>
      <c r="O150" s="26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25"/>
      <c r="O151" s="26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25"/>
      <c r="O152" s="26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25"/>
      <c r="O153" s="26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25"/>
      <c r="O154" s="26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25"/>
      <c r="O155" s="26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25"/>
      <c r="O156" s="26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25"/>
      <c r="O157" s="26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25"/>
      <c r="O158" s="26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25"/>
      <c r="O159" s="26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25"/>
      <c r="O160" s="26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25"/>
      <c r="O161" s="26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25"/>
      <c r="O162" s="26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25"/>
      <c r="O163" s="26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25"/>
      <c r="O164" s="26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25"/>
      <c r="O165" s="26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25"/>
      <c r="O166" s="26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25"/>
      <c r="O167" s="26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25"/>
      <c r="O168" s="26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25"/>
      <c r="O169" s="26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25"/>
      <c r="O170" s="26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25"/>
      <c r="O171" s="26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25"/>
      <c r="O172" s="26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25"/>
      <c r="O173" s="26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25"/>
      <c r="O174" s="26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25"/>
      <c r="O175" s="26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25"/>
      <c r="O176" s="26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25"/>
      <c r="O177" s="26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25"/>
      <c r="O178" s="26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25"/>
      <c r="O179" s="26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25"/>
      <c r="O180" s="26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25"/>
      <c r="O181" s="26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25"/>
      <c r="O182" s="26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25"/>
      <c r="O183" s="26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25"/>
      <c r="O184" s="26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25"/>
      <c r="O185" s="26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25"/>
      <c r="O186" s="26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25"/>
      <c r="O187" s="26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25"/>
      <c r="O188" s="26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25"/>
      <c r="O189" s="26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25"/>
      <c r="O190" s="26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25"/>
      <c r="O191" s="26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25"/>
      <c r="O192" s="26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25"/>
      <c r="O193" s="26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25"/>
      <c r="O194" s="26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25"/>
      <c r="O195" s="26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25"/>
      <c r="O196" s="26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25"/>
      <c r="O197" s="26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25"/>
      <c r="O198" s="26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25"/>
      <c r="O199" s="26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25"/>
      <c r="O200" s="26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25"/>
      <c r="O201" s="26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25"/>
      <c r="O202" s="26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25"/>
      <c r="O203" s="26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25"/>
      <c r="O204" s="26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25"/>
      <c r="O205" s="26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25"/>
      <c r="O206" s="26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25"/>
      <c r="O207" s="26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25"/>
      <c r="O208" s="26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25"/>
      <c r="O209" s="26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25"/>
      <c r="O210" s="26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25"/>
      <c r="O211" s="26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25"/>
      <c r="O212" s="26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25"/>
      <c r="O213" s="26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25"/>
      <c r="O214" s="26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25"/>
      <c r="O215" s="26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25"/>
      <c r="O216" s="26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25"/>
      <c r="O217" s="26"/>
      <c r="P217" s="4"/>
      <c r="Q217" s="4"/>
      <c r="R217" s="4"/>
      <c r="S217" s="4"/>
      <c r="T217" s="4"/>
      <c r="U217" s="4"/>
      <c r="V217" s="4"/>
      <c r="W217" s="4"/>
      <c r="X217" s="6"/>
      <c r="Y217" s="6"/>
    </row>
  </sheetData>
  <autoFilter ref="N2:Y104" xr:uid="{11B47028-C17C-47C6-A882-4705ECF29BE6}"/>
  <mergeCells count="3">
    <mergeCell ref="O1:P1"/>
    <mergeCell ref="A19:D19"/>
    <mergeCell ref="I20:J20"/>
  </mergeCells>
  <phoneticPr fontId="2" type="noConversion"/>
  <conditionalFormatting sqref="G74:G79 I74:I79">
    <cfRule type="cellIs" dxfId="95" priority="1" operator="lessThan">
      <formula>0</formula>
    </cfRule>
    <cfRule type="cellIs" dxfId="94" priority="2" operator="greaterThan">
      <formula>0</formula>
    </cfRule>
  </conditionalFormatting>
  <conditionalFormatting sqref="I3:I18">
    <cfRule type="cellIs" dxfId="93" priority="4" operator="greaterThan">
      <formula>0</formula>
    </cfRule>
    <cfRule type="cellIs" dxfId="92" priority="5" operator="lessThan">
      <formula>0</formula>
    </cfRule>
  </conditionalFormatting>
  <conditionalFormatting sqref="K6:K20">
    <cfRule type="cellIs" dxfId="91" priority="3" operator="lessThan">
      <formula>0</formula>
    </cfRule>
  </conditionalFormatting>
  <conditionalFormatting sqref="L3:L20">
    <cfRule type="cellIs" dxfId="90" priority="6" operator="greaterThan">
      <formula>1</formula>
    </cfRule>
    <cfRule type="cellIs" dxfId="89" priority="7" operator="equal">
      <formula>1</formula>
    </cfRule>
    <cfRule type="cellIs" dxfId="88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CEB3-BEE5-4978-B5D7-4626D1B1186B}">
  <dimension ref="A1:Y217"/>
  <sheetViews>
    <sheetView zoomScale="80" zoomScaleNormal="80" workbookViewId="0">
      <pane ySplit="2" topLeftCell="A34" activePane="bottomLeft" state="frozen"/>
      <selection activeCell="E1" sqref="E1"/>
      <selection pane="bottomLeft" activeCell="I65" sqref="I65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1.3984375" bestFit="1" customWidth="1"/>
    <col min="6" max="6" width="12.3984375" bestFit="1" customWidth="1"/>
    <col min="7" max="7" width="13.09765625" bestFit="1" customWidth="1"/>
    <col min="8" max="8" width="12.09765625" bestFit="1" customWidth="1"/>
    <col min="9" max="9" width="12.8984375" bestFit="1" customWidth="1"/>
    <col min="10" max="10" width="11.8984375" customWidth="1"/>
    <col min="11" max="11" width="11.69921875" bestFit="1" customWidth="1"/>
    <col min="12" max="12" width="8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202502</v>
      </c>
      <c r="K1" s="46" t="s">
        <v>923</v>
      </c>
      <c r="L1" s="46">
        <v>202503</v>
      </c>
      <c r="N1" s="27" t="s">
        <v>950</v>
      </c>
      <c r="O1" s="133">
        <f>SUMIF(P3:P233,"지출",T3:T233)</f>
        <v>-3807369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202503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-894856</v>
      </c>
      <c r="I3" s="41">
        <f ca="1">J3-H3</f>
        <v>33922</v>
      </c>
      <c r="J3" s="43">
        <f>VLOOKUP(A3,대출!$B$4:$G$363,3,FALSE)*-1</f>
        <v>-860934</v>
      </c>
      <c r="K3" s="43">
        <f>G3+J3</f>
        <v>39066</v>
      </c>
      <c r="L3" s="24">
        <f>IF(G3=0,0,-J3/G3)</f>
        <v>0.9565933333333333</v>
      </c>
      <c r="N3" s="25">
        <v>45717</v>
      </c>
      <c r="O3" s="26">
        <v>0.13719907407407411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2187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202503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SUMIFS($T$3:$T$233,$P$3:$P$233,"지출",$Q$3:$Q$233,C4,$R$3:$R$233,D4)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45717</v>
      </c>
      <c r="O4" s="26">
        <v>0.37614583333333329</v>
      </c>
      <c r="P4" s="50" t="s">
        <v>1020</v>
      </c>
      <c r="Q4" s="50" t="s">
        <v>1029</v>
      </c>
      <c r="R4" s="50" t="s">
        <v>1070</v>
      </c>
      <c r="S4" s="50" t="s">
        <v>1071</v>
      </c>
      <c r="T4" s="50">
        <v>-26300</v>
      </c>
      <c r="U4" s="50" t="s">
        <v>1024</v>
      </c>
      <c r="V4" s="50" t="s">
        <v>1025</v>
      </c>
      <c r="W4" s="50" t="s">
        <v>1269</v>
      </c>
      <c r="X4" s="86"/>
      <c r="Y4" s="6"/>
    </row>
    <row r="5" spans="1:25" x14ac:dyDescent="0.4">
      <c r="A5" s="4">
        <f t="shared" si="0"/>
        <v>202503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-72290</v>
      </c>
      <c r="I5" s="41">
        <f ca="1">J5-H5</f>
        <v>8600</v>
      </c>
      <c r="J5" s="44">
        <f t="shared" si="3"/>
        <v>-63690</v>
      </c>
      <c r="K5" s="44">
        <f t="shared" si="4"/>
        <v>-19690</v>
      </c>
      <c r="L5" s="19">
        <f t="shared" si="5"/>
        <v>1.4475</v>
      </c>
      <c r="N5" s="25">
        <v>45717</v>
      </c>
      <c r="O5" s="26">
        <v>0.6574768518518519</v>
      </c>
      <c r="P5" s="50" t="s">
        <v>1020</v>
      </c>
      <c r="Q5" s="50" t="s">
        <v>1026</v>
      </c>
      <c r="R5" s="50" t="s">
        <v>1151</v>
      </c>
      <c r="S5" s="50" t="s">
        <v>1168</v>
      </c>
      <c r="T5" s="50">
        <v>-80000</v>
      </c>
      <c r="U5" s="50" t="s">
        <v>1024</v>
      </c>
      <c r="V5" s="50" t="s">
        <v>1036</v>
      </c>
      <c r="W5" s="50" t="s">
        <v>1270</v>
      </c>
      <c r="X5" s="86"/>
      <c r="Y5" s="6"/>
    </row>
    <row r="6" spans="1:25" x14ac:dyDescent="0.4">
      <c r="A6" s="4">
        <f t="shared" si="0"/>
        <v>202503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-211250</v>
      </c>
      <c r="I6" s="41">
        <f t="shared" ref="I6:I18" ca="1" si="7">J6-H6</f>
        <v>-100890</v>
      </c>
      <c r="J6" s="44">
        <f t="shared" si="3"/>
        <v>-312140</v>
      </c>
      <c r="K6" s="44">
        <f t="shared" si="4"/>
        <v>17860</v>
      </c>
      <c r="L6" s="19">
        <f t="shared" si="5"/>
        <v>0.94587878787878787</v>
      </c>
      <c r="N6" s="25">
        <v>45717</v>
      </c>
      <c r="O6" s="26">
        <v>0.86577546296296293</v>
      </c>
      <c r="P6" s="50" t="s">
        <v>1020</v>
      </c>
      <c r="Q6" s="50" t="s">
        <v>1029</v>
      </c>
      <c r="R6" s="50" t="s">
        <v>1045</v>
      </c>
      <c r="S6" s="50" t="s">
        <v>1031</v>
      </c>
      <c r="T6" s="50">
        <v>-36740</v>
      </c>
      <c r="U6" s="50" t="s">
        <v>1024</v>
      </c>
      <c r="V6" s="50" t="s">
        <v>1025</v>
      </c>
      <c r="W6" s="50" t="s">
        <v>1271</v>
      </c>
      <c r="X6" s="86"/>
      <c r="Y6" s="6"/>
    </row>
    <row r="7" spans="1:25" x14ac:dyDescent="0.4">
      <c r="A7" s="4">
        <f t="shared" si="0"/>
        <v>202503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45717</v>
      </c>
      <c r="O7" s="26">
        <v>0.86851851851851847</v>
      </c>
      <c r="P7" s="50" t="s">
        <v>1020</v>
      </c>
      <c r="Q7" s="50" t="s">
        <v>1021</v>
      </c>
      <c r="R7" s="50" t="s">
        <v>1047</v>
      </c>
      <c r="S7" s="50" t="s">
        <v>1031</v>
      </c>
      <c r="T7" s="50">
        <v>-123310</v>
      </c>
      <c r="U7" s="50" t="s">
        <v>1024</v>
      </c>
      <c r="V7" s="50" t="s">
        <v>1025</v>
      </c>
      <c r="W7" s="50" t="s">
        <v>1272</v>
      </c>
      <c r="X7" s="86"/>
      <c r="Y7" s="6"/>
    </row>
    <row r="8" spans="1:25" x14ac:dyDescent="0.4">
      <c r="A8" s="4">
        <f>$L$1</f>
        <v>202503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45717</v>
      </c>
      <c r="O8" s="26">
        <v>0.87753472222222217</v>
      </c>
      <c r="P8" s="50" t="s">
        <v>1053</v>
      </c>
      <c r="Q8" s="50" t="s">
        <v>1053</v>
      </c>
      <c r="R8" s="50" t="s">
        <v>1054</v>
      </c>
      <c r="S8" s="50" t="s">
        <v>1232</v>
      </c>
      <c r="T8" s="50">
        <v>-30000</v>
      </c>
      <c r="U8" s="50" t="s">
        <v>1024</v>
      </c>
      <c r="V8" s="50" t="s">
        <v>1036</v>
      </c>
      <c r="W8" s="50"/>
      <c r="X8" s="86"/>
      <c r="Y8" s="6"/>
    </row>
    <row r="9" spans="1:25" x14ac:dyDescent="0.4">
      <c r="A9" s="4">
        <f t="shared" si="0"/>
        <v>202503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-281649</v>
      </c>
      <c r="I9" s="41">
        <f t="shared" ca="1" si="7"/>
        <v>-20216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45717</v>
      </c>
      <c r="O9" s="26">
        <v>0.87753472222222217</v>
      </c>
      <c r="P9" s="50" t="s">
        <v>1053</v>
      </c>
      <c r="Q9" s="50" t="s">
        <v>1053</v>
      </c>
      <c r="R9" s="50" t="s">
        <v>1054</v>
      </c>
      <c r="S9" s="50" t="s">
        <v>1230</v>
      </c>
      <c r="T9" s="50">
        <v>30000</v>
      </c>
      <c r="U9" s="50" t="s">
        <v>1024</v>
      </c>
      <c r="V9" s="50" t="s">
        <v>1231</v>
      </c>
      <c r="W9" s="50"/>
      <c r="X9" s="86"/>
      <c r="Y9" s="6"/>
    </row>
    <row r="10" spans="1:25" x14ac:dyDescent="0.4">
      <c r="A10" s="4">
        <f t="shared" si="0"/>
        <v>202503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-80000</v>
      </c>
      <c r="I10" s="41">
        <f t="shared" ca="1" si="7"/>
        <v>-96410</v>
      </c>
      <c r="J10" s="44">
        <f t="shared" si="3"/>
        <v>-176410</v>
      </c>
      <c r="K10" s="44">
        <f t="shared" si="4"/>
        <v>-16410</v>
      </c>
      <c r="L10" s="19">
        <f t="shared" si="5"/>
        <v>1.1025624999999999</v>
      </c>
      <c r="N10" s="25">
        <v>45717</v>
      </c>
      <c r="O10" s="26">
        <v>0.88055555555555554</v>
      </c>
      <c r="P10" s="50" t="s">
        <v>1020</v>
      </c>
      <c r="Q10" s="50" t="s">
        <v>1029</v>
      </c>
      <c r="R10" s="50" t="s">
        <v>1045</v>
      </c>
      <c r="S10" s="50" t="s">
        <v>1122</v>
      </c>
      <c r="T10" s="50">
        <v>-26760</v>
      </c>
      <c r="U10" s="50" t="s">
        <v>1024</v>
      </c>
      <c r="V10" s="50" t="s">
        <v>1231</v>
      </c>
      <c r="W10" s="50" t="s">
        <v>1273</v>
      </c>
      <c r="X10" s="86"/>
      <c r="Y10" s="6"/>
    </row>
    <row r="11" spans="1:25" x14ac:dyDescent="0.4">
      <c r="A11" s="4">
        <f t="shared" si="0"/>
        <v>202503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-7890</v>
      </c>
      <c r="I11" s="41">
        <f t="shared" ca="1" si="7"/>
        <v>-13900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45718</v>
      </c>
      <c r="O11" s="26">
        <v>0.13248842592592591</v>
      </c>
      <c r="P11" s="50" t="s">
        <v>1073</v>
      </c>
      <c r="Q11" s="50" t="s">
        <v>1218</v>
      </c>
      <c r="R11" s="50" t="s">
        <v>1054</v>
      </c>
      <c r="S11" s="50" t="s">
        <v>1219</v>
      </c>
      <c r="T11" s="50">
        <v>2187</v>
      </c>
      <c r="U11" s="50" t="s">
        <v>1024</v>
      </c>
      <c r="V11" s="50" t="s">
        <v>1216</v>
      </c>
      <c r="W11" s="50"/>
      <c r="X11" s="86"/>
      <c r="Y11" s="6"/>
    </row>
    <row r="12" spans="1:25" x14ac:dyDescent="0.4">
      <c r="A12" s="4">
        <f t="shared" si="0"/>
        <v>202503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-517716</v>
      </c>
      <c r="I12" s="41">
        <f t="shared" ca="1" si="7"/>
        <v>-369794</v>
      </c>
      <c r="J12" s="44">
        <f t="shared" ref="J12:J18" si="8">SUMIFS($T$3:$T$233,$P$3:$P$233,"지출",$Q$3:$Q$233,C12)</f>
        <v>-887510</v>
      </c>
      <c r="K12" s="45">
        <f t="shared" si="4"/>
        <v>-537510</v>
      </c>
      <c r="L12" s="19">
        <f t="shared" si="5"/>
        <v>2.5357428571428571</v>
      </c>
      <c r="N12" s="25">
        <v>45719</v>
      </c>
      <c r="O12" s="26">
        <v>0.1293171296296296</v>
      </c>
      <c r="P12" s="50" t="s">
        <v>1073</v>
      </c>
      <c r="Q12" s="50" t="s">
        <v>1218</v>
      </c>
      <c r="R12" s="50" t="s">
        <v>1054</v>
      </c>
      <c r="S12" s="50" t="s">
        <v>1219</v>
      </c>
      <c r="T12" s="50">
        <v>2187</v>
      </c>
      <c r="U12" s="50" t="s">
        <v>1024</v>
      </c>
      <c r="V12" s="50" t="s">
        <v>1216</v>
      </c>
      <c r="W12" s="50"/>
      <c r="X12" s="86"/>
      <c r="Y12" s="6"/>
    </row>
    <row r="13" spans="1:25" x14ac:dyDescent="0.4">
      <c r="A13" s="4">
        <f t="shared" si="0"/>
        <v>202503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151500</v>
      </c>
      <c r="G13" s="18">
        <f t="shared" si="1"/>
        <v>151500</v>
      </c>
      <c r="H13" s="41">
        <f t="shared" ca="1" si="2"/>
        <v>-367900</v>
      </c>
      <c r="I13" s="41">
        <f t="shared" ca="1" si="7"/>
        <v>216400</v>
      </c>
      <c r="J13" s="44">
        <f t="shared" si="8"/>
        <v>-151500</v>
      </c>
      <c r="K13" s="44">
        <f t="shared" si="4"/>
        <v>0</v>
      </c>
      <c r="L13" s="19">
        <f t="shared" si="5"/>
        <v>1</v>
      </c>
      <c r="N13" s="25">
        <v>45719</v>
      </c>
      <c r="O13" s="26">
        <v>0.40181712962962962</v>
      </c>
      <c r="P13" s="50" t="s">
        <v>1020</v>
      </c>
      <c r="Q13" s="50" t="s">
        <v>1026</v>
      </c>
      <c r="R13" s="50" t="s">
        <v>1027</v>
      </c>
      <c r="S13" s="50" t="s">
        <v>1028</v>
      </c>
      <c r="T13" s="50">
        <v>-7890</v>
      </c>
      <c r="U13" s="50" t="s">
        <v>1024</v>
      </c>
      <c r="V13" s="50" t="s">
        <v>1025</v>
      </c>
      <c r="W13" s="50"/>
      <c r="X13" s="86"/>
      <c r="Y13" s="6"/>
    </row>
    <row r="14" spans="1:25" x14ac:dyDescent="0.4">
      <c r="A14" s="4">
        <f t="shared" si="0"/>
        <v>202503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146920</v>
      </c>
      <c r="G14" s="18">
        <f t="shared" si="1"/>
        <v>146920</v>
      </c>
      <c r="H14" s="41">
        <f ca="1">INDIRECT($J$1&amp;"!J"&amp;ROW())</f>
        <v>-243950</v>
      </c>
      <c r="I14" s="41">
        <f t="shared" ca="1" si="7"/>
        <v>97030</v>
      </c>
      <c r="J14" s="44">
        <f t="shared" si="8"/>
        <v>-146920</v>
      </c>
      <c r="K14" s="44">
        <f t="shared" si="4"/>
        <v>0</v>
      </c>
      <c r="L14" s="19">
        <f t="shared" si="5"/>
        <v>1</v>
      </c>
      <c r="N14" s="25">
        <v>45719</v>
      </c>
      <c r="O14" s="26">
        <v>0.71978009259259257</v>
      </c>
      <c r="P14" s="50" t="s">
        <v>1020</v>
      </c>
      <c r="Q14" s="50" t="s">
        <v>1042</v>
      </c>
      <c r="R14" s="50" t="s">
        <v>1043</v>
      </c>
      <c r="S14" s="50" t="s">
        <v>1274</v>
      </c>
      <c r="T14" s="50">
        <v>-18500</v>
      </c>
      <c r="U14" s="50" t="s">
        <v>1024</v>
      </c>
      <c r="V14" s="50" t="s">
        <v>1099</v>
      </c>
      <c r="W14" s="50"/>
      <c r="X14" s="86"/>
      <c r="Y14" s="6"/>
    </row>
    <row r="15" spans="1:25" x14ac:dyDescent="0.4">
      <c r="A15" s="4">
        <f t="shared" si="0"/>
        <v>202503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0</v>
      </c>
      <c r="I15" s="41">
        <f t="shared" ca="1" si="7"/>
        <v>-138830</v>
      </c>
      <c r="J15" s="44">
        <f t="shared" si="8"/>
        <v>-138830</v>
      </c>
      <c r="K15" s="44">
        <f t="shared" si="4"/>
        <v>-138830</v>
      </c>
      <c r="L15" s="19">
        <f t="shared" si="5"/>
        <v>0</v>
      </c>
      <c r="N15" s="25">
        <v>45719</v>
      </c>
      <c r="O15" s="26">
        <v>0.82398148148148154</v>
      </c>
      <c r="P15" s="50" t="s">
        <v>1020</v>
      </c>
      <c r="Q15" s="50" t="s">
        <v>1021</v>
      </c>
      <c r="R15" s="50" t="s">
        <v>1047</v>
      </c>
      <c r="S15" s="50" t="s">
        <v>1031</v>
      </c>
      <c r="T15" s="50">
        <v>-4320</v>
      </c>
      <c r="U15" s="50" t="s">
        <v>1024</v>
      </c>
      <c r="V15" s="50" t="s">
        <v>1025</v>
      </c>
      <c r="W15" s="50" t="s">
        <v>1275</v>
      </c>
      <c r="X15" s="86"/>
      <c r="Y15" s="6"/>
    </row>
    <row r="16" spans="1:25" x14ac:dyDescent="0.4">
      <c r="A16" s="4">
        <f t="shared" si="0"/>
        <v>202503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-20690</v>
      </c>
      <c r="I16" s="41">
        <f t="shared" ca="1" si="7"/>
        <v>20690</v>
      </c>
      <c r="J16" s="44">
        <f t="shared" si="8"/>
        <v>0</v>
      </c>
      <c r="K16" s="44">
        <f t="shared" si="4"/>
        <v>0</v>
      </c>
      <c r="L16" s="19">
        <f t="shared" si="5"/>
        <v>0</v>
      </c>
      <c r="N16" s="25">
        <v>45720</v>
      </c>
      <c r="O16" s="26">
        <v>0.15297453703703701</v>
      </c>
      <c r="P16" s="50" t="s">
        <v>1073</v>
      </c>
      <c r="Q16" s="50" t="s">
        <v>1218</v>
      </c>
      <c r="R16" s="50" t="s">
        <v>1054</v>
      </c>
      <c r="S16" s="50" t="s">
        <v>1219</v>
      </c>
      <c r="T16" s="50">
        <v>2187</v>
      </c>
      <c r="U16" s="50" t="s">
        <v>1024</v>
      </c>
      <c r="V16" s="50" t="s">
        <v>1216</v>
      </c>
      <c r="W16" s="50"/>
      <c r="X16" s="86"/>
      <c r="Y16" s="6"/>
    </row>
    <row r="17" spans="1:25" x14ac:dyDescent="0.4">
      <c r="A17" s="4">
        <f t="shared" si="0"/>
        <v>202503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45721</v>
      </c>
      <c r="O17" s="26">
        <v>0.15266203703703701</v>
      </c>
      <c r="P17" s="50" t="s">
        <v>1073</v>
      </c>
      <c r="Q17" s="50" t="s">
        <v>1218</v>
      </c>
      <c r="R17" s="50" t="s">
        <v>1054</v>
      </c>
      <c r="S17" s="50" t="s">
        <v>1219</v>
      </c>
      <c r="T17" s="50">
        <v>2187</v>
      </c>
      <c r="U17" s="50" t="s">
        <v>1024</v>
      </c>
      <c r="V17" s="50" t="s">
        <v>1216</v>
      </c>
      <c r="W17" s="50"/>
      <c r="X17" s="86"/>
      <c r="Y17" s="6"/>
    </row>
    <row r="18" spans="1:25" x14ac:dyDescent="0.4">
      <c r="A18" s="4">
        <f t="shared" si="0"/>
        <v>202503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415780</v>
      </c>
      <c r="G18" s="18">
        <f t="shared" si="1"/>
        <v>765780</v>
      </c>
      <c r="H18" s="41">
        <f t="shared" ca="1" si="2"/>
        <v>-3103048</v>
      </c>
      <c r="I18" s="41">
        <f t="shared" ca="1" si="7"/>
        <v>2687268</v>
      </c>
      <c r="J18" s="44">
        <f t="shared" si="8"/>
        <v>-415780</v>
      </c>
      <c r="K18" s="44">
        <f t="shared" si="4"/>
        <v>350000</v>
      </c>
      <c r="L18" s="19">
        <f t="shared" si="5"/>
        <v>0.54294967222962209</v>
      </c>
      <c r="N18" s="25">
        <v>45721</v>
      </c>
      <c r="O18" s="26">
        <v>0.47796296296296298</v>
      </c>
      <c r="P18" s="50" t="s">
        <v>1053</v>
      </c>
      <c r="Q18" s="50" t="s">
        <v>1053</v>
      </c>
      <c r="R18" s="50" t="s">
        <v>1054</v>
      </c>
      <c r="S18" s="50" t="s">
        <v>1256</v>
      </c>
      <c r="T18" s="50">
        <v>-3000000</v>
      </c>
      <c r="U18" s="50" t="s">
        <v>1024</v>
      </c>
      <c r="V18" s="50" t="s">
        <v>1216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714200</v>
      </c>
      <c r="G19" s="20">
        <f t="shared" si="9"/>
        <v>3539200</v>
      </c>
      <c r="H19" s="42">
        <f t="shared" ca="1" si="9"/>
        <v>-6131239</v>
      </c>
      <c r="I19" s="42">
        <f t="shared" ca="1" si="9"/>
        <v>2323870</v>
      </c>
      <c r="J19" s="45">
        <f t="shared" si="9"/>
        <v>-3807369</v>
      </c>
      <c r="K19" s="45">
        <f t="shared" si="9"/>
        <v>-268169</v>
      </c>
      <c r="L19" s="21">
        <f>IF(G19=0,0,-J19/G19)</f>
        <v>1.0757710782097649</v>
      </c>
      <c r="N19" s="25">
        <v>45721</v>
      </c>
      <c r="O19" s="26">
        <v>0.47796296296296298</v>
      </c>
      <c r="P19" s="50" t="s">
        <v>1053</v>
      </c>
      <c r="Q19" s="50" t="s">
        <v>1053</v>
      </c>
      <c r="R19" s="50" t="s">
        <v>1054</v>
      </c>
      <c r="S19" s="50" t="s">
        <v>1217</v>
      </c>
      <c r="T19" s="50">
        <v>3000000</v>
      </c>
      <c r="U19" s="50" t="s">
        <v>1024</v>
      </c>
      <c r="V19" s="50" t="s">
        <v>1214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-982369</v>
      </c>
      <c r="L20" s="22">
        <f>IF(E19=0,0,-J19/E19)</f>
        <v>1.3477412389380532</v>
      </c>
      <c r="N20" s="25">
        <v>45721</v>
      </c>
      <c r="O20" s="26">
        <v>0.47814814814814821</v>
      </c>
      <c r="P20" s="50" t="s">
        <v>1053</v>
      </c>
      <c r="Q20" s="50" t="s">
        <v>1053</v>
      </c>
      <c r="R20" s="50" t="s">
        <v>1054</v>
      </c>
      <c r="S20" s="50" t="s">
        <v>1103</v>
      </c>
      <c r="T20" s="50">
        <v>-3000000</v>
      </c>
      <c r="U20" s="50" t="s">
        <v>1024</v>
      </c>
      <c r="V20" s="50" t="s">
        <v>1214</v>
      </c>
      <c r="W20" s="50"/>
      <c r="X20" s="86"/>
      <c r="Y20" s="6"/>
    </row>
    <row r="21" spans="1:25" x14ac:dyDescent="0.4">
      <c r="N21" s="25">
        <v>45721</v>
      </c>
      <c r="O21" s="26">
        <v>0.47815972222222219</v>
      </c>
      <c r="P21" s="50" t="s">
        <v>1053</v>
      </c>
      <c r="Q21" s="50" t="s">
        <v>1053</v>
      </c>
      <c r="R21" s="50" t="s">
        <v>1054</v>
      </c>
      <c r="S21" s="50" t="s">
        <v>1103</v>
      </c>
      <c r="T21" s="50">
        <v>3000000</v>
      </c>
      <c r="U21" s="50" t="s">
        <v>1024</v>
      </c>
      <c r="V21" s="50" t="s">
        <v>1036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45722</v>
      </c>
      <c r="O22" s="26">
        <v>0.1521527777777778</v>
      </c>
      <c r="P22" s="50" t="s">
        <v>1073</v>
      </c>
      <c r="Q22" s="50" t="s">
        <v>1218</v>
      </c>
      <c r="R22" s="50" t="s">
        <v>1054</v>
      </c>
      <c r="S22" s="50" t="s">
        <v>1219</v>
      </c>
      <c r="T22" s="50">
        <v>2053</v>
      </c>
      <c r="U22" s="50" t="s">
        <v>1024</v>
      </c>
      <c r="V22" s="50" t="s">
        <v>1216</v>
      </c>
      <c r="W22" s="50"/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SUMIFS($T$3:$T$233,$P$3:$P$233,"지출",$Q$3:$Q$233,C23,$R$3:$R$233,D23)</f>
        <v>-468480</v>
      </c>
      <c r="N23" s="25">
        <v>45722</v>
      </c>
      <c r="O23" s="26">
        <v>0.67930555555555561</v>
      </c>
      <c r="P23" s="50" t="s">
        <v>1020</v>
      </c>
      <c r="Q23" s="50" t="s">
        <v>1042</v>
      </c>
      <c r="R23" s="50" t="s">
        <v>1054</v>
      </c>
      <c r="S23" s="50" t="s">
        <v>1276</v>
      </c>
      <c r="T23" s="50">
        <v>-10000</v>
      </c>
      <c r="U23" s="50" t="s">
        <v>1024</v>
      </c>
      <c r="V23" s="50" t="s">
        <v>1099</v>
      </c>
      <c r="W23" s="50" t="s">
        <v>1277</v>
      </c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SUMIFS($T$3:$T$233,$P$3:$P$233,"지출",$Q$3:$Q$233,C24,$R$3:$R$233,D24)</f>
        <v>-311900</v>
      </c>
      <c r="N24" s="25">
        <v>45722</v>
      </c>
      <c r="O24" s="26">
        <v>0.6802893518518518</v>
      </c>
      <c r="P24" s="50" t="s">
        <v>1020</v>
      </c>
      <c r="Q24" s="50" t="s">
        <v>1042</v>
      </c>
      <c r="R24" s="50" t="s">
        <v>1043</v>
      </c>
      <c r="S24" s="50" t="s">
        <v>1274</v>
      </c>
      <c r="T24" s="50">
        <v>-3900</v>
      </c>
      <c r="U24" s="50" t="s">
        <v>1024</v>
      </c>
      <c r="V24" s="50" t="s">
        <v>1099</v>
      </c>
      <c r="W24" s="50"/>
      <c r="X24" s="86"/>
      <c r="Y24" s="6"/>
    </row>
    <row r="25" spans="1:25" x14ac:dyDescent="0.4">
      <c r="C25" s="4" t="s">
        <v>19</v>
      </c>
      <c r="D25" s="4" t="s">
        <v>944</v>
      </c>
      <c r="E25" s="23">
        <f>SUMIFS($T$3:$T$233,$P$3:$P$233,"지출",$Q$3:$Q$233,C25,$R$3:$R$233,D25)</f>
        <v>-80170</v>
      </c>
      <c r="N25" s="25">
        <v>45722</v>
      </c>
      <c r="O25" s="26">
        <v>0.75782407407407404</v>
      </c>
      <c r="P25" s="50" t="s">
        <v>1020</v>
      </c>
      <c r="Q25" s="50" t="s">
        <v>1029</v>
      </c>
      <c r="R25" s="50" t="s">
        <v>1070</v>
      </c>
      <c r="S25" s="50" t="s">
        <v>1278</v>
      </c>
      <c r="T25" s="50">
        <v>-10500</v>
      </c>
      <c r="U25" s="50" t="s">
        <v>1024</v>
      </c>
      <c r="V25" s="50" t="s">
        <v>1099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SUMIFS($T$3:$T$233,$P$3:$P$233,"지출",$Q$3:$Q$233,C26,$R$3:$R$233,D26)</f>
        <v>-26960</v>
      </c>
      <c r="N26" s="25">
        <v>45722</v>
      </c>
      <c r="O26" s="26">
        <v>0.76678240740740744</v>
      </c>
      <c r="P26" s="50" t="s">
        <v>1020</v>
      </c>
      <c r="Q26" s="50" t="s">
        <v>1029</v>
      </c>
      <c r="R26" s="50" t="s">
        <v>1070</v>
      </c>
      <c r="S26" s="50" t="s">
        <v>1279</v>
      </c>
      <c r="T26" s="50">
        <v>-11500</v>
      </c>
      <c r="U26" s="50" t="s">
        <v>1024</v>
      </c>
      <c r="V26" s="50" t="s">
        <v>1099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-887510</v>
      </c>
      <c r="N27" s="25">
        <v>45723</v>
      </c>
      <c r="O27" s="26">
        <v>0.16711805555555559</v>
      </c>
      <c r="P27" s="50" t="s">
        <v>1073</v>
      </c>
      <c r="Q27" s="50" t="s">
        <v>1218</v>
      </c>
      <c r="R27" s="50" t="s">
        <v>1054</v>
      </c>
      <c r="S27" s="50" t="s">
        <v>1219</v>
      </c>
      <c r="T27" s="50">
        <v>2053</v>
      </c>
      <c r="U27" s="50" t="s">
        <v>1024</v>
      </c>
      <c r="V27" s="50" t="s">
        <v>1216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SUMIFS($T$3:$T$233,$P$3:$P$233,"지출",$Q$3:$Q$233,C28,$R$3:$R$233,D28)</f>
        <v>0</v>
      </c>
      <c r="N28" s="25">
        <v>45723</v>
      </c>
      <c r="O28" s="26">
        <v>0.47986111111111113</v>
      </c>
      <c r="P28" s="50" t="s">
        <v>1020</v>
      </c>
      <c r="Q28" s="50" t="s">
        <v>1047</v>
      </c>
      <c r="R28" s="50" t="s">
        <v>1177</v>
      </c>
      <c r="S28" s="50" t="s">
        <v>1280</v>
      </c>
      <c r="T28" s="50">
        <v>-35910</v>
      </c>
      <c r="U28" s="50" t="s">
        <v>1024</v>
      </c>
      <c r="V28" s="50" t="s">
        <v>1025</v>
      </c>
      <c r="W28" s="50" t="s">
        <v>1281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SUMIFS($T$3:$T$233,$P$3:$P$233,"지출",$Q$3:$Q$233,C29,$R$3:$R$233,D29)</f>
        <v>-146920</v>
      </c>
      <c r="N29" s="25">
        <v>45723</v>
      </c>
      <c r="O29" s="26">
        <v>0.48128472222222218</v>
      </c>
      <c r="P29" s="50" t="s">
        <v>1020</v>
      </c>
      <c r="Q29" s="50" t="s">
        <v>1029</v>
      </c>
      <c r="R29" s="50" t="s">
        <v>1045</v>
      </c>
      <c r="S29" s="50" t="s">
        <v>1031</v>
      </c>
      <c r="T29" s="50">
        <v>-9220</v>
      </c>
      <c r="U29" s="50" t="s">
        <v>1024</v>
      </c>
      <c r="V29" s="50" t="s">
        <v>1025</v>
      </c>
      <c r="W29" s="50" t="s">
        <v>1282</v>
      </c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SUMIFS($T$3:$T$233,$P$3:$P$233,"지출",$Q$3:$Q$233,C30,$R$3:$R$233,D30)</f>
        <v>0</v>
      </c>
      <c r="N30" s="25">
        <v>45723</v>
      </c>
      <c r="O30" s="26">
        <v>0.48883101851851851</v>
      </c>
      <c r="P30" s="50" t="s">
        <v>1020</v>
      </c>
      <c r="Q30" s="50" t="s">
        <v>1029</v>
      </c>
      <c r="R30" s="50" t="s">
        <v>1030</v>
      </c>
      <c r="S30" s="50" t="s">
        <v>1031</v>
      </c>
      <c r="T30" s="50">
        <v>-37610</v>
      </c>
      <c r="U30" s="50" t="s">
        <v>1024</v>
      </c>
      <c r="V30" s="50" t="s">
        <v>1025</v>
      </c>
      <c r="W30" s="50" t="s">
        <v>1283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-146920</v>
      </c>
      <c r="N31" s="25">
        <v>45724</v>
      </c>
      <c r="O31" s="26">
        <v>0.166099537037037</v>
      </c>
      <c r="P31" s="50" t="s">
        <v>1073</v>
      </c>
      <c r="Q31" s="50" t="s">
        <v>1218</v>
      </c>
      <c r="R31" s="50" t="s">
        <v>1054</v>
      </c>
      <c r="S31" s="50" t="s">
        <v>1219</v>
      </c>
      <c r="T31" s="50">
        <v>1842</v>
      </c>
      <c r="U31" s="50" t="s">
        <v>1024</v>
      </c>
      <c r="V31" s="50" t="s">
        <v>1216</v>
      </c>
      <c r="W31" s="50"/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SUMIFS($T$3:$T$233,$P$3:$P$233,"지출",$Q$3:$Q$233,C32,$R$3:$R$233,D32)</f>
        <v>0</v>
      </c>
      <c r="N32" s="25">
        <v>45724</v>
      </c>
      <c r="O32" s="26">
        <v>0.51056712962962958</v>
      </c>
      <c r="P32" s="50" t="s">
        <v>1020</v>
      </c>
      <c r="Q32" s="50" t="s">
        <v>1029</v>
      </c>
      <c r="R32" s="50" t="s">
        <v>1030</v>
      </c>
      <c r="S32" s="50" t="s">
        <v>1172</v>
      </c>
      <c r="T32" s="50">
        <v>-45630</v>
      </c>
      <c r="U32" s="50" t="s">
        <v>1024</v>
      </c>
      <c r="V32" s="50" t="s">
        <v>1025</v>
      </c>
      <c r="W32" s="50" t="s">
        <v>1284</v>
      </c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-224759</v>
      </c>
      <c r="N33" s="25">
        <v>45724</v>
      </c>
      <c r="O33" s="26">
        <v>0.67243055555555553</v>
      </c>
      <c r="P33" s="50" t="s">
        <v>1020</v>
      </c>
      <c r="Q33" s="50" t="s">
        <v>1029</v>
      </c>
      <c r="R33" s="50" t="s">
        <v>1030</v>
      </c>
      <c r="S33" s="50" t="s">
        <v>1031</v>
      </c>
      <c r="T33" s="50">
        <v>-15180</v>
      </c>
      <c r="U33" s="50" t="s">
        <v>1024</v>
      </c>
      <c r="V33" s="50" t="s">
        <v>1025</v>
      </c>
      <c r="W33" s="50" t="s">
        <v>1285</v>
      </c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-81910</v>
      </c>
      <c r="N34" s="25">
        <v>45724</v>
      </c>
      <c r="O34" s="26">
        <v>0.89034722222222218</v>
      </c>
      <c r="P34" s="50" t="s">
        <v>1020</v>
      </c>
      <c r="Q34" s="50" t="s">
        <v>1029</v>
      </c>
      <c r="R34" s="50" t="s">
        <v>1030</v>
      </c>
      <c r="S34" s="50" t="s">
        <v>1031</v>
      </c>
      <c r="T34" s="50">
        <v>-19920</v>
      </c>
      <c r="U34" s="50" t="s">
        <v>1024</v>
      </c>
      <c r="V34" s="50" t="s">
        <v>1025</v>
      </c>
      <c r="W34" s="50" t="s">
        <v>1286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0</v>
      </c>
      <c r="N35" s="25">
        <v>45725</v>
      </c>
      <c r="O35" s="26">
        <v>0.1632291666666667</v>
      </c>
      <c r="P35" s="50" t="s">
        <v>1073</v>
      </c>
      <c r="Q35" s="50" t="s">
        <v>1218</v>
      </c>
      <c r="R35" s="50" t="s">
        <v>1054</v>
      </c>
      <c r="S35" s="50" t="s">
        <v>1219</v>
      </c>
      <c r="T35" s="50">
        <v>1842</v>
      </c>
      <c r="U35" s="50" t="s">
        <v>1024</v>
      </c>
      <c r="V35" s="50" t="s">
        <v>1216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45725</v>
      </c>
      <c r="O36" s="26">
        <v>0.86030092592592589</v>
      </c>
      <c r="P36" s="50" t="s">
        <v>1020</v>
      </c>
      <c r="Q36" s="50" t="s">
        <v>1029</v>
      </c>
      <c r="R36" s="50" t="s">
        <v>1030</v>
      </c>
      <c r="S36" s="50" t="s">
        <v>1031</v>
      </c>
      <c r="T36" s="50">
        <v>-16980</v>
      </c>
      <c r="U36" s="50" t="s">
        <v>1024</v>
      </c>
      <c r="V36" s="50" t="s">
        <v>1025</v>
      </c>
      <c r="W36" s="50" t="s">
        <v>1287</v>
      </c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-2000</v>
      </c>
      <c r="N37" s="25">
        <v>45725</v>
      </c>
      <c r="O37" s="26">
        <v>0.86431712962962959</v>
      </c>
      <c r="P37" s="50" t="s">
        <v>1020</v>
      </c>
      <c r="Q37" s="50" t="s">
        <v>1029</v>
      </c>
      <c r="R37" s="50" t="s">
        <v>1047</v>
      </c>
      <c r="S37" s="50" t="s">
        <v>1031</v>
      </c>
      <c r="T37" s="50">
        <v>-26960</v>
      </c>
      <c r="U37" s="50" t="s">
        <v>1024</v>
      </c>
      <c r="V37" s="50" t="s">
        <v>1025</v>
      </c>
      <c r="W37" s="50" t="s">
        <v>1288</v>
      </c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>
        <v>45726</v>
      </c>
      <c r="O38" s="26">
        <v>0.16275462962962961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1842</v>
      </c>
      <c r="U38" s="50" t="s">
        <v>1024</v>
      </c>
      <c r="V38" s="50" t="s">
        <v>1216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-107111</v>
      </c>
      <c r="N39" s="25">
        <v>45727</v>
      </c>
      <c r="O39" s="26">
        <v>0.16689814814814821</v>
      </c>
      <c r="P39" s="50" t="s">
        <v>1073</v>
      </c>
      <c r="Q39" s="50" t="s">
        <v>1218</v>
      </c>
      <c r="R39" s="50" t="s">
        <v>1054</v>
      </c>
      <c r="S39" s="50" t="s">
        <v>1219</v>
      </c>
      <c r="T39" s="50">
        <v>1842</v>
      </c>
      <c r="U39" s="50" t="s">
        <v>1024</v>
      </c>
      <c r="V39" s="50" t="s">
        <v>1216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-415780</v>
      </c>
      <c r="N40" s="25">
        <v>45727</v>
      </c>
      <c r="O40" s="26">
        <v>0.54615740740740737</v>
      </c>
      <c r="P40" s="50" t="s">
        <v>1020</v>
      </c>
      <c r="Q40" s="50" t="s">
        <v>1047</v>
      </c>
      <c r="R40" s="50" t="s">
        <v>1048</v>
      </c>
      <c r="S40" s="50" t="s">
        <v>1262</v>
      </c>
      <c r="T40" s="50">
        <v>0</v>
      </c>
      <c r="U40" s="50" t="s">
        <v>1024</v>
      </c>
      <c r="V40" s="50" t="s">
        <v>1079</v>
      </c>
      <c r="W40" s="50" t="s">
        <v>1289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SUMIFS($T$3:$T$233,$P$3:$P$233,"지출",$Q$3:$Q$233,C41,$R$3:$R$233,D41)</f>
        <v>0</v>
      </c>
      <c r="N41" s="25">
        <v>45727</v>
      </c>
      <c r="O41" s="26">
        <v>0.72123842592592591</v>
      </c>
      <c r="P41" s="50" t="s">
        <v>1020</v>
      </c>
      <c r="Q41" s="50" t="s">
        <v>1029</v>
      </c>
      <c r="R41" s="50" t="s">
        <v>1070</v>
      </c>
      <c r="S41" s="50" t="s">
        <v>1290</v>
      </c>
      <c r="T41" s="50">
        <v>-17000</v>
      </c>
      <c r="U41" s="50" t="s">
        <v>1024</v>
      </c>
      <c r="V41" s="50" t="s">
        <v>1025</v>
      </c>
      <c r="W41" s="50" t="s">
        <v>1291</v>
      </c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SUMIFS($T$3:$T$233,$P$3:$P$233,"지출",$Q$3:$Q$233,C42,$R$3:$R$233,D42)</f>
        <v>0</v>
      </c>
      <c r="N42" s="25">
        <v>45728</v>
      </c>
      <c r="O42" s="26">
        <v>0.1370949074074074</v>
      </c>
      <c r="P42" s="50" t="s">
        <v>1073</v>
      </c>
      <c r="Q42" s="50" t="s">
        <v>1218</v>
      </c>
      <c r="R42" s="50" t="s">
        <v>1054</v>
      </c>
      <c r="S42" s="50" t="s">
        <v>1219</v>
      </c>
      <c r="T42" s="50">
        <v>1842</v>
      </c>
      <c r="U42" s="50" t="s">
        <v>1024</v>
      </c>
      <c r="V42" s="50" t="s">
        <v>1216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SUMIFS($T$3:$T$233,$P$3:$P$233,"지출",$Q$3:$Q$233,C43,$R$3:$R$233,D43)</f>
        <v>-11200</v>
      </c>
      <c r="N43" s="25">
        <v>45728</v>
      </c>
      <c r="O43" s="26">
        <v>0.6430555555555556</v>
      </c>
      <c r="P43" s="50" t="s">
        <v>1073</v>
      </c>
      <c r="Q43" s="50" t="s">
        <v>1047</v>
      </c>
      <c r="R43" s="50" t="s">
        <v>1054</v>
      </c>
      <c r="S43" s="50" t="s">
        <v>1195</v>
      </c>
      <c r="T43" s="50">
        <v>100000</v>
      </c>
      <c r="U43" s="50" t="s">
        <v>1024</v>
      </c>
      <c r="V43" s="50" t="s">
        <v>1036</v>
      </c>
      <c r="W43" s="50" t="s">
        <v>1292</v>
      </c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SUMIFS($T$3:$T$233,$P$3:$P$233,"지출",$Q$3:$Q$233,C44,$R$3:$R$233,D44)</f>
        <v>-127630</v>
      </c>
      <c r="N44" s="25">
        <v>45728</v>
      </c>
      <c r="O44" s="26">
        <v>0.79027777777777775</v>
      </c>
      <c r="P44" s="50" t="s">
        <v>1020</v>
      </c>
      <c r="Q44" s="50" t="s">
        <v>1029</v>
      </c>
      <c r="R44" s="50" t="s">
        <v>1030</v>
      </c>
      <c r="S44" s="50" t="s">
        <v>1069</v>
      </c>
      <c r="T44" s="50">
        <v>-10800</v>
      </c>
      <c r="U44" s="50" t="s">
        <v>1024</v>
      </c>
      <c r="V44" s="50" t="s">
        <v>1025</v>
      </c>
      <c r="W44" s="50" t="s">
        <v>1293</v>
      </c>
      <c r="X44" s="86"/>
      <c r="Y44" s="6"/>
    </row>
    <row r="45" spans="3:25" x14ac:dyDescent="0.4">
      <c r="C45" s="94" t="s">
        <v>1016</v>
      </c>
      <c r="D45" s="93"/>
      <c r="E45" s="20">
        <f>SUM(E41:E44)</f>
        <v>-138830</v>
      </c>
      <c r="N45" s="25">
        <v>45728</v>
      </c>
      <c r="O45" s="26">
        <v>0.80538194444444444</v>
      </c>
      <c r="P45" s="50" t="s">
        <v>1053</v>
      </c>
      <c r="Q45" s="50" t="s">
        <v>1066</v>
      </c>
      <c r="R45" s="50" t="s">
        <v>1054</v>
      </c>
      <c r="S45" s="50" t="s">
        <v>1067</v>
      </c>
      <c r="T45" s="50">
        <v>-3879148</v>
      </c>
      <c r="U45" s="50" t="s">
        <v>1024</v>
      </c>
      <c r="V45" s="50" t="s">
        <v>1036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SUMIFS($T$3:$T$233,$P$3:$P$233,"지출",$Q$3:$Q$233,C46,$R$3:$R$233,D46)</f>
        <v>0</v>
      </c>
      <c r="N46" s="25">
        <v>45729</v>
      </c>
      <c r="O46" s="26">
        <v>0.13681712962962961</v>
      </c>
      <c r="P46" s="50" t="s">
        <v>1073</v>
      </c>
      <c r="Q46" s="50" t="s">
        <v>1218</v>
      </c>
      <c r="R46" s="50" t="s">
        <v>1054</v>
      </c>
      <c r="S46" s="50" t="s">
        <v>1219</v>
      </c>
      <c r="T46" s="50">
        <v>1842</v>
      </c>
      <c r="U46" s="50" t="s">
        <v>1024</v>
      </c>
      <c r="V46" s="50" t="s">
        <v>1216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SUMIFS($T$3:$T$233,$P$3:$P$233,"지출",$Q$3:$Q$233,C47,$R$3:$R$233,D47)</f>
        <v>0</v>
      </c>
      <c r="N47" s="25">
        <v>45729</v>
      </c>
      <c r="O47" s="26">
        <v>0.30373842592592593</v>
      </c>
      <c r="P47" s="50" t="s">
        <v>1020</v>
      </c>
      <c r="Q47" s="50" t="s">
        <v>1029</v>
      </c>
      <c r="R47" s="50" t="s">
        <v>1030</v>
      </c>
      <c r="S47" s="50" t="s">
        <v>1031</v>
      </c>
      <c r="T47" s="50">
        <v>-30010</v>
      </c>
      <c r="U47" s="50" t="s">
        <v>1024</v>
      </c>
      <c r="V47" s="50" t="s">
        <v>1025</v>
      </c>
      <c r="W47" s="50" t="s">
        <v>1294</v>
      </c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SUMIFS($T$3:$T$233,$P$3:$P$233,"지출",$Q$3:$Q$233,C48,$R$3:$R$233,D48)</f>
        <v>0</v>
      </c>
      <c r="N48" s="25">
        <v>45729</v>
      </c>
      <c r="O48" s="26">
        <v>0.39247685185185183</v>
      </c>
      <c r="P48" s="50" t="s">
        <v>1020</v>
      </c>
      <c r="Q48" s="50" t="s">
        <v>1021</v>
      </c>
      <c r="R48" s="50" t="s">
        <v>1295</v>
      </c>
      <c r="S48" s="50" t="s">
        <v>1296</v>
      </c>
      <c r="T48" s="50">
        <v>-11200</v>
      </c>
      <c r="U48" s="50" t="s">
        <v>1024</v>
      </c>
      <c r="V48" s="50" t="s">
        <v>1297</v>
      </c>
      <c r="W48" s="50" t="s">
        <v>1298</v>
      </c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SUMIFS($T$3:$T$233,$P$3:$P$233,"지출",$Q$3:$Q$233,C49,$R$3:$R$233,D49)</f>
        <v>0</v>
      </c>
      <c r="N49" s="25">
        <v>45730</v>
      </c>
      <c r="O49" s="26">
        <v>0.13953703703703699</v>
      </c>
      <c r="P49" s="50" t="s">
        <v>1073</v>
      </c>
      <c r="Q49" s="50" t="s">
        <v>1218</v>
      </c>
      <c r="R49" s="50" t="s">
        <v>1054</v>
      </c>
      <c r="S49" s="50" t="s">
        <v>1219</v>
      </c>
      <c r="T49" s="50">
        <v>1842</v>
      </c>
      <c r="U49" s="50" t="s">
        <v>1024</v>
      </c>
      <c r="V49" s="50" t="s">
        <v>1216</v>
      </c>
      <c r="W49" s="50"/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45730</v>
      </c>
      <c r="O50" s="26">
        <v>0.6864351851851852</v>
      </c>
      <c r="P50" s="50" t="s">
        <v>1020</v>
      </c>
      <c r="Q50" s="50" t="s">
        <v>1029</v>
      </c>
      <c r="R50" s="50" t="s">
        <v>1070</v>
      </c>
      <c r="S50" s="50" t="s">
        <v>1299</v>
      </c>
      <c r="T50" s="50">
        <v>-8500</v>
      </c>
      <c r="U50" s="50" t="s">
        <v>1024</v>
      </c>
      <c r="V50" s="50" t="s">
        <v>1036</v>
      </c>
      <c r="W50" s="50" t="s">
        <v>1300</v>
      </c>
      <c r="X50" s="86"/>
      <c r="Y50" s="6"/>
    </row>
    <row r="51" spans="1:25" ht="18" thickBot="1" x14ac:dyDescent="0.45">
      <c r="J51" s="53"/>
      <c r="K51" s="54"/>
      <c r="N51" s="25">
        <v>45730</v>
      </c>
      <c r="O51" s="26">
        <v>0.70931712962962967</v>
      </c>
      <c r="P51" s="50" t="s">
        <v>1020</v>
      </c>
      <c r="Q51" s="50" t="s">
        <v>1021</v>
      </c>
      <c r="R51" s="50" t="s">
        <v>1022</v>
      </c>
      <c r="S51" s="50" t="s">
        <v>1078</v>
      </c>
      <c r="T51" s="50">
        <v>0</v>
      </c>
      <c r="U51" s="50" t="s">
        <v>1024</v>
      </c>
      <c r="V51" s="50" t="s">
        <v>1079</v>
      </c>
      <c r="W51" s="50" t="s">
        <v>1301</v>
      </c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169383306</v>
      </c>
      <c r="N52" s="25">
        <v>45730</v>
      </c>
      <c r="O52" s="26">
        <v>0.76059027777777777</v>
      </c>
      <c r="P52" s="50" t="s">
        <v>1020</v>
      </c>
      <c r="Q52" s="50" t="s">
        <v>1026</v>
      </c>
      <c r="R52" s="50" t="s">
        <v>1151</v>
      </c>
      <c r="S52" s="50" t="s">
        <v>1068</v>
      </c>
      <c r="T52" s="50">
        <v>-5600</v>
      </c>
      <c r="U52" s="50" t="s">
        <v>1024</v>
      </c>
      <c r="V52" s="50" t="s">
        <v>1036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169148261</v>
      </c>
      <c r="N53" s="25">
        <v>45731</v>
      </c>
      <c r="O53" s="26">
        <v>0.14006944444444441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1842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3520863</v>
      </c>
      <c r="H54" s="98" t="s">
        <v>907</v>
      </c>
      <c r="I54" s="30">
        <f ca="1">I53-I52</f>
        <v>-235045</v>
      </c>
      <c r="J54" s="53"/>
      <c r="K54" s="54"/>
      <c r="N54" s="25">
        <v>45732</v>
      </c>
      <c r="O54" s="26">
        <v>0.13991898148148149</v>
      </c>
      <c r="P54" s="50" t="s">
        <v>1073</v>
      </c>
      <c r="Q54" s="50" t="s">
        <v>1218</v>
      </c>
      <c r="R54" s="50" t="s">
        <v>1054</v>
      </c>
      <c r="S54" s="50" t="s">
        <v>1219</v>
      </c>
      <c r="T54" s="50">
        <v>1843</v>
      </c>
      <c r="U54" s="50" t="s">
        <v>1024</v>
      </c>
      <c r="V54" s="50" t="s">
        <v>1216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46095040</v>
      </c>
      <c r="H55" s="52"/>
      <c r="I55" s="53"/>
      <c r="J55" s="53"/>
      <c r="K55" s="54"/>
      <c r="N55" s="25">
        <v>45732</v>
      </c>
      <c r="O55" s="26">
        <v>0.46510416666666671</v>
      </c>
      <c r="P55" s="50" t="s">
        <v>1020</v>
      </c>
      <c r="Q55" s="50" t="s">
        <v>1029</v>
      </c>
      <c r="R55" s="50" t="s">
        <v>1045</v>
      </c>
      <c r="S55" s="50" t="s">
        <v>1031</v>
      </c>
      <c r="T55" s="50">
        <v>-1750</v>
      </c>
      <c r="U55" s="50" t="s">
        <v>1024</v>
      </c>
      <c r="V55" s="50" t="s">
        <v>1025</v>
      </c>
      <c r="W55" s="50" t="s">
        <v>1302</v>
      </c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45732</v>
      </c>
      <c r="O56" s="26">
        <v>0.52315972222222218</v>
      </c>
      <c r="P56" s="50" t="s">
        <v>1020</v>
      </c>
      <c r="Q56" s="50" t="s">
        <v>1026</v>
      </c>
      <c r="R56" s="50" t="s">
        <v>1151</v>
      </c>
      <c r="S56" s="50" t="s">
        <v>1303</v>
      </c>
      <c r="T56" s="50">
        <v>-86410</v>
      </c>
      <c r="U56" s="50" t="s">
        <v>1024</v>
      </c>
      <c r="V56" s="50" t="s">
        <v>1036</v>
      </c>
      <c r="W56" s="50" t="s">
        <v>1304</v>
      </c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45732</v>
      </c>
      <c r="O57" s="26">
        <v>0.56964120370370375</v>
      </c>
      <c r="P57" s="50" t="s">
        <v>1020</v>
      </c>
      <c r="Q57" s="50" t="s">
        <v>1029</v>
      </c>
      <c r="R57" s="50" t="s">
        <v>1030</v>
      </c>
      <c r="S57" s="50" t="s">
        <v>1031</v>
      </c>
      <c r="T57" s="50">
        <v>-23140</v>
      </c>
      <c r="U57" s="50" t="s">
        <v>1024</v>
      </c>
      <c r="V57" s="50" t="s">
        <v>1025</v>
      </c>
      <c r="W57" s="50" t="s">
        <v>1305</v>
      </c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45732</v>
      </c>
      <c r="O58" s="26">
        <v>0.7288310185185185</v>
      </c>
      <c r="P58" s="50" t="s">
        <v>1020</v>
      </c>
      <c r="Q58" s="50" t="s">
        <v>1029</v>
      </c>
      <c r="R58" s="50" t="s">
        <v>1045</v>
      </c>
      <c r="S58" s="50" t="s">
        <v>1031</v>
      </c>
      <c r="T58" s="50">
        <v>-5700</v>
      </c>
      <c r="U58" s="50" t="s">
        <v>1024</v>
      </c>
      <c r="V58" s="50" t="s">
        <v>1025</v>
      </c>
      <c r="W58" s="50" t="s">
        <v>1306</v>
      </c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136580</v>
      </c>
      <c r="H59" s="52"/>
      <c r="I59" s="53"/>
      <c r="J59" s="53"/>
      <c r="K59" s="54"/>
      <c r="N59" s="25">
        <v>45733</v>
      </c>
      <c r="O59" s="26">
        <v>7.4074074074074077E-3</v>
      </c>
      <c r="P59" s="50" t="s">
        <v>1020</v>
      </c>
      <c r="Q59" s="50" t="s">
        <v>1047</v>
      </c>
      <c r="R59" s="50" t="s">
        <v>1086</v>
      </c>
      <c r="S59" s="50" t="s">
        <v>1307</v>
      </c>
      <c r="T59" s="50">
        <v>-33073</v>
      </c>
      <c r="U59" s="50" t="s">
        <v>1024</v>
      </c>
      <c r="V59" s="50" t="s">
        <v>1228</v>
      </c>
      <c r="W59" s="50" t="s">
        <v>1308</v>
      </c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45733</v>
      </c>
      <c r="O60" s="26">
        <v>1.74537037037037E-2</v>
      </c>
      <c r="P60" s="50" t="s">
        <v>1053</v>
      </c>
      <c r="Q60" s="50" t="s">
        <v>1053</v>
      </c>
      <c r="R60" s="50" t="s">
        <v>1054</v>
      </c>
      <c r="S60" s="50" t="s">
        <v>1230</v>
      </c>
      <c r="T60" s="50">
        <v>80000</v>
      </c>
      <c r="U60" s="50" t="s">
        <v>1024</v>
      </c>
      <c r="V60" s="50" t="s">
        <v>1231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623450</v>
      </c>
      <c r="H61" s="52"/>
      <c r="I61" s="53"/>
      <c r="J61" s="53"/>
      <c r="K61" s="54"/>
      <c r="N61" s="25">
        <v>45733</v>
      </c>
      <c r="O61" s="26">
        <v>1.74537037037037E-2</v>
      </c>
      <c r="P61" s="50" t="s">
        <v>1053</v>
      </c>
      <c r="Q61" s="50" t="s">
        <v>1053</v>
      </c>
      <c r="R61" s="50" t="s">
        <v>1054</v>
      </c>
      <c r="S61" s="50" t="s">
        <v>1232</v>
      </c>
      <c r="T61" s="50">
        <v>-80000</v>
      </c>
      <c r="U61" s="50" t="s">
        <v>1024</v>
      </c>
      <c r="V61" s="50" t="s">
        <v>1036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45733</v>
      </c>
      <c r="O62" s="26">
        <v>1.7465277777777781E-2</v>
      </c>
      <c r="P62" s="50" t="s">
        <v>1020</v>
      </c>
      <c r="Q62" s="50" t="s">
        <v>1047</v>
      </c>
      <c r="R62" s="50" t="s">
        <v>1086</v>
      </c>
      <c r="S62" s="50" t="s">
        <v>1309</v>
      </c>
      <c r="T62" s="50">
        <v>-74038</v>
      </c>
      <c r="U62" s="50" t="s">
        <v>1024</v>
      </c>
      <c r="V62" s="50" t="s">
        <v>1228</v>
      </c>
      <c r="W62" s="50" t="s">
        <v>1310</v>
      </c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782000</v>
      </c>
      <c r="H63" s="52"/>
      <c r="I63" s="53"/>
      <c r="J63" s="53"/>
      <c r="K63" s="54"/>
      <c r="N63" s="25">
        <v>45733</v>
      </c>
      <c r="O63" s="26">
        <v>0.13927083333333329</v>
      </c>
      <c r="P63" s="50" t="s">
        <v>1073</v>
      </c>
      <c r="Q63" s="50" t="s">
        <v>1218</v>
      </c>
      <c r="R63" s="50" t="s">
        <v>1054</v>
      </c>
      <c r="S63" s="50" t="s">
        <v>1219</v>
      </c>
      <c r="T63" s="50">
        <v>1843</v>
      </c>
      <c r="U63" s="50" t="s">
        <v>1024</v>
      </c>
      <c r="V63" s="50" t="s">
        <v>1216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45733</v>
      </c>
      <c r="O64" s="26">
        <v>0.76567129629629627</v>
      </c>
      <c r="P64" s="50" t="s">
        <v>1020</v>
      </c>
      <c r="Q64" s="50" t="s">
        <v>1029</v>
      </c>
      <c r="R64" s="50" t="s">
        <v>1070</v>
      </c>
      <c r="S64" s="50" t="s">
        <v>1290</v>
      </c>
      <c r="T64" s="50">
        <v>-13000</v>
      </c>
      <c r="U64" s="50" t="s">
        <v>1024</v>
      </c>
      <c r="V64" s="50" t="s">
        <v>1025</v>
      </c>
      <c r="W64" s="50" t="s">
        <v>1311</v>
      </c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45734</v>
      </c>
      <c r="O65" s="26">
        <v>0.13798611111111109</v>
      </c>
      <c r="P65" s="50" t="s">
        <v>1073</v>
      </c>
      <c r="Q65" s="50" t="s">
        <v>1218</v>
      </c>
      <c r="R65" s="50" t="s">
        <v>1054</v>
      </c>
      <c r="S65" s="50" t="s">
        <v>1219</v>
      </c>
      <c r="T65" s="50">
        <v>1843</v>
      </c>
      <c r="U65" s="50" t="s">
        <v>1024</v>
      </c>
      <c r="V65" s="50" t="s">
        <v>1216</v>
      </c>
      <c r="W65" s="50"/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J66" s="53"/>
      <c r="K66" s="54"/>
      <c r="N66" s="25">
        <v>45734</v>
      </c>
      <c r="O66" s="26">
        <v>0.43881944444444437</v>
      </c>
      <c r="P66" s="50" t="s">
        <v>1020</v>
      </c>
      <c r="Q66" s="50" t="s">
        <v>1029</v>
      </c>
      <c r="R66" s="50" t="s">
        <v>1030</v>
      </c>
      <c r="S66" s="50" t="s">
        <v>1031</v>
      </c>
      <c r="T66" s="50">
        <v>-22440</v>
      </c>
      <c r="U66" s="50" t="s">
        <v>1024</v>
      </c>
      <c r="V66" s="50" t="s">
        <v>1025</v>
      </c>
      <c r="W66" s="50" t="s">
        <v>1312</v>
      </c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45734</v>
      </c>
      <c r="O67" s="26">
        <v>0.78054398148148152</v>
      </c>
      <c r="P67" s="50" t="s">
        <v>1020</v>
      </c>
      <c r="Q67" s="50" t="s">
        <v>1022</v>
      </c>
      <c r="R67" s="50" t="s">
        <v>1313</v>
      </c>
      <c r="S67" s="50" t="s">
        <v>1314</v>
      </c>
      <c r="T67" s="50">
        <v>-120020</v>
      </c>
      <c r="U67" s="50" t="s">
        <v>1024</v>
      </c>
      <c r="V67" s="50" t="s">
        <v>1025</v>
      </c>
      <c r="W67" s="50" t="s">
        <v>1315</v>
      </c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45735</v>
      </c>
      <c r="O68" s="26">
        <v>0.22190972222222219</v>
      </c>
      <c r="P68" s="50" t="s">
        <v>1073</v>
      </c>
      <c r="Q68" s="50" t="s">
        <v>1218</v>
      </c>
      <c r="R68" s="50" t="s">
        <v>1054</v>
      </c>
      <c r="S68" s="50" t="s">
        <v>1219</v>
      </c>
      <c r="T68" s="50">
        <v>1843</v>
      </c>
      <c r="U68" s="50" t="s">
        <v>1024</v>
      </c>
      <c r="V68" s="50" t="s">
        <v>1216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45735</v>
      </c>
      <c r="O69" s="26">
        <v>0.42913194444444452</v>
      </c>
      <c r="P69" s="50" t="s">
        <v>1020</v>
      </c>
      <c r="Q69" s="50" t="s">
        <v>1026</v>
      </c>
      <c r="R69" s="50" t="s">
        <v>1093</v>
      </c>
      <c r="S69" s="50" t="s">
        <v>1094</v>
      </c>
      <c r="T69" s="50">
        <v>-22000</v>
      </c>
      <c r="U69" s="50" t="s">
        <v>1024</v>
      </c>
      <c r="V69" s="50" t="s">
        <v>1025</v>
      </c>
      <c r="W69" s="50"/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45735</v>
      </c>
      <c r="O70" s="26">
        <v>0.42913194444444452</v>
      </c>
      <c r="P70" s="50" t="s">
        <v>1020</v>
      </c>
      <c r="Q70" s="50" t="s">
        <v>1026</v>
      </c>
      <c r="R70" s="50" t="s">
        <v>1093</v>
      </c>
      <c r="S70" s="50" t="s">
        <v>1095</v>
      </c>
      <c r="T70" s="50">
        <v>-41690</v>
      </c>
      <c r="U70" s="50" t="s">
        <v>1024</v>
      </c>
      <c r="V70" s="50" t="s">
        <v>1025</v>
      </c>
      <c r="W70" s="50"/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45735</v>
      </c>
      <c r="O71" s="26">
        <v>0.4440162037037037</v>
      </c>
      <c r="P71" s="50" t="s">
        <v>1073</v>
      </c>
      <c r="Q71" s="50" t="s">
        <v>1047</v>
      </c>
      <c r="R71" s="50" t="s">
        <v>1054</v>
      </c>
      <c r="S71" s="50" t="s">
        <v>1195</v>
      </c>
      <c r="T71" s="50">
        <v>340000</v>
      </c>
      <c r="U71" s="50" t="s">
        <v>1024</v>
      </c>
      <c r="V71" s="50" t="s">
        <v>1036</v>
      </c>
      <c r="W71" s="50" t="s">
        <v>1316</v>
      </c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45735</v>
      </c>
      <c r="O72" s="26">
        <v>0.66517361111111106</v>
      </c>
      <c r="P72" s="50" t="s">
        <v>1073</v>
      </c>
      <c r="Q72" s="50" t="s">
        <v>1074</v>
      </c>
      <c r="R72" s="50" t="s">
        <v>1054</v>
      </c>
      <c r="S72" s="50" t="s">
        <v>1075</v>
      </c>
      <c r="T72" s="50">
        <v>55199</v>
      </c>
      <c r="U72" s="50" t="s">
        <v>1024</v>
      </c>
      <c r="V72" s="50" t="s">
        <v>1036</v>
      </c>
      <c r="W72" s="50" t="s">
        <v>1317</v>
      </c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45736</v>
      </c>
      <c r="O73" s="26">
        <v>0.1396412037037037</v>
      </c>
      <c r="P73" s="50" t="s">
        <v>1073</v>
      </c>
      <c r="Q73" s="50" t="s">
        <v>1218</v>
      </c>
      <c r="R73" s="50" t="s">
        <v>1054</v>
      </c>
      <c r="S73" s="50" t="s">
        <v>1219</v>
      </c>
      <c r="T73" s="50">
        <v>1843</v>
      </c>
      <c r="U73" s="50" t="s">
        <v>1024</v>
      </c>
      <c r="V73" s="50" t="s">
        <v>1216</v>
      </c>
      <c r="W73" s="50"/>
      <c r="X73" s="86"/>
      <c r="Y73" s="6"/>
    </row>
    <row r="74" spans="1:25" ht="18" thickTop="1" x14ac:dyDescent="0.4">
      <c r="A74" s="7">
        <f>$L$1</f>
        <v>202503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8435797</v>
      </c>
      <c r="G74" s="41">
        <f ca="1">H74-F74</f>
        <v>-3153500</v>
      </c>
      <c r="H74" s="58">
        <f>SUMIFS($T$3:$T$233,$P$3:$P$233,"수입",$Q$3:$Q$233,C74)</f>
        <v>5282297</v>
      </c>
      <c r="I74" s="43">
        <f>H74-E74</f>
        <v>-260703</v>
      </c>
      <c r="N74" s="25">
        <v>45736</v>
      </c>
      <c r="O74" s="26">
        <v>0.43284722222222222</v>
      </c>
      <c r="P74" s="50" t="s">
        <v>1073</v>
      </c>
      <c r="Q74" s="50" t="s">
        <v>1047</v>
      </c>
      <c r="R74" s="50" t="s">
        <v>1054</v>
      </c>
      <c r="S74" s="50" t="s">
        <v>1195</v>
      </c>
      <c r="T74" s="50">
        <v>150000</v>
      </c>
      <c r="U74" s="50" t="s">
        <v>1024</v>
      </c>
      <c r="V74" s="50" t="s">
        <v>1036</v>
      </c>
      <c r="W74" s="50" t="s">
        <v>1316</v>
      </c>
      <c r="X74" s="86"/>
      <c r="Y74" s="6"/>
    </row>
    <row r="75" spans="1:25" x14ac:dyDescent="0.4">
      <c r="A75" s="4">
        <f t="shared" ref="A75:A78" si="11">$L$1</f>
        <v>202503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ca="1">INDIRECT($J$1&amp;"!H"&amp;ROW())</f>
        <v>55199</v>
      </c>
      <c r="G75" s="41">
        <f ca="1">H75-F75</f>
        <v>0</v>
      </c>
      <c r="H75" s="58">
        <f>SUMIFS($T$3:$T$233,$P$3:$P$233,"수입",$Q$3:$Q$233,C75)</f>
        <v>55199</v>
      </c>
      <c r="I75" s="43">
        <f>H75-E75</f>
        <v>0</v>
      </c>
      <c r="N75" s="25">
        <v>45737</v>
      </c>
      <c r="O75" s="26">
        <v>0.16869212962962959</v>
      </c>
      <c r="P75" s="50" t="s">
        <v>1073</v>
      </c>
      <c r="Q75" s="50" t="s">
        <v>1218</v>
      </c>
      <c r="R75" s="50" t="s">
        <v>1054</v>
      </c>
      <c r="S75" s="50" t="s">
        <v>1219</v>
      </c>
      <c r="T75" s="50">
        <v>1843</v>
      </c>
      <c r="U75" s="50" t="s">
        <v>1024</v>
      </c>
      <c r="V75" s="50" t="s">
        <v>1216</v>
      </c>
      <c r="W75" s="50"/>
      <c r="X75" s="86"/>
      <c r="Y75" s="6"/>
    </row>
    <row r="76" spans="1:25" x14ac:dyDescent="0.4">
      <c r="A76" s="4">
        <f t="shared" si="11"/>
        <v>202503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ca="1">H76-F76</f>
        <v>0</v>
      </c>
      <c r="H76" s="58">
        <f>SUMIFS($T$3:$T$233,$P$3:$P$233,"수입",$Q$3:$Q$233,C76)</f>
        <v>0</v>
      </c>
      <c r="I76" s="43">
        <f>H76-E76</f>
        <v>0</v>
      </c>
      <c r="N76" s="25">
        <v>45737</v>
      </c>
      <c r="O76" s="26">
        <v>0.32380787037037029</v>
      </c>
      <c r="P76" s="50" t="s">
        <v>1020</v>
      </c>
      <c r="Q76" s="50" t="s">
        <v>1029</v>
      </c>
      <c r="R76" s="50" t="s">
        <v>1030</v>
      </c>
      <c r="S76" s="50" t="s">
        <v>1031</v>
      </c>
      <c r="T76" s="50">
        <v>-31280</v>
      </c>
      <c r="U76" s="50" t="s">
        <v>1024</v>
      </c>
      <c r="V76" s="50" t="s">
        <v>1025</v>
      </c>
      <c r="W76" s="50"/>
      <c r="X76" s="86"/>
      <c r="Y76" s="6"/>
    </row>
    <row r="77" spans="1:25" x14ac:dyDescent="0.4">
      <c r="A77" s="4">
        <f t="shared" si="11"/>
        <v>202503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37887</v>
      </c>
      <c r="G77" s="41">
        <f ca="1">H77-F77</f>
        <v>20702</v>
      </c>
      <c r="H77" s="58">
        <f>SUMIFS($T$3:$T$233,$P$3:$P$233,"수입",$Q$3:$Q$233,C77)</f>
        <v>58589</v>
      </c>
      <c r="I77" s="43">
        <f>H77-E77</f>
        <v>58589</v>
      </c>
      <c r="N77" s="25">
        <v>45738</v>
      </c>
      <c r="O77" s="26">
        <v>0.16918981481481479</v>
      </c>
      <c r="P77" s="50" t="s">
        <v>1073</v>
      </c>
      <c r="Q77" s="50" t="s">
        <v>1218</v>
      </c>
      <c r="R77" s="50" t="s">
        <v>1054</v>
      </c>
      <c r="S77" s="50" t="s">
        <v>1219</v>
      </c>
      <c r="T77" s="50">
        <v>1843</v>
      </c>
      <c r="U77" s="50" t="s">
        <v>1024</v>
      </c>
      <c r="V77" s="50" t="s">
        <v>1216</v>
      </c>
      <c r="W77" s="50"/>
      <c r="X77" s="86"/>
      <c r="Y77" s="6"/>
    </row>
    <row r="78" spans="1:25" x14ac:dyDescent="0.4">
      <c r="A78" s="4">
        <f t="shared" si="11"/>
        <v>202503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842001</v>
      </c>
      <c r="G78" s="41">
        <f ca="1">H78-F78</f>
        <v>-252001</v>
      </c>
      <c r="H78" s="58">
        <f>SUMIFS($T$3:$T$233,$P$3:$P$233,"수입",$Q$3:$Q$233,C78)</f>
        <v>590000</v>
      </c>
      <c r="I78" s="43">
        <f>H78-E78</f>
        <v>590000</v>
      </c>
      <c r="N78" s="25">
        <v>45738</v>
      </c>
      <c r="O78" s="26">
        <v>0.56597222222222221</v>
      </c>
      <c r="P78" s="50" t="s">
        <v>1053</v>
      </c>
      <c r="Q78" s="50" t="s">
        <v>1053</v>
      </c>
      <c r="R78" s="50" t="s">
        <v>1054</v>
      </c>
      <c r="S78" s="50" t="s">
        <v>1232</v>
      </c>
      <c r="T78" s="50">
        <v>-130000</v>
      </c>
      <c r="U78" s="50" t="s">
        <v>1024</v>
      </c>
      <c r="V78" s="50" t="s">
        <v>1036</v>
      </c>
      <c r="W78" s="50"/>
      <c r="X78" s="86"/>
      <c r="Y78" s="6"/>
    </row>
    <row r="79" spans="1:25" x14ac:dyDescent="0.4">
      <c r="A79" s="71" t="s">
        <v>14</v>
      </c>
      <c r="B79" s="72"/>
      <c r="C79" s="72"/>
      <c r="D79" s="73"/>
      <c r="E79" s="56">
        <f>SUM(E74:E78)</f>
        <v>5598199</v>
      </c>
      <c r="F79" s="57">
        <f ca="1">SUM(F74:F78)</f>
        <v>9370884</v>
      </c>
      <c r="G79" s="57">
        <f ca="1">SUM(G74:G78)</f>
        <v>-3384799</v>
      </c>
      <c r="H79" s="59">
        <f>SUM(H74:H78)</f>
        <v>5986085</v>
      </c>
      <c r="I79" s="43">
        <f>SUM(I74:I78)</f>
        <v>387886</v>
      </c>
      <c r="N79" s="25">
        <v>45738</v>
      </c>
      <c r="O79" s="26">
        <v>0.56598379629629625</v>
      </c>
      <c r="P79" s="50" t="s">
        <v>1020</v>
      </c>
      <c r="Q79" s="50" t="s">
        <v>1047</v>
      </c>
      <c r="R79" s="50" t="s">
        <v>1063</v>
      </c>
      <c r="S79" s="50" t="s">
        <v>1318</v>
      </c>
      <c r="T79" s="50">
        <v>-128900</v>
      </c>
      <c r="U79" s="50" t="s">
        <v>1024</v>
      </c>
      <c r="V79" s="50" t="s">
        <v>1228</v>
      </c>
      <c r="W79" s="50" t="s">
        <v>1319</v>
      </c>
      <c r="X79" s="86"/>
      <c r="Y79" s="6"/>
    </row>
    <row r="80" spans="1:25" x14ac:dyDescent="0.4">
      <c r="N80" s="25">
        <v>45738</v>
      </c>
      <c r="O80" s="26">
        <v>0.56598379629629625</v>
      </c>
      <c r="P80" s="50" t="s">
        <v>1053</v>
      </c>
      <c r="Q80" s="50" t="s">
        <v>1053</v>
      </c>
      <c r="R80" s="50" t="s">
        <v>1054</v>
      </c>
      <c r="S80" s="50" t="s">
        <v>1230</v>
      </c>
      <c r="T80" s="50">
        <v>130000</v>
      </c>
      <c r="U80" s="50" t="s">
        <v>1024</v>
      </c>
      <c r="V80" s="50" t="s">
        <v>1231</v>
      </c>
      <c r="W80" s="50"/>
      <c r="X80" s="86"/>
      <c r="Y80" s="6"/>
    </row>
    <row r="81" spans="14:25" x14ac:dyDescent="0.4">
      <c r="N81" s="25">
        <v>45738</v>
      </c>
      <c r="O81" s="26">
        <v>0.61589120370370365</v>
      </c>
      <c r="P81" s="50" t="s">
        <v>1020</v>
      </c>
      <c r="Q81" s="50" t="s">
        <v>1029</v>
      </c>
      <c r="R81" s="50" t="s">
        <v>1070</v>
      </c>
      <c r="S81" s="50" t="s">
        <v>1320</v>
      </c>
      <c r="T81" s="50">
        <v>-24000</v>
      </c>
      <c r="U81" s="50" t="s">
        <v>1024</v>
      </c>
      <c r="V81" s="50" t="s">
        <v>1099</v>
      </c>
      <c r="W81" s="50"/>
      <c r="X81" s="86"/>
      <c r="Y81" s="6"/>
    </row>
    <row r="82" spans="14:25" x14ac:dyDescent="0.4">
      <c r="N82" s="25">
        <v>45738</v>
      </c>
      <c r="O82" s="26">
        <v>0.66600694444444442</v>
      </c>
      <c r="P82" s="50" t="s">
        <v>1020</v>
      </c>
      <c r="Q82" s="50" t="s">
        <v>1029</v>
      </c>
      <c r="R82" s="50" t="s">
        <v>1070</v>
      </c>
      <c r="S82" s="50" t="s">
        <v>1321</v>
      </c>
      <c r="T82" s="50">
        <v>-6800</v>
      </c>
      <c r="U82" s="50" t="s">
        <v>1024</v>
      </c>
      <c r="V82" s="50" t="s">
        <v>1099</v>
      </c>
      <c r="W82" s="50" t="s">
        <v>1322</v>
      </c>
      <c r="X82" s="86"/>
      <c r="Y82" s="6" t="s">
        <v>1160</v>
      </c>
    </row>
    <row r="83" spans="14:25" x14ac:dyDescent="0.4">
      <c r="N83" s="25">
        <v>45738</v>
      </c>
      <c r="O83" s="26">
        <v>0.72633101851851856</v>
      </c>
      <c r="P83" s="50" t="s">
        <v>1020</v>
      </c>
      <c r="Q83" s="50" t="s">
        <v>1029</v>
      </c>
      <c r="R83" s="50" t="s">
        <v>1070</v>
      </c>
      <c r="S83" s="50" t="s">
        <v>1323</v>
      </c>
      <c r="T83" s="50">
        <v>-46700</v>
      </c>
      <c r="U83" s="50" t="s">
        <v>1024</v>
      </c>
      <c r="V83" s="50" t="s">
        <v>1099</v>
      </c>
      <c r="W83" s="50"/>
      <c r="X83" s="86"/>
      <c r="Y83" s="6" t="s">
        <v>1160</v>
      </c>
    </row>
    <row r="84" spans="14:25" x14ac:dyDescent="0.4">
      <c r="N84" s="25">
        <v>45739</v>
      </c>
      <c r="O84" s="26">
        <v>0.16915509259259259</v>
      </c>
      <c r="P84" s="50" t="s">
        <v>1073</v>
      </c>
      <c r="Q84" s="50" t="s">
        <v>1218</v>
      </c>
      <c r="R84" s="50" t="s">
        <v>1054</v>
      </c>
      <c r="S84" s="50" t="s">
        <v>1219</v>
      </c>
      <c r="T84" s="50">
        <v>1843</v>
      </c>
      <c r="U84" s="50" t="s">
        <v>1024</v>
      </c>
      <c r="V84" s="50" t="s">
        <v>1216</v>
      </c>
      <c r="W84" s="50"/>
      <c r="X84" s="86"/>
      <c r="Y84" s="6"/>
    </row>
    <row r="85" spans="14:25" x14ac:dyDescent="0.4">
      <c r="N85" s="25">
        <v>45739</v>
      </c>
      <c r="O85" s="26">
        <v>0.58052083333333337</v>
      </c>
      <c r="P85" s="50" t="s">
        <v>1020</v>
      </c>
      <c r="Q85" s="50" t="s">
        <v>1029</v>
      </c>
      <c r="R85" s="50" t="s">
        <v>1030</v>
      </c>
      <c r="S85" s="50" t="s">
        <v>1031</v>
      </c>
      <c r="T85" s="50">
        <v>-6280</v>
      </c>
      <c r="U85" s="50" t="s">
        <v>1024</v>
      </c>
      <c r="V85" s="50" t="s">
        <v>1025</v>
      </c>
      <c r="W85" s="50"/>
      <c r="X85" s="86"/>
      <c r="Y85" s="6"/>
    </row>
    <row r="86" spans="14:25" x14ac:dyDescent="0.4">
      <c r="N86" s="25">
        <v>45740</v>
      </c>
      <c r="O86" s="26">
        <v>0.1683101851851852</v>
      </c>
      <c r="P86" s="50" t="s">
        <v>1073</v>
      </c>
      <c r="Q86" s="50" t="s">
        <v>1218</v>
      </c>
      <c r="R86" s="50" t="s">
        <v>1054</v>
      </c>
      <c r="S86" s="50" t="s">
        <v>1219</v>
      </c>
      <c r="T86" s="50">
        <v>1843</v>
      </c>
      <c r="U86" s="50" t="s">
        <v>1024</v>
      </c>
      <c r="V86" s="50" t="s">
        <v>1216</v>
      </c>
      <c r="W86" s="50"/>
      <c r="X86" s="86"/>
      <c r="Y86" s="6"/>
    </row>
    <row r="87" spans="14:25" x14ac:dyDescent="0.4">
      <c r="N87" s="25">
        <v>45740</v>
      </c>
      <c r="O87" s="26">
        <v>0.75013888888888891</v>
      </c>
      <c r="P87" s="50" t="s">
        <v>1020</v>
      </c>
      <c r="Q87" s="50" t="s">
        <v>1029</v>
      </c>
      <c r="R87" s="50" t="s">
        <v>1070</v>
      </c>
      <c r="S87" s="50" t="s">
        <v>1324</v>
      </c>
      <c r="T87" s="50">
        <v>-1500</v>
      </c>
      <c r="U87" s="50" t="s">
        <v>1024</v>
      </c>
      <c r="V87" s="50" t="s">
        <v>1036</v>
      </c>
      <c r="W87" s="50" t="s">
        <v>1325</v>
      </c>
      <c r="X87" s="86"/>
      <c r="Y87" s="6"/>
    </row>
    <row r="88" spans="14:25" x14ac:dyDescent="0.4">
      <c r="N88" s="25">
        <v>45740</v>
      </c>
      <c r="O88" s="26">
        <v>0.7809490740740741</v>
      </c>
      <c r="P88" s="50" t="s">
        <v>1020</v>
      </c>
      <c r="Q88" s="50" t="s">
        <v>1029</v>
      </c>
      <c r="R88" s="50" t="s">
        <v>1070</v>
      </c>
      <c r="S88" s="50" t="s">
        <v>1326</v>
      </c>
      <c r="T88" s="50">
        <v>-23000</v>
      </c>
      <c r="U88" s="50" t="s">
        <v>1024</v>
      </c>
      <c r="V88" s="50" t="s">
        <v>1025</v>
      </c>
      <c r="W88" s="50"/>
      <c r="X88" s="86"/>
      <c r="Y88" s="6" t="s">
        <v>1160</v>
      </c>
    </row>
    <row r="89" spans="14:25" x14ac:dyDescent="0.4">
      <c r="N89" s="25">
        <v>45740</v>
      </c>
      <c r="O89" s="26">
        <v>0.78917824074074072</v>
      </c>
      <c r="P89" s="50" t="s">
        <v>1020</v>
      </c>
      <c r="Q89" s="50" t="s">
        <v>1029</v>
      </c>
      <c r="R89" s="50" t="s">
        <v>1030</v>
      </c>
      <c r="S89" s="50" t="s">
        <v>1327</v>
      </c>
      <c r="T89" s="50">
        <v>-7600</v>
      </c>
      <c r="U89" s="50" t="s">
        <v>1024</v>
      </c>
      <c r="V89" s="50" t="s">
        <v>1025</v>
      </c>
      <c r="W89" s="50"/>
      <c r="X89" s="86"/>
      <c r="Y89" s="6"/>
    </row>
    <row r="90" spans="14:25" x14ac:dyDescent="0.4">
      <c r="N90" s="25">
        <v>45740</v>
      </c>
      <c r="O90" s="26">
        <v>0.81335648148148143</v>
      </c>
      <c r="P90" s="50" t="s">
        <v>1020</v>
      </c>
      <c r="Q90" s="50" t="s">
        <v>1026</v>
      </c>
      <c r="R90" s="50" t="s">
        <v>1115</v>
      </c>
      <c r="S90" s="50" t="s">
        <v>1328</v>
      </c>
      <c r="T90" s="50">
        <v>-14232</v>
      </c>
      <c r="U90" s="50" t="s">
        <v>1024</v>
      </c>
      <c r="V90" s="50" t="s">
        <v>1036</v>
      </c>
      <c r="W90" s="50"/>
      <c r="X90" s="86"/>
      <c r="Y90" s="6"/>
    </row>
    <row r="91" spans="14:25" x14ac:dyDescent="0.4">
      <c r="N91" s="25">
        <v>45741</v>
      </c>
      <c r="O91" s="26">
        <v>0.1680902777777778</v>
      </c>
      <c r="P91" s="50" t="s">
        <v>1073</v>
      </c>
      <c r="Q91" s="50" t="s">
        <v>1218</v>
      </c>
      <c r="R91" s="50" t="s">
        <v>1054</v>
      </c>
      <c r="S91" s="50" t="s">
        <v>1219</v>
      </c>
      <c r="T91" s="50">
        <v>1843</v>
      </c>
      <c r="U91" s="50" t="s">
        <v>1024</v>
      </c>
      <c r="V91" s="50" t="s">
        <v>1216</v>
      </c>
      <c r="W91" s="50"/>
      <c r="X91" s="86"/>
      <c r="Y91" s="6"/>
    </row>
    <row r="92" spans="14:25" x14ac:dyDescent="0.4">
      <c r="N92" s="25">
        <v>45741</v>
      </c>
      <c r="O92" s="26">
        <v>0.25363425925925931</v>
      </c>
      <c r="P92" s="50" t="s">
        <v>1073</v>
      </c>
      <c r="Q92" s="50" t="s">
        <v>1117</v>
      </c>
      <c r="R92" s="50" t="s">
        <v>1054</v>
      </c>
      <c r="S92" s="50" t="s">
        <v>1118</v>
      </c>
      <c r="T92" s="50">
        <v>5282297</v>
      </c>
      <c r="U92" s="50" t="s">
        <v>1024</v>
      </c>
      <c r="V92" s="50" t="s">
        <v>1036</v>
      </c>
      <c r="W92" s="50"/>
      <c r="X92" s="86"/>
      <c r="Y92" s="6"/>
    </row>
    <row r="93" spans="14:25" x14ac:dyDescent="0.4">
      <c r="N93" s="25">
        <v>45741</v>
      </c>
      <c r="O93" s="26">
        <v>0.26454861111111111</v>
      </c>
      <c r="P93" s="50" t="s">
        <v>1053</v>
      </c>
      <c r="Q93" s="50" t="s">
        <v>1053</v>
      </c>
      <c r="R93" s="50" t="s">
        <v>1054</v>
      </c>
      <c r="S93" s="50" t="s">
        <v>1217</v>
      </c>
      <c r="T93" s="50">
        <v>27000000</v>
      </c>
      <c r="U93" s="50" t="s">
        <v>1024</v>
      </c>
      <c r="V93" s="50" t="s">
        <v>1214</v>
      </c>
      <c r="W93" s="50"/>
      <c r="X93" s="86"/>
      <c r="Y93" s="6"/>
    </row>
    <row r="94" spans="14:25" x14ac:dyDescent="0.4">
      <c r="N94" s="25">
        <v>45741</v>
      </c>
      <c r="O94" s="26">
        <v>0.26454861111111111</v>
      </c>
      <c r="P94" s="50" t="s">
        <v>1053</v>
      </c>
      <c r="Q94" s="50" t="s">
        <v>1053</v>
      </c>
      <c r="R94" s="50" t="s">
        <v>1054</v>
      </c>
      <c r="S94" s="50" t="s">
        <v>1256</v>
      </c>
      <c r="T94" s="50">
        <v>-27000000</v>
      </c>
      <c r="U94" s="50" t="s">
        <v>1024</v>
      </c>
      <c r="V94" s="50" t="s">
        <v>1216</v>
      </c>
      <c r="W94" s="50"/>
      <c r="X94" s="86"/>
      <c r="Y94" s="6"/>
    </row>
    <row r="95" spans="14:25" x14ac:dyDescent="0.4">
      <c r="N95" s="25">
        <v>45741</v>
      </c>
      <c r="O95" s="26">
        <v>0.26581018518518518</v>
      </c>
      <c r="P95" s="50" t="s">
        <v>1053</v>
      </c>
      <c r="Q95" s="50" t="s">
        <v>1053</v>
      </c>
      <c r="R95" s="50" t="s">
        <v>1054</v>
      </c>
      <c r="S95" s="50" t="s">
        <v>1103</v>
      </c>
      <c r="T95" s="50">
        <v>-27000000</v>
      </c>
      <c r="U95" s="50" t="s">
        <v>1024</v>
      </c>
      <c r="V95" s="50" t="s">
        <v>1214</v>
      </c>
      <c r="W95" s="50"/>
      <c r="X95" s="86"/>
      <c r="Y95" s="6"/>
    </row>
    <row r="96" spans="14:25" x14ac:dyDescent="0.4">
      <c r="N96" s="25">
        <v>45741</v>
      </c>
      <c r="O96" s="26">
        <v>0.26582175925925933</v>
      </c>
      <c r="P96" s="50" t="s">
        <v>1053</v>
      </c>
      <c r="Q96" s="50" t="s">
        <v>1053</v>
      </c>
      <c r="R96" s="50" t="s">
        <v>1054</v>
      </c>
      <c r="S96" s="50" t="s">
        <v>1103</v>
      </c>
      <c r="T96" s="50">
        <v>27000000</v>
      </c>
      <c r="U96" s="50" t="s">
        <v>1024</v>
      </c>
      <c r="V96" s="50" t="s">
        <v>1036</v>
      </c>
      <c r="W96" s="50"/>
      <c r="X96" s="86"/>
      <c r="Y96" s="6"/>
    </row>
    <row r="97" spans="14:25" x14ac:dyDescent="0.4">
      <c r="N97" s="25">
        <v>45741</v>
      </c>
      <c r="O97" s="26">
        <v>0.34248842592592588</v>
      </c>
      <c r="P97" s="50" t="s">
        <v>1020</v>
      </c>
      <c r="Q97" s="50" t="s">
        <v>1029</v>
      </c>
      <c r="R97" s="50" t="s">
        <v>1030</v>
      </c>
      <c r="S97" s="50" t="s">
        <v>1031</v>
      </c>
      <c r="T97" s="50">
        <v>-8940</v>
      </c>
      <c r="U97" s="50" t="s">
        <v>1024</v>
      </c>
      <c r="V97" s="50" t="s">
        <v>1025</v>
      </c>
      <c r="W97" s="50"/>
      <c r="X97" s="86"/>
      <c r="Y97" s="6"/>
    </row>
    <row r="98" spans="14:25" x14ac:dyDescent="0.4">
      <c r="N98" s="25">
        <v>45741</v>
      </c>
      <c r="O98" s="26">
        <v>0.34274305555555562</v>
      </c>
      <c r="P98" s="50" t="s">
        <v>1020</v>
      </c>
      <c r="Q98" s="50" t="s">
        <v>1029</v>
      </c>
      <c r="R98" s="50" t="s">
        <v>1030</v>
      </c>
      <c r="S98" s="50" t="s">
        <v>1031</v>
      </c>
      <c r="T98" s="50">
        <v>-6500</v>
      </c>
      <c r="U98" s="50" t="s">
        <v>1024</v>
      </c>
      <c r="V98" s="50" t="s">
        <v>1025</v>
      </c>
      <c r="W98" s="50"/>
      <c r="X98" s="86"/>
      <c r="Y98" s="6"/>
    </row>
    <row r="99" spans="14:25" x14ac:dyDescent="0.4">
      <c r="N99" s="25">
        <v>45741</v>
      </c>
      <c r="O99" s="26">
        <v>0.40758101851851852</v>
      </c>
      <c r="P99" s="50" t="s">
        <v>1020</v>
      </c>
      <c r="Q99" s="50" t="s">
        <v>1026</v>
      </c>
      <c r="R99" s="50" t="s">
        <v>1139</v>
      </c>
      <c r="S99" s="50" t="s">
        <v>1140</v>
      </c>
      <c r="T99" s="50">
        <v>-100000</v>
      </c>
      <c r="U99" s="50" t="s">
        <v>1024</v>
      </c>
      <c r="V99" s="50" t="s">
        <v>1036</v>
      </c>
      <c r="W99" s="50"/>
      <c r="X99" s="86"/>
      <c r="Y99" s="6"/>
    </row>
    <row r="100" spans="14:25" x14ac:dyDescent="0.4">
      <c r="N100" s="25">
        <v>45741</v>
      </c>
      <c r="O100" s="26">
        <v>0.40758101851851852</v>
      </c>
      <c r="P100" s="50" t="s">
        <v>1020</v>
      </c>
      <c r="Q100" s="50" t="s">
        <v>1026</v>
      </c>
      <c r="R100" s="50" t="s">
        <v>1141</v>
      </c>
      <c r="S100" s="50" t="s">
        <v>1142</v>
      </c>
      <c r="T100" s="50">
        <v>-130000</v>
      </c>
      <c r="U100" s="50" t="s">
        <v>1024</v>
      </c>
      <c r="V100" s="50" t="s">
        <v>1036</v>
      </c>
      <c r="W100" s="50"/>
      <c r="X100" s="86"/>
      <c r="Y100" s="6"/>
    </row>
    <row r="101" spans="14:25" x14ac:dyDescent="0.4">
      <c r="N101" s="25">
        <v>45741</v>
      </c>
      <c r="O101" s="26">
        <v>0.42010416666666672</v>
      </c>
      <c r="P101" s="50" t="s">
        <v>1020</v>
      </c>
      <c r="Q101" s="50" t="s">
        <v>1026</v>
      </c>
      <c r="R101" s="50" t="s">
        <v>1137</v>
      </c>
      <c r="S101" s="50" t="s">
        <v>1138</v>
      </c>
      <c r="T101" s="50">
        <v>-100000</v>
      </c>
      <c r="U101" s="50" t="s">
        <v>1024</v>
      </c>
      <c r="V101" s="50" t="s">
        <v>1036</v>
      </c>
      <c r="W101" s="50"/>
      <c r="X101" s="86"/>
      <c r="Y101" s="6"/>
    </row>
    <row r="102" spans="14:25" x14ac:dyDescent="0.4">
      <c r="N102" s="25">
        <v>45741</v>
      </c>
      <c r="O102" s="26">
        <v>0.47267361111111111</v>
      </c>
      <c r="P102" s="50" t="s">
        <v>1020</v>
      </c>
      <c r="Q102" s="50" t="s">
        <v>1026</v>
      </c>
      <c r="R102" s="50" t="s">
        <v>1027</v>
      </c>
      <c r="S102" s="50" t="s">
        <v>1143</v>
      </c>
      <c r="T102" s="50">
        <v>-13900</v>
      </c>
      <c r="U102" s="50" t="s">
        <v>1024</v>
      </c>
      <c r="V102" s="50" t="s">
        <v>1025</v>
      </c>
      <c r="W102" s="50"/>
      <c r="X102" s="86"/>
      <c r="Y102" s="6"/>
    </row>
    <row r="103" spans="14:25" x14ac:dyDescent="0.4">
      <c r="N103" s="25">
        <v>45741</v>
      </c>
      <c r="O103" s="26">
        <v>0.50189814814814815</v>
      </c>
      <c r="P103" s="50" t="s">
        <v>1020</v>
      </c>
      <c r="Q103" s="50" t="s">
        <v>1026</v>
      </c>
      <c r="R103" s="50" t="s">
        <v>1115</v>
      </c>
      <c r="S103" s="50" t="s">
        <v>1136</v>
      </c>
      <c r="T103" s="50">
        <v>-62690</v>
      </c>
      <c r="U103" s="50" t="s">
        <v>1024</v>
      </c>
      <c r="V103" s="50" t="s">
        <v>1025</v>
      </c>
      <c r="W103" s="50"/>
      <c r="X103" s="86"/>
      <c r="Y103" s="6"/>
    </row>
    <row r="104" spans="14:25" x14ac:dyDescent="0.4">
      <c r="N104" s="25">
        <v>45741</v>
      </c>
      <c r="O104" s="26">
        <v>0.56377314814814816</v>
      </c>
      <c r="P104" s="50" t="s">
        <v>1020</v>
      </c>
      <c r="Q104" s="50" t="s">
        <v>1026</v>
      </c>
      <c r="R104" s="50" t="s">
        <v>1105</v>
      </c>
      <c r="S104" s="50" t="s">
        <v>1105</v>
      </c>
      <c r="T104" s="50">
        <v>-312140</v>
      </c>
      <c r="U104" s="50" t="s">
        <v>1024</v>
      </c>
      <c r="V104" s="50" t="s">
        <v>1025</v>
      </c>
      <c r="W104" s="50"/>
      <c r="X104" s="86"/>
      <c r="Y104" s="6"/>
    </row>
    <row r="105" spans="14:25" x14ac:dyDescent="0.4">
      <c r="N105" s="25">
        <v>45741</v>
      </c>
      <c r="O105" s="26">
        <v>0.81432870370370369</v>
      </c>
      <c r="P105" s="50" t="s">
        <v>1020</v>
      </c>
      <c r="Q105" s="50" t="s">
        <v>1026</v>
      </c>
      <c r="R105" s="50" t="s">
        <v>1115</v>
      </c>
      <c r="S105" s="50" t="s">
        <v>1329</v>
      </c>
      <c r="T105" s="50">
        <v>-224943</v>
      </c>
      <c r="U105" s="50" t="s">
        <v>1024</v>
      </c>
      <c r="V105" s="50" t="s">
        <v>1036</v>
      </c>
      <c r="W105" s="50"/>
      <c r="X105" s="6"/>
      <c r="Y105" s="6"/>
    </row>
    <row r="106" spans="14:25" x14ac:dyDescent="0.4">
      <c r="N106" s="25">
        <v>45741</v>
      </c>
      <c r="O106" s="26">
        <v>0.82728009259259261</v>
      </c>
      <c r="P106" s="50" t="s">
        <v>1020</v>
      </c>
      <c r="Q106" s="50" t="s">
        <v>1148</v>
      </c>
      <c r="R106" s="50" t="s">
        <v>1149</v>
      </c>
      <c r="S106" s="50" t="s">
        <v>1150</v>
      </c>
      <c r="T106" s="50">
        <v>-860934</v>
      </c>
      <c r="U106" s="50" t="s">
        <v>1024</v>
      </c>
      <c r="V106" s="50" t="s">
        <v>1036</v>
      </c>
      <c r="W106" s="50"/>
      <c r="X106" s="6"/>
      <c r="Y106" s="6"/>
    </row>
    <row r="107" spans="14:25" x14ac:dyDescent="0.4">
      <c r="N107" s="25">
        <v>45742</v>
      </c>
      <c r="O107" s="26">
        <v>0.18738425925925931</v>
      </c>
      <c r="P107" s="50" t="s">
        <v>1073</v>
      </c>
      <c r="Q107" s="50" t="s">
        <v>1218</v>
      </c>
      <c r="R107" s="50" t="s">
        <v>1054</v>
      </c>
      <c r="S107" s="50" t="s">
        <v>1219</v>
      </c>
      <c r="T107" s="50">
        <v>722</v>
      </c>
      <c r="U107" s="50" t="s">
        <v>1024</v>
      </c>
      <c r="V107" s="50" t="s">
        <v>1216</v>
      </c>
      <c r="W107" s="50"/>
      <c r="X107" s="6"/>
      <c r="Y107" s="6"/>
    </row>
    <row r="108" spans="14:25" x14ac:dyDescent="0.4">
      <c r="N108" s="25">
        <v>45742</v>
      </c>
      <c r="O108" s="26">
        <v>0.43430555555555561</v>
      </c>
      <c r="P108" s="50" t="s">
        <v>1053</v>
      </c>
      <c r="Q108" s="50" t="s">
        <v>1053</v>
      </c>
      <c r="R108" s="50" t="s">
        <v>1054</v>
      </c>
      <c r="S108" s="50" t="s">
        <v>1330</v>
      </c>
      <c r="T108" s="50">
        <v>-10000000</v>
      </c>
      <c r="U108" s="50" t="s">
        <v>1024</v>
      </c>
      <c r="V108" s="50" t="s">
        <v>1036</v>
      </c>
      <c r="W108" s="50"/>
      <c r="X108" s="6"/>
      <c r="Y108" s="6"/>
    </row>
    <row r="109" spans="14:25" x14ac:dyDescent="0.4">
      <c r="N109" s="25">
        <v>45742</v>
      </c>
      <c r="O109" s="26">
        <v>0.43431712962962971</v>
      </c>
      <c r="P109" s="50" t="s">
        <v>1053</v>
      </c>
      <c r="Q109" s="50" t="s">
        <v>1053</v>
      </c>
      <c r="R109" s="50" t="s">
        <v>1054</v>
      </c>
      <c r="S109" s="50" t="s">
        <v>1103</v>
      </c>
      <c r="T109" s="50">
        <v>10000000</v>
      </c>
      <c r="U109" s="50" t="s">
        <v>1024</v>
      </c>
      <c r="V109" s="50" t="s">
        <v>1214</v>
      </c>
      <c r="W109" s="50"/>
      <c r="X109" s="6"/>
      <c r="Y109" s="6"/>
    </row>
    <row r="110" spans="14:25" x14ac:dyDescent="0.4">
      <c r="N110" s="25">
        <v>45742</v>
      </c>
      <c r="O110" s="26">
        <v>0.435</v>
      </c>
      <c r="P110" s="50" t="s">
        <v>1053</v>
      </c>
      <c r="Q110" s="50" t="s">
        <v>1053</v>
      </c>
      <c r="R110" s="50" t="s">
        <v>1054</v>
      </c>
      <c r="S110" s="50" t="s">
        <v>1103</v>
      </c>
      <c r="T110" s="50">
        <v>-19000000</v>
      </c>
      <c r="U110" s="50" t="s">
        <v>1024</v>
      </c>
      <c r="V110" s="50" t="s">
        <v>1036</v>
      </c>
      <c r="W110" s="50"/>
      <c r="X110" s="6"/>
      <c r="Y110" s="6"/>
    </row>
    <row r="111" spans="14:25" x14ac:dyDescent="0.4">
      <c r="N111" s="25">
        <v>45742</v>
      </c>
      <c r="O111" s="26">
        <v>0.435</v>
      </c>
      <c r="P111" s="50" t="s">
        <v>1053</v>
      </c>
      <c r="Q111" s="50" t="s">
        <v>1053</v>
      </c>
      <c r="R111" s="50" t="s">
        <v>1054</v>
      </c>
      <c r="S111" s="50" t="s">
        <v>1103</v>
      </c>
      <c r="T111" s="50">
        <v>19000000</v>
      </c>
      <c r="U111" s="50" t="s">
        <v>1024</v>
      </c>
      <c r="V111" s="50" t="s">
        <v>1214</v>
      </c>
      <c r="W111" s="50"/>
      <c r="X111" s="6"/>
      <c r="Y111" s="6"/>
    </row>
    <row r="112" spans="14:25" x14ac:dyDescent="0.4">
      <c r="N112" s="25">
        <v>45742</v>
      </c>
      <c r="O112" s="26">
        <v>0.43528935185185191</v>
      </c>
      <c r="P112" s="50" t="s">
        <v>1053</v>
      </c>
      <c r="Q112" s="50" t="s">
        <v>1053</v>
      </c>
      <c r="R112" s="50" t="s">
        <v>1054</v>
      </c>
      <c r="S112" s="50" t="s">
        <v>1215</v>
      </c>
      <c r="T112" s="50">
        <v>29000000</v>
      </c>
      <c r="U112" s="50" t="s">
        <v>1024</v>
      </c>
      <c r="V112" s="50" t="s">
        <v>1216</v>
      </c>
      <c r="W112" s="50"/>
      <c r="X112" s="6"/>
      <c r="Y112" s="6"/>
    </row>
    <row r="113" spans="14:25" x14ac:dyDescent="0.4">
      <c r="N113" s="25">
        <v>45742</v>
      </c>
      <c r="O113" s="26">
        <v>0.43528935185185191</v>
      </c>
      <c r="P113" s="50" t="s">
        <v>1053</v>
      </c>
      <c r="Q113" s="50" t="s">
        <v>1053</v>
      </c>
      <c r="R113" s="50" t="s">
        <v>1054</v>
      </c>
      <c r="S113" s="50" t="s">
        <v>1217</v>
      </c>
      <c r="T113" s="50">
        <v>-29000000</v>
      </c>
      <c r="U113" s="50" t="s">
        <v>1024</v>
      </c>
      <c r="V113" s="50" t="s">
        <v>1214</v>
      </c>
      <c r="W113" s="50"/>
      <c r="X113" s="6"/>
      <c r="Y113" s="6"/>
    </row>
    <row r="114" spans="14:25" x14ac:dyDescent="0.4">
      <c r="N114" s="25">
        <v>45743</v>
      </c>
      <c r="O114" s="26">
        <v>0.1524305555555556</v>
      </c>
      <c r="P114" s="50" t="s">
        <v>1073</v>
      </c>
      <c r="Q114" s="50" t="s">
        <v>1218</v>
      </c>
      <c r="R114" s="50" t="s">
        <v>1054</v>
      </c>
      <c r="S114" s="50" t="s">
        <v>1219</v>
      </c>
      <c r="T114" s="50">
        <v>1932</v>
      </c>
      <c r="U114" s="50" t="s">
        <v>1024</v>
      </c>
      <c r="V114" s="50" t="s">
        <v>1216</v>
      </c>
      <c r="W114" s="50"/>
      <c r="X114" s="6"/>
      <c r="Y114" s="6"/>
    </row>
    <row r="115" spans="14:25" x14ac:dyDescent="0.4">
      <c r="N115" s="25">
        <v>45743</v>
      </c>
      <c r="O115" s="26">
        <v>0.57562500000000005</v>
      </c>
      <c r="P115" s="50" t="s">
        <v>1020</v>
      </c>
      <c r="Q115" s="50" t="s">
        <v>1047</v>
      </c>
      <c r="R115" s="50" t="s">
        <v>1047</v>
      </c>
      <c r="S115" s="50" t="s">
        <v>1262</v>
      </c>
      <c r="T115" s="50">
        <v>-2000</v>
      </c>
      <c r="U115" s="50" t="s">
        <v>1024</v>
      </c>
      <c r="V115" s="50" t="s">
        <v>1079</v>
      </c>
      <c r="W115" s="50" t="s">
        <v>1331</v>
      </c>
      <c r="X115" s="6"/>
      <c r="Y115" s="6"/>
    </row>
    <row r="116" spans="14:25" x14ac:dyDescent="0.4">
      <c r="N116" s="25">
        <v>45743</v>
      </c>
      <c r="O116" s="26">
        <v>0.67054398148148153</v>
      </c>
      <c r="P116" s="50" t="s">
        <v>1020</v>
      </c>
      <c r="Q116" s="50" t="s">
        <v>1029</v>
      </c>
      <c r="R116" s="50" t="s">
        <v>1030</v>
      </c>
      <c r="S116" s="50" t="s">
        <v>1031</v>
      </c>
      <c r="T116" s="50">
        <v>-17060</v>
      </c>
      <c r="U116" s="50" t="s">
        <v>1024</v>
      </c>
      <c r="V116" s="50" t="s">
        <v>1025</v>
      </c>
      <c r="W116" s="50"/>
      <c r="X116" s="6"/>
      <c r="Y116" s="6"/>
    </row>
    <row r="117" spans="14:25" x14ac:dyDescent="0.4">
      <c r="N117" s="25">
        <v>45744</v>
      </c>
      <c r="O117" s="26">
        <v>0.14354166666666671</v>
      </c>
      <c r="P117" s="50" t="s">
        <v>1073</v>
      </c>
      <c r="Q117" s="50" t="s">
        <v>1218</v>
      </c>
      <c r="R117" s="50" t="s">
        <v>1054</v>
      </c>
      <c r="S117" s="50" t="s">
        <v>1219</v>
      </c>
      <c r="T117" s="50">
        <v>1932</v>
      </c>
      <c r="U117" s="50" t="s">
        <v>1024</v>
      </c>
      <c r="V117" s="50" t="s">
        <v>1216</v>
      </c>
      <c r="W117" s="50"/>
      <c r="X117" s="6"/>
      <c r="Y117" s="6"/>
    </row>
    <row r="118" spans="14:25" x14ac:dyDescent="0.4">
      <c r="N118" s="25">
        <v>45744</v>
      </c>
      <c r="O118" s="26">
        <v>0.80162037037037037</v>
      </c>
      <c r="P118" s="50" t="s">
        <v>1020</v>
      </c>
      <c r="Q118" s="50" t="s">
        <v>1029</v>
      </c>
      <c r="R118" s="50" t="s">
        <v>1070</v>
      </c>
      <c r="S118" s="50" t="s">
        <v>1332</v>
      </c>
      <c r="T118" s="50">
        <v>-94000</v>
      </c>
      <c r="U118" s="50" t="s">
        <v>1024</v>
      </c>
      <c r="V118" s="50" t="s">
        <v>1099</v>
      </c>
      <c r="W118" s="50" t="s">
        <v>1333</v>
      </c>
      <c r="X118" s="6"/>
      <c r="Y118" s="6" t="s">
        <v>1160</v>
      </c>
    </row>
    <row r="119" spans="14:25" x14ac:dyDescent="0.4">
      <c r="N119" s="25">
        <v>45745</v>
      </c>
      <c r="O119" s="26">
        <v>0.15950231481481481</v>
      </c>
      <c r="P119" s="50" t="s">
        <v>1073</v>
      </c>
      <c r="Q119" s="50" t="s">
        <v>1218</v>
      </c>
      <c r="R119" s="50" t="s">
        <v>1054</v>
      </c>
      <c r="S119" s="50" t="s">
        <v>1219</v>
      </c>
      <c r="T119" s="50">
        <v>1932</v>
      </c>
      <c r="U119" s="50" t="s">
        <v>1024</v>
      </c>
      <c r="V119" s="50" t="s">
        <v>1216</v>
      </c>
      <c r="W119" s="50"/>
      <c r="X119" s="6"/>
      <c r="Y119" s="6"/>
    </row>
    <row r="120" spans="14:25" x14ac:dyDescent="0.4">
      <c r="N120" s="25">
        <v>45745</v>
      </c>
      <c r="O120" s="26">
        <v>0.52104166666666663</v>
      </c>
      <c r="P120" s="50" t="s">
        <v>1020</v>
      </c>
      <c r="Q120" s="50" t="s">
        <v>1022</v>
      </c>
      <c r="R120" s="50" t="s">
        <v>1313</v>
      </c>
      <c r="S120" s="50" t="s">
        <v>1334</v>
      </c>
      <c r="T120" s="50">
        <v>-26900</v>
      </c>
      <c r="U120" s="50" t="s">
        <v>1024</v>
      </c>
      <c r="V120" s="50" t="s">
        <v>1125</v>
      </c>
      <c r="W120" s="50"/>
      <c r="X120" s="6"/>
      <c r="Y120" s="6"/>
    </row>
    <row r="121" spans="14:25" x14ac:dyDescent="0.4">
      <c r="N121" s="25">
        <v>45745</v>
      </c>
      <c r="O121" s="26">
        <v>0.53112268518518524</v>
      </c>
      <c r="P121" s="50" t="s">
        <v>1053</v>
      </c>
      <c r="Q121" s="50" t="s">
        <v>1335</v>
      </c>
      <c r="R121" s="50" t="s">
        <v>1054</v>
      </c>
      <c r="S121" s="50" t="s">
        <v>1103</v>
      </c>
      <c r="T121" s="50">
        <v>26900</v>
      </c>
      <c r="U121" s="50" t="s">
        <v>1024</v>
      </c>
      <c r="V121" s="50" t="s">
        <v>1036</v>
      </c>
      <c r="W121" s="50"/>
      <c r="X121" s="6"/>
      <c r="Y121" s="6"/>
    </row>
    <row r="122" spans="14:25" x14ac:dyDescent="0.4">
      <c r="N122" s="25">
        <v>45745</v>
      </c>
      <c r="O122" s="26">
        <v>0.53270833333333334</v>
      </c>
      <c r="P122" s="50" t="s">
        <v>1053</v>
      </c>
      <c r="Q122" s="50" t="s">
        <v>1335</v>
      </c>
      <c r="R122" s="50" t="s">
        <v>1054</v>
      </c>
      <c r="S122" s="50" t="s">
        <v>1103</v>
      </c>
      <c r="T122" s="50">
        <v>12100</v>
      </c>
      <c r="U122" s="50" t="s">
        <v>1024</v>
      </c>
      <c r="V122" s="50" t="s">
        <v>1036</v>
      </c>
      <c r="W122" s="50"/>
      <c r="X122" s="6"/>
      <c r="Y122" s="6"/>
    </row>
    <row r="123" spans="14:25" x14ac:dyDescent="0.4">
      <c r="N123" s="25">
        <v>45745</v>
      </c>
      <c r="O123" s="26">
        <v>0.66188657407407403</v>
      </c>
      <c r="P123" s="50" t="s">
        <v>1020</v>
      </c>
      <c r="Q123" s="50" t="s">
        <v>1029</v>
      </c>
      <c r="R123" s="50" t="s">
        <v>1070</v>
      </c>
      <c r="S123" s="50" t="s">
        <v>1336</v>
      </c>
      <c r="T123" s="50">
        <v>-15100</v>
      </c>
      <c r="U123" s="50" t="s">
        <v>1024</v>
      </c>
      <c r="V123" s="50" t="s">
        <v>1099</v>
      </c>
      <c r="W123" s="50"/>
      <c r="X123" s="6"/>
      <c r="Y123" s="6"/>
    </row>
    <row r="124" spans="14:25" x14ac:dyDescent="0.4">
      <c r="N124" s="25">
        <v>45746</v>
      </c>
      <c r="O124" s="26">
        <v>0.15869212962962961</v>
      </c>
      <c r="P124" s="50" t="s">
        <v>1073</v>
      </c>
      <c r="Q124" s="50" t="s">
        <v>1218</v>
      </c>
      <c r="R124" s="50" t="s">
        <v>1054</v>
      </c>
      <c r="S124" s="50" t="s">
        <v>1219</v>
      </c>
      <c r="T124" s="50">
        <v>1932</v>
      </c>
      <c r="U124" s="50" t="s">
        <v>1024</v>
      </c>
      <c r="V124" s="50" t="s">
        <v>1216</v>
      </c>
      <c r="W124" s="50"/>
      <c r="X124" s="6"/>
      <c r="Y124" s="6"/>
    </row>
    <row r="125" spans="14:25" x14ac:dyDescent="0.4">
      <c r="N125" s="25">
        <v>45746</v>
      </c>
      <c r="O125" s="26">
        <v>0.4544212962962963</v>
      </c>
      <c r="P125" s="50" t="s">
        <v>1020</v>
      </c>
      <c r="Q125" s="50" t="s">
        <v>1047</v>
      </c>
      <c r="R125" s="50" t="s">
        <v>1177</v>
      </c>
      <c r="S125" s="50" t="s">
        <v>1337</v>
      </c>
      <c r="T125" s="50">
        <v>-46000</v>
      </c>
      <c r="U125" s="50" t="s">
        <v>1024</v>
      </c>
      <c r="V125" s="50" t="s">
        <v>1099</v>
      </c>
      <c r="W125" s="50" t="s">
        <v>1338</v>
      </c>
      <c r="X125" s="6"/>
      <c r="Y125" s="6"/>
    </row>
    <row r="126" spans="14:25" x14ac:dyDescent="0.4">
      <c r="N126" s="25">
        <v>45746</v>
      </c>
      <c r="O126" s="26">
        <v>0.47782407407407412</v>
      </c>
      <c r="P126" s="50" t="s">
        <v>1020</v>
      </c>
      <c r="Q126" s="50" t="s">
        <v>1047</v>
      </c>
      <c r="R126" s="50" t="s">
        <v>1063</v>
      </c>
      <c r="S126" s="50" t="s">
        <v>1339</v>
      </c>
      <c r="T126" s="50">
        <v>-28000</v>
      </c>
      <c r="U126" s="50" t="s">
        <v>1024</v>
      </c>
      <c r="V126" s="50" t="s">
        <v>1099</v>
      </c>
      <c r="W126" s="50" t="s">
        <v>1340</v>
      </c>
      <c r="X126" s="6"/>
      <c r="Y126" s="6"/>
    </row>
    <row r="127" spans="14:25" x14ac:dyDescent="0.4">
      <c r="N127" s="25">
        <v>45746</v>
      </c>
      <c r="O127" s="26">
        <v>0.49561342592592589</v>
      </c>
      <c r="P127" s="50" t="s">
        <v>1020</v>
      </c>
      <c r="Q127" s="50" t="s">
        <v>1029</v>
      </c>
      <c r="R127" s="50" t="s">
        <v>1030</v>
      </c>
      <c r="S127" s="50" t="s">
        <v>1172</v>
      </c>
      <c r="T127" s="50">
        <v>-126570</v>
      </c>
      <c r="U127" s="50" t="s">
        <v>1024</v>
      </c>
      <c r="V127" s="50" t="s">
        <v>1025</v>
      </c>
      <c r="W127" s="50" t="s">
        <v>1341</v>
      </c>
      <c r="X127" s="6"/>
      <c r="Y127" s="6"/>
    </row>
    <row r="128" spans="14:25" x14ac:dyDescent="0.4">
      <c r="N128" s="25">
        <v>45747</v>
      </c>
      <c r="O128" s="26">
        <v>7.3287037037037039E-2</v>
      </c>
      <c r="P128" s="50" t="s">
        <v>1020</v>
      </c>
      <c r="Q128" s="50" t="s">
        <v>1026</v>
      </c>
      <c r="R128" s="50" t="s">
        <v>1151</v>
      </c>
      <c r="S128" s="50" t="s">
        <v>1152</v>
      </c>
      <c r="T128" s="50">
        <v>-1600</v>
      </c>
      <c r="U128" s="50" t="s">
        <v>1024</v>
      </c>
      <c r="V128" s="50" t="s">
        <v>1125</v>
      </c>
      <c r="W128" s="50"/>
      <c r="X128" s="6"/>
      <c r="Y128" s="6"/>
    </row>
    <row r="129" spans="14:25" x14ac:dyDescent="0.4">
      <c r="N129" s="25">
        <v>45747</v>
      </c>
      <c r="O129" s="26">
        <v>7.3287037037037039E-2</v>
      </c>
      <c r="P129" s="50" t="s">
        <v>1020</v>
      </c>
      <c r="Q129" s="50" t="s">
        <v>1026</v>
      </c>
      <c r="R129" s="50" t="s">
        <v>1151</v>
      </c>
      <c r="S129" s="50" t="s">
        <v>1153</v>
      </c>
      <c r="T129" s="50">
        <v>-2800</v>
      </c>
      <c r="U129" s="50" t="s">
        <v>1024</v>
      </c>
      <c r="V129" s="50" t="s">
        <v>1125</v>
      </c>
      <c r="W129" s="50"/>
      <c r="X129" s="6"/>
      <c r="Y129" s="6"/>
    </row>
    <row r="130" spans="14:25" x14ac:dyDescent="0.4">
      <c r="N130" s="25">
        <v>45747</v>
      </c>
      <c r="O130" s="26">
        <v>0.1585300925925926</v>
      </c>
      <c r="P130" s="50" t="s">
        <v>1073</v>
      </c>
      <c r="Q130" s="50" t="s">
        <v>1218</v>
      </c>
      <c r="R130" s="50" t="s">
        <v>1054</v>
      </c>
      <c r="S130" s="50" t="s">
        <v>1219</v>
      </c>
      <c r="T130" s="50">
        <v>1932</v>
      </c>
      <c r="U130" s="50" t="s">
        <v>1024</v>
      </c>
      <c r="V130" s="50" t="s">
        <v>1216</v>
      </c>
      <c r="W130" s="50"/>
      <c r="X130" s="6"/>
      <c r="Y130" s="6"/>
    </row>
    <row r="131" spans="14:25" x14ac:dyDescent="0.4">
      <c r="N131" s="25">
        <v>45747</v>
      </c>
      <c r="O131" s="26">
        <v>0.46368055555555548</v>
      </c>
      <c r="P131" s="50" t="s">
        <v>1020</v>
      </c>
      <c r="Q131" s="50" t="s">
        <v>1042</v>
      </c>
      <c r="R131" s="50" t="s">
        <v>1054</v>
      </c>
      <c r="S131" s="50" t="s">
        <v>1342</v>
      </c>
      <c r="T131" s="50">
        <v>-115900</v>
      </c>
      <c r="U131" s="50" t="s">
        <v>1024</v>
      </c>
      <c r="V131" s="50" t="s">
        <v>1099</v>
      </c>
      <c r="W131" s="50" t="s">
        <v>1343</v>
      </c>
      <c r="X131" s="6"/>
      <c r="Y131" s="6"/>
    </row>
    <row r="132" spans="14:25" x14ac:dyDescent="0.4">
      <c r="N132" s="25">
        <v>45747</v>
      </c>
      <c r="O132" s="26">
        <v>0.47190972222222222</v>
      </c>
      <c r="P132" s="50" t="s">
        <v>1020</v>
      </c>
      <c r="Q132" s="50" t="s">
        <v>1047</v>
      </c>
      <c r="R132" s="50" t="s">
        <v>1063</v>
      </c>
      <c r="S132" s="50" t="s">
        <v>1344</v>
      </c>
      <c r="T132" s="50">
        <v>-67859</v>
      </c>
      <c r="U132" s="50" t="s">
        <v>1024</v>
      </c>
      <c r="V132" s="50" t="s">
        <v>1036</v>
      </c>
      <c r="W132" s="50" t="s">
        <v>1345</v>
      </c>
      <c r="X132" s="6"/>
      <c r="Y132" s="6"/>
    </row>
    <row r="133" spans="14:25" x14ac:dyDescent="0.4">
      <c r="N133" s="25">
        <v>45747</v>
      </c>
      <c r="O133" s="26">
        <v>0.48206018518518517</v>
      </c>
      <c r="P133" s="50" t="s">
        <v>1020</v>
      </c>
      <c r="Q133" s="50" t="s">
        <v>1029</v>
      </c>
      <c r="R133" s="50" t="s">
        <v>1030</v>
      </c>
      <c r="S133" s="50" t="s">
        <v>1172</v>
      </c>
      <c r="T133" s="50">
        <v>-27680</v>
      </c>
      <c r="U133" s="50" t="s">
        <v>1024</v>
      </c>
      <c r="V133" s="50" t="s">
        <v>1025</v>
      </c>
      <c r="W133" s="50" t="s">
        <v>1346</v>
      </c>
      <c r="X133" s="6"/>
      <c r="Y133" s="6"/>
    </row>
    <row r="134" spans="14:25" x14ac:dyDescent="0.4">
      <c r="N134" s="25">
        <v>45747</v>
      </c>
      <c r="O134" s="26">
        <v>0.49722222222222218</v>
      </c>
      <c r="P134" s="50" t="s">
        <v>1020</v>
      </c>
      <c r="Q134" s="50" t="s">
        <v>1029</v>
      </c>
      <c r="R134" s="50" t="s">
        <v>1030</v>
      </c>
      <c r="S134" s="50" t="s">
        <v>1031</v>
      </c>
      <c r="T134" s="50">
        <v>-14860</v>
      </c>
      <c r="U134" s="50" t="s">
        <v>1024</v>
      </c>
      <c r="V134" s="50" t="s">
        <v>1025</v>
      </c>
      <c r="W134" s="50" t="s">
        <v>1347</v>
      </c>
      <c r="X134" s="6"/>
      <c r="Y134" s="6"/>
    </row>
    <row r="135" spans="14:25" x14ac:dyDescent="0.4">
      <c r="N135" s="25">
        <v>45747</v>
      </c>
      <c r="O135" s="26">
        <v>0.50633101851851847</v>
      </c>
      <c r="P135" s="50" t="s">
        <v>1020</v>
      </c>
      <c r="Q135" s="50" t="s">
        <v>1042</v>
      </c>
      <c r="R135" s="50" t="s">
        <v>1043</v>
      </c>
      <c r="S135" s="50" t="s">
        <v>1348</v>
      </c>
      <c r="T135" s="50">
        <v>-3200</v>
      </c>
      <c r="U135" s="50" t="s">
        <v>1024</v>
      </c>
      <c r="V135" s="50" t="s">
        <v>1099</v>
      </c>
      <c r="W135" s="50" t="s">
        <v>1349</v>
      </c>
      <c r="X135" s="6"/>
      <c r="Y135" s="6"/>
    </row>
    <row r="136" spans="14:25" x14ac:dyDescent="0.4">
      <c r="N136" s="25">
        <v>45747</v>
      </c>
      <c r="O136" s="26">
        <v>0.71442129629629625</v>
      </c>
      <c r="P136" s="50" t="s">
        <v>1020</v>
      </c>
      <c r="Q136" s="50" t="s">
        <v>1029</v>
      </c>
      <c r="R136" s="50" t="s">
        <v>1070</v>
      </c>
      <c r="S136" s="50" t="s">
        <v>1122</v>
      </c>
      <c r="T136" s="50">
        <v>-14000</v>
      </c>
      <c r="U136" s="50" t="s">
        <v>1024</v>
      </c>
      <c r="V136" s="50" t="s">
        <v>1350</v>
      </c>
      <c r="W136" s="50" t="s">
        <v>1351</v>
      </c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</sheetData>
  <autoFilter ref="N2:Y104" xr:uid="{11B47028-C17C-47C6-A882-4705ECF29BE6}"/>
  <mergeCells count="3">
    <mergeCell ref="O1:P1"/>
    <mergeCell ref="A19:D19"/>
    <mergeCell ref="I20:J20"/>
  </mergeCells>
  <phoneticPr fontId="2" type="noConversion"/>
  <conditionalFormatting sqref="G74:G79 I74:I79">
    <cfRule type="cellIs" dxfId="87" priority="1" operator="lessThan">
      <formula>0</formula>
    </cfRule>
    <cfRule type="cellIs" dxfId="86" priority="2" operator="greaterThan">
      <formula>0</formula>
    </cfRule>
  </conditionalFormatting>
  <conditionalFormatting sqref="I3:I18">
    <cfRule type="cellIs" dxfId="85" priority="4" operator="greaterThan">
      <formula>0</formula>
    </cfRule>
    <cfRule type="cellIs" dxfId="84" priority="5" operator="lessThan">
      <formula>0</formula>
    </cfRule>
  </conditionalFormatting>
  <conditionalFormatting sqref="K6:K20">
    <cfRule type="cellIs" dxfId="83" priority="3" operator="lessThan">
      <formula>0</formula>
    </cfRule>
  </conditionalFormatting>
  <conditionalFormatting sqref="L3:L20">
    <cfRule type="cellIs" dxfId="82" priority="6" operator="greaterThan">
      <formula>1</formula>
    </cfRule>
    <cfRule type="cellIs" dxfId="81" priority="7" operator="equal">
      <formula>1</formula>
    </cfRule>
    <cfRule type="cellIs" dxfId="80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D864-2121-4A9C-BA34-9E4C9AE6FC93}">
  <dimension ref="A1:Y218"/>
  <sheetViews>
    <sheetView zoomScale="80" zoomScaleNormal="80" workbookViewId="0">
      <pane ySplit="2" topLeftCell="A39" activePane="bottomLeft" state="frozen"/>
      <selection activeCell="E1" sqref="E1"/>
      <selection pane="bottomLeft" activeCell="I47" sqref="I47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2.0976562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202503</v>
      </c>
      <c r="K1" s="46" t="s">
        <v>923</v>
      </c>
      <c r="L1" s="46">
        <v>202504</v>
      </c>
      <c r="N1" s="27" t="s">
        <v>950</v>
      </c>
      <c r="O1" s="133">
        <f>SUMIF(P3:P234,"지출",T3:T234)</f>
        <v>-29769445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202504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-860934</v>
      </c>
      <c r="I3" s="41">
        <f ca="1">J3-H3</f>
        <v>-31516</v>
      </c>
      <c r="J3" s="43">
        <f>VLOOKUP(A3,대출!$B$4:$G$363,3,FALSE)*-1</f>
        <v>-892450</v>
      </c>
      <c r="K3" s="43">
        <f>G3+J3</f>
        <v>7550</v>
      </c>
      <c r="L3" s="24">
        <f>IF(G3=0,0,-J3/G3)</f>
        <v>0.99161111111111111</v>
      </c>
      <c r="N3" s="25">
        <v>45748</v>
      </c>
      <c r="O3" s="26">
        <v>0.2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1933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202504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SUMIFS($T$3:$T$234,$P$3:$P$234,"지출",$Q$3:$Q$234,C4,$R$3:$R$234,D4)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45748</v>
      </c>
      <c r="O4" s="26">
        <v>0.98004629629629625</v>
      </c>
      <c r="P4" s="50" t="s">
        <v>1020</v>
      </c>
      <c r="Q4" s="50" t="s">
        <v>1029</v>
      </c>
      <c r="R4" s="50" t="s">
        <v>1047</v>
      </c>
      <c r="S4" s="50" t="s">
        <v>1051</v>
      </c>
      <c r="T4" s="50">
        <v>-287300</v>
      </c>
      <c r="U4" s="50" t="s">
        <v>1024</v>
      </c>
      <c r="V4" s="50" t="s">
        <v>1036</v>
      </c>
      <c r="W4" s="50" t="s">
        <v>1052</v>
      </c>
      <c r="X4" s="86"/>
      <c r="Y4" s="4"/>
    </row>
    <row r="5" spans="1:25" x14ac:dyDescent="0.4">
      <c r="A5" s="4">
        <f t="shared" si="0"/>
        <v>202504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-63690</v>
      </c>
      <c r="I5" s="41">
        <f ca="1">J5-H5</f>
        <v>-20900</v>
      </c>
      <c r="J5" s="44">
        <f t="shared" si="3"/>
        <v>-84590</v>
      </c>
      <c r="K5" s="44">
        <f t="shared" si="4"/>
        <v>-40590</v>
      </c>
      <c r="L5" s="19">
        <f t="shared" si="5"/>
        <v>1.9225000000000001</v>
      </c>
      <c r="N5" s="25">
        <v>45749</v>
      </c>
      <c r="O5" s="26">
        <v>0.2132523148148148</v>
      </c>
      <c r="P5" s="50" t="s">
        <v>1073</v>
      </c>
      <c r="Q5" s="99" t="s">
        <v>1218</v>
      </c>
      <c r="R5" s="50" t="s">
        <v>1054</v>
      </c>
      <c r="S5" s="50" t="s">
        <v>1219</v>
      </c>
      <c r="T5" s="50">
        <v>1933</v>
      </c>
      <c r="U5" s="50" t="s">
        <v>1024</v>
      </c>
      <c r="V5" s="50" t="s">
        <v>1216</v>
      </c>
      <c r="W5" s="50"/>
      <c r="X5" s="86"/>
      <c r="Y5" s="6"/>
    </row>
    <row r="6" spans="1:25" x14ac:dyDescent="0.4">
      <c r="A6" s="4">
        <f t="shared" si="0"/>
        <v>202504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-312140</v>
      </c>
      <c r="I6" s="41">
        <f t="shared" ref="I6:I18" ca="1" si="7">J6-H6</f>
        <v>44930</v>
      </c>
      <c r="J6" s="44">
        <f t="shared" si="3"/>
        <v>-267210</v>
      </c>
      <c r="K6" s="44">
        <f t="shared" si="4"/>
        <v>62790</v>
      </c>
      <c r="L6" s="19">
        <f t="shared" si="5"/>
        <v>0.80972727272727274</v>
      </c>
      <c r="N6" s="25">
        <v>45749</v>
      </c>
      <c r="O6" s="26">
        <v>0.58234953703703707</v>
      </c>
      <c r="P6" s="50" t="s">
        <v>1020</v>
      </c>
      <c r="Q6" s="50" t="s">
        <v>1047</v>
      </c>
      <c r="R6" s="50" t="s">
        <v>1048</v>
      </c>
      <c r="S6" s="50" t="s">
        <v>1262</v>
      </c>
      <c r="T6" s="50">
        <v>-49000</v>
      </c>
      <c r="U6" s="50" t="s">
        <v>1024</v>
      </c>
      <c r="V6" s="50" t="s">
        <v>1079</v>
      </c>
      <c r="W6" s="50" t="s">
        <v>1352</v>
      </c>
      <c r="X6" s="86"/>
      <c r="Y6" s="6"/>
    </row>
    <row r="7" spans="1:25" x14ac:dyDescent="0.4">
      <c r="A7" s="4">
        <f t="shared" si="0"/>
        <v>202504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45749</v>
      </c>
      <c r="O7" s="26">
        <v>0.95335648148148144</v>
      </c>
      <c r="P7" s="50" t="s">
        <v>1020</v>
      </c>
      <c r="Q7" s="50" t="s">
        <v>1029</v>
      </c>
      <c r="R7" s="50" t="s">
        <v>1030</v>
      </c>
      <c r="S7" s="50" t="s">
        <v>1031</v>
      </c>
      <c r="T7" s="50">
        <v>-10360</v>
      </c>
      <c r="U7" s="50" t="s">
        <v>1024</v>
      </c>
      <c r="V7" s="50" t="s">
        <v>1025</v>
      </c>
      <c r="W7" s="50" t="s">
        <v>1353</v>
      </c>
      <c r="X7" s="86"/>
      <c r="Y7" s="6"/>
    </row>
    <row r="8" spans="1:25" x14ac:dyDescent="0.4">
      <c r="A8" s="4">
        <f>$L$1</f>
        <v>202504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45750</v>
      </c>
      <c r="O8" s="26">
        <v>0.15910879629629629</v>
      </c>
      <c r="P8" s="50" t="s">
        <v>1073</v>
      </c>
      <c r="Q8" s="50" t="s">
        <v>1218</v>
      </c>
      <c r="R8" s="50" t="s">
        <v>1054</v>
      </c>
      <c r="S8" s="50" t="s">
        <v>1219</v>
      </c>
      <c r="T8" s="50">
        <v>1933</v>
      </c>
      <c r="U8" s="50" t="s">
        <v>1024</v>
      </c>
      <c r="V8" s="50" t="s">
        <v>1216</v>
      </c>
      <c r="W8" s="50"/>
      <c r="X8" s="86"/>
      <c r="Y8" s="6"/>
    </row>
    <row r="9" spans="1:25" x14ac:dyDescent="0.4">
      <c r="A9" s="4">
        <f t="shared" si="0"/>
        <v>202504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45750</v>
      </c>
      <c r="O9" s="26">
        <v>0.38194444444444442</v>
      </c>
      <c r="P9" s="50" t="s">
        <v>1020</v>
      </c>
      <c r="Q9" s="50" t="s">
        <v>1042</v>
      </c>
      <c r="R9" s="50" t="s">
        <v>1054</v>
      </c>
      <c r="S9" s="50" t="s">
        <v>1354</v>
      </c>
      <c r="T9" s="50">
        <v>-60000</v>
      </c>
      <c r="U9" s="50" t="s">
        <v>1024</v>
      </c>
      <c r="V9" s="50" t="s">
        <v>946</v>
      </c>
      <c r="W9" s="50" t="s">
        <v>1355</v>
      </c>
      <c r="X9" s="86"/>
      <c r="Y9" s="6"/>
    </row>
    <row r="10" spans="1:25" x14ac:dyDescent="0.4">
      <c r="A10" s="4">
        <f t="shared" si="0"/>
        <v>202504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-176410</v>
      </c>
      <c r="I10" s="41">
        <f t="shared" ca="1" si="7"/>
        <v>96470</v>
      </c>
      <c r="J10" s="44">
        <f t="shared" si="3"/>
        <v>-79940</v>
      </c>
      <c r="K10" s="44">
        <f t="shared" si="4"/>
        <v>80060</v>
      </c>
      <c r="L10" s="19">
        <f t="shared" si="5"/>
        <v>0.49962499999999999</v>
      </c>
      <c r="N10" s="25">
        <v>45750</v>
      </c>
      <c r="O10" s="26">
        <v>0.40229166666666671</v>
      </c>
      <c r="P10" s="50" t="s">
        <v>1020</v>
      </c>
      <c r="Q10" s="50" t="s">
        <v>1026</v>
      </c>
      <c r="R10" s="50" t="s">
        <v>1027</v>
      </c>
      <c r="S10" s="50" t="s">
        <v>1028</v>
      </c>
      <c r="T10" s="50">
        <v>-7890</v>
      </c>
      <c r="U10" s="50" t="s">
        <v>1024</v>
      </c>
      <c r="V10" s="50" t="s">
        <v>1025</v>
      </c>
      <c r="W10" s="50"/>
      <c r="X10" s="86"/>
      <c r="Y10" s="6"/>
    </row>
    <row r="11" spans="1:25" x14ac:dyDescent="0.4">
      <c r="A11" s="4">
        <f t="shared" si="0"/>
        <v>202504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45750</v>
      </c>
      <c r="O11" s="26">
        <v>0.40741898148148148</v>
      </c>
      <c r="P11" s="50" t="s">
        <v>1020</v>
      </c>
      <c r="Q11" s="50" t="s">
        <v>1042</v>
      </c>
      <c r="R11" s="50" t="s">
        <v>1054</v>
      </c>
      <c r="S11" s="50" t="s">
        <v>1354</v>
      </c>
      <c r="T11" s="50">
        <v>-60000</v>
      </c>
      <c r="U11" s="50" t="s">
        <v>1024</v>
      </c>
      <c r="V11" s="50" t="s">
        <v>946</v>
      </c>
      <c r="W11" s="50" t="s">
        <v>1356</v>
      </c>
      <c r="X11" s="86"/>
      <c r="Y11" s="6"/>
    </row>
    <row r="12" spans="1:25" x14ac:dyDescent="0.4">
      <c r="A12" s="4">
        <f t="shared" si="0"/>
        <v>202504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-887510</v>
      </c>
      <c r="I12" s="41">
        <f t="shared" ca="1" si="7"/>
        <v>284680</v>
      </c>
      <c r="J12" s="44">
        <f t="shared" ref="J12:J18" si="8">SUMIFS($T$3:$T$234,$P$3:$P$234,"지출",$Q$3:$Q$234,C12)</f>
        <v>-602830</v>
      </c>
      <c r="K12" s="45">
        <f t="shared" si="4"/>
        <v>-252830</v>
      </c>
      <c r="L12" s="19">
        <f t="shared" si="5"/>
        <v>1.7223714285714287</v>
      </c>
      <c r="N12" s="25">
        <v>45750</v>
      </c>
      <c r="O12" s="26">
        <v>0.78046296296296291</v>
      </c>
      <c r="P12" s="50" t="s">
        <v>1020</v>
      </c>
      <c r="Q12" s="50" t="s">
        <v>1026</v>
      </c>
      <c r="R12" s="50" t="s">
        <v>1151</v>
      </c>
      <c r="S12" s="50" t="s">
        <v>1357</v>
      </c>
      <c r="T12" s="50">
        <v>-73940</v>
      </c>
      <c r="U12" s="50" t="s">
        <v>1024</v>
      </c>
      <c r="V12" s="50" t="s">
        <v>1036</v>
      </c>
      <c r="W12" s="50"/>
      <c r="X12" s="86"/>
      <c r="Y12" s="6"/>
    </row>
    <row r="13" spans="1:25" x14ac:dyDescent="0.4">
      <c r="A13" s="4">
        <f t="shared" si="0"/>
        <v>202504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126000</v>
      </c>
      <c r="G13" s="18">
        <f t="shared" si="1"/>
        <v>126000</v>
      </c>
      <c r="H13" s="41">
        <f t="shared" ca="1" si="2"/>
        <v>-151500</v>
      </c>
      <c r="I13" s="41">
        <f t="shared" ca="1" si="7"/>
        <v>25500</v>
      </c>
      <c r="J13" s="44">
        <f t="shared" si="8"/>
        <v>-126000</v>
      </c>
      <c r="K13" s="44">
        <f t="shared" si="4"/>
        <v>0</v>
      </c>
      <c r="L13" s="19">
        <f t="shared" si="5"/>
        <v>1</v>
      </c>
      <c r="N13" s="25">
        <v>45751</v>
      </c>
      <c r="O13" s="26">
        <v>0.16025462962962961</v>
      </c>
      <c r="P13" s="50" t="s">
        <v>1073</v>
      </c>
      <c r="Q13" s="50" t="s">
        <v>1218</v>
      </c>
      <c r="R13" s="50" t="s">
        <v>1054</v>
      </c>
      <c r="S13" s="50" t="s">
        <v>1219</v>
      </c>
      <c r="T13" s="50">
        <v>1933</v>
      </c>
      <c r="U13" s="50" t="s">
        <v>1024</v>
      </c>
      <c r="V13" s="50" t="s">
        <v>1216</v>
      </c>
      <c r="W13" s="50"/>
      <c r="X13" s="86"/>
      <c r="Y13" s="6"/>
    </row>
    <row r="14" spans="1:25" x14ac:dyDescent="0.4">
      <c r="A14" s="4">
        <f t="shared" si="0"/>
        <v>202504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132000</v>
      </c>
      <c r="G14" s="18">
        <f t="shared" si="1"/>
        <v>132000</v>
      </c>
      <c r="H14" s="41">
        <f ca="1">INDIRECT($J$1&amp;"!J"&amp;ROW())</f>
        <v>-146920</v>
      </c>
      <c r="I14" s="41">
        <f t="shared" ca="1" si="7"/>
        <v>14920</v>
      </c>
      <c r="J14" s="44">
        <f t="shared" si="8"/>
        <v>-132000</v>
      </c>
      <c r="K14" s="44">
        <f t="shared" si="4"/>
        <v>0</v>
      </c>
      <c r="L14" s="19">
        <f t="shared" si="5"/>
        <v>1</v>
      </c>
      <c r="N14" s="25">
        <v>45752</v>
      </c>
      <c r="O14" s="26">
        <v>0.16137731481481479</v>
      </c>
      <c r="P14" s="50" t="s">
        <v>1073</v>
      </c>
      <c r="Q14" s="50" t="s">
        <v>1218</v>
      </c>
      <c r="R14" s="50" t="s">
        <v>1054</v>
      </c>
      <c r="S14" s="50" t="s">
        <v>1219</v>
      </c>
      <c r="T14" s="50">
        <v>1933</v>
      </c>
      <c r="U14" s="50" t="s">
        <v>1024</v>
      </c>
      <c r="V14" s="50" t="s">
        <v>1216</v>
      </c>
      <c r="W14" s="50"/>
      <c r="X14" s="86"/>
      <c r="Y14" s="6"/>
    </row>
    <row r="15" spans="1:25" x14ac:dyDescent="0.4">
      <c r="A15" s="4">
        <f t="shared" si="0"/>
        <v>202504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-138830</v>
      </c>
      <c r="I15" s="41">
        <f t="shared" ca="1" si="7"/>
        <v>86800</v>
      </c>
      <c r="J15" s="44">
        <f t="shared" si="8"/>
        <v>-52030</v>
      </c>
      <c r="K15" s="44">
        <f t="shared" si="4"/>
        <v>-52030</v>
      </c>
      <c r="L15" s="19">
        <f t="shared" si="5"/>
        <v>0</v>
      </c>
      <c r="N15" s="25">
        <v>45753</v>
      </c>
      <c r="O15" s="26">
        <v>0.16218750000000001</v>
      </c>
      <c r="P15" s="50" t="s">
        <v>1073</v>
      </c>
      <c r="Q15" s="50" t="s">
        <v>1218</v>
      </c>
      <c r="R15" s="50" t="s">
        <v>1054</v>
      </c>
      <c r="S15" s="50" t="s">
        <v>1219</v>
      </c>
      <c r="T15" s="50">
        <v>1933</v>
      </c>
      <c r="U15" s="50" t="s">
        <v>1024</v>
      </c>
      <c r="V15" s="50" t="s">
        <v>1216</v>
      </c>
      <c r="W15" s="50"/>
      <c r="X15" s="86"/>
      <c r="Y15" s="6"/>
    </row>
    <row r="16" spans="1:25" x14ac:dyDescent="0.4">
      <c r="A16" s="4">
        <f t="shared" si="0"/>
        <v>202504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-13700</v>
      </c>
      <c r="J16" s="44">
        <f t="shared" si="8"/>
        <v>-13700</v>
      </c>
      <c r="K16" s="44">
        <f t="shared" si="4"/>
        <v>-13700</v>
      </c>
      <c r="L16" s="19">
        <f t="shared" si="5"/>
        <v>0</v>
      </c>
      <c r="N16" s="25">
        <v>45753</v>
      </c>
      <c r="O16" s="26">
        <v>0.5534606481481481</v>
      </c>
      <c r="P16" s="50" t="s">
        <v>1020</v>
      </c>
      <c r="Q16" s="50" t="s">
        <v>1029</v>
      </c>
      <c r="R16" s="50" t="s">
        <v>1030</v>
      </c>
      <c r="S16" s="50" t="s">
        <v>1031</v>
      </c>
      <c r="T16" s="50">
        <v>-30320</v>
      </c>
      <c r="U16" s="50" t="s">
        <v>1024</v>
      </c>
      <c r="V16" s="50" t="s">
        <v>1025</v>
      </c>
      <c r="W16" s="50"/>
      <c r="X16" s="86"/>
      <c r="Y16" s="6"/>
    </row>
    <row r="17" spans="1:25" x14ac:dyDescent="0.4">
      <c r="A17" s="4">
        <f t="shared" si="0"/>
        <v>202504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45753</v>
      </c>
      <c r="O17" s="26">
        <v>0.9272569444444444</v>
      </c>
      <c r="P17" s="50" t="s">
        <v>1020</v>
      </c>
      <c r="Q17" s="50" t="s">
        <v>1047</v>
      </c>
      <c r="R17" s="50" t="s">
        <v>1048</v>
      </c>
      <c r="S17" s="50" t="s">
        <v>1031</v>
      </c>
      <c r="T17" s="50">
        <v>-76900</v>
      </c>
      <c r="U17" s="50" t="s">
        <v>1024</v>
      </c>
      <c r="V17" s="50" t="s">
        <v>1025</v>
      </c>
      <c r="W17" s="50" t="s">
        <v>1358</v>
      </c>
      <c r="X17" s="86"/>
      <c r="Y17" s="6"/>
    </row>
    <row r="18" spans="1:25" x14ac:dyDescent="0.4">
      <c r="A18" s="4">
        <f t="shared" si="0"/>
        <v>202504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26865040</v>
      </c>
      <c r="G18" s="18">
        <f t="shared" si="1"/>
        <v>27215040</v>
      </c>
      <c r="H18" s="41">
        <f t="shared" ca="1" si="2"/>
        <v>-415780</v>
      </c>
      <c r="I18" s="41">
        <f t="shared" ca="1" si="7"/>
        <v>-26449260</v>
      </c>
      <c r="J18" s="44">
        <f t="shared" si="8"/>
        <v>-26865040</v>
      </c>
      <c r="K18" s="44">
        <f t="shared" si="4"/>
        <v>350000</v>
      </c>
      <c r="L18" s="19">
        <f t="shared" si="5"/>
        <v>0.98713946406104858</v>
      </c>
      <c r="N18" s="25">
        <v>45754</v>
      </c>
      <c r="O18" s="26">
        <v>0.1608333333333333</v>
      </c>
      <c r="P18" s="50" t="s">
        <v>1073</v>
      </c>
      <c r="Q18" s="50" t="s">
        <v>1218</v>
      </c>
      <c r="R18" s="50" t="s">
        <v>1054</v>
      </c>
      <c r="S18" s="50" t="s">
        <v>1219</v>
      </c>
      <c r="T18" s="50">
        <v>1933</v>
      </c>
      <c r="U18" s="50" t="s">
        <v>1024</v>
      </c>
      <c r="V18" s="50" t="s">
        <v>1216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27123040</v>
      </c>
      <c r="G19" s="20">
        <f t="shared" si="9"/>
        <v>29948040</v>
      </c>
      <c r="H19" s="42">
        <f t="shared" ca="1" si="9"/>
        <v>-3807369</v>
      </c>
      <c r="I19" s="42">
        <f t="shared" ca="1" si="9"/>
        <v>-25962076</v>
      </c>
      <c r="J19" s="45">
        <f t="shared" si="9"/>
        <v>-29769445</v>
      </c>
      <c r="K19" s="45">
        <f t="shared" si="9"/>
        <v>178595</v>
      </c>
      <c r="L19" s="21">
        <f>IF(G19=0,0,-J19/G19)</f>
        <v>0.99403650455922987</v>
      </c>
      <c r="N19" s="25">
        <v>45754</v>
      </c>
      <c r="O19" s="26">
        <v>0.46157407407407408</v>
      </c>
      <c r="P19" s="50" t="s">
        <v>1053</v>
      </c>
      <c r="Q19" s="50" t="s">
        <v>1359</v>
      </c>
      <c r="R19" s="50" t="s">
        <v>1054</v>
      </c>
      <c r="S19" s="50" t="s">
        <v>1360</v>
      </c>
      <c r="T19" s="50">
        <v>56430</v>
      </c>
      <c r="U19" s="50" t="s">
        <v>1024</v>
      </c>
      <c r="V19" s="50" t="s">
        <v>1036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-26944445</v>
      </c>
      <c r="L20" s="22">
        <f>IF(E19=0,0,-J19/E19)</f>
        <v>10.537856637168142</v>
      </c>
      <c r="N20" s="25">
        <v>45754</v>
      </c>
      <c r="O20" s="26">
        <v>0.61531250000000004</v>
      </c>
      <c r="P20" s="50" t="s">
        <v>1020</v>
      </c>
      <c r="Q20" s="50" t="s">
        <v>1042</v>
      </c>
      <c r="R20" s="50" t="s">
        <v>1054</v>
      </c>
      <c r="S20" s="50" t="s">
        <v>1342</v>
      </c>
      <c r="T20" s="50">
        <v>-6000</v>
      </c>
      <c r="U20" s="50" t="s">
        <v>1024</v>
      </c>
      <c r="V20" s="50" t="s">
        <v>1099</v>
      </c>
      <c r="W20" s="50"/>
      <c r="X20" s="86"/>
      <c r="Y20" s="6"/>
    </row>
    <row r="21" spans="1:25" x14ac:dyDescent="0.4">
      <c r="N21" s="25">
        <v>45755</v>
      </c>
      <c r="O21" s="26">
        <v>0.15972222222222221</v>
      </c>
      <c r="P21" s="50" t="s">
        <v>1073</v>
      </c>
      <c r="Q21" s="50" t="s">
        <v>1218</v>
      </c>
      <c r="R21" s="50" t="s">
        <v>1054</v>
      </c>
      <c r="S21" s="50" t="s">
        <v>1219</v>
      </c>
      <c r="T21" s="50">
        <v>1933</v>
      </c>
      <c r="U21" s="50" t="s">
        <v>1024</v>
      </c>
      <c r="V21" s="50" t="s">
        <v>1216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45755</v>
      </c>
      <c r="O22" s="26">
        <v>0.65138888888888891</v>
      </c>
      <c r="P22" s="50" t="s">
        <v>1020</v>
      </c>
      <c r="Q22" s="50" t="s">
        <v>1029</v>
      </c>
      <c r="R22" s="50" t="s">
        <v>1070</v>
      </c>
      <c r="S22" s="50" t="s">
        <v>1361</v>
      </c>
      <c r="T22" s="50">
        <v>-22900</v>
      </c>
      <c r="U22" s="50" t="s">
        <v>1024</v>
      </c>
      <c r="V22" s="50" t="s">
        <v>1164</v>
      </c>
      <c r="W22" s="50" t="s">
        <v>1362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SUMIFS($T$3:$T$234,$P$3:$P$234,"지출",$Q$3:$Q$234,C23,$R$3:$R$234,D23)</f>
        <v>-244990</v>
      </c>
      <c r="N23" s="25">
        <v>45756</v>
      </c>
      <c r="O23" s="26">
        <v>0.1885300925925926</v>
      </c>
      <c r="P23" s="50" t="s">
        <v>1073</v>
      </c>
      <c r="Q23" s="50" t="s">
        <v>1218</v>
      </c>
      <c r="R23" s="50" t="s">
        <v>1054</v>
      </c>
      <c r="S23" s="50" t="s">
        <v>1219</v>
      </c>
      <c r="T23" s="50">
        <v>1933</v>
      </c>
      <c r="U23" s="50" t="s">
        <v>1024</v>
      </c>
      <c r="V23" s="50" t="s">
        <v>1216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SUMIFS($T$3:$T$234,$P$3:$P$234,"지출",$Q$3:$Q$234,C24,$R$3:$R$234,D24)</f>
        <v>-57900</v>
      </c>
      <c r="N24" s="25">
        <v>45756</v>
      </c>
      <c r="O24" s="26">
        <v>0.45414351851851847</v>
      </c>
      <c r="P24" s="50" t="s">
        <v>1073</v>
      </c>
      <c r="Q24" s="50" t="s">
        <v>1184</v>
      </c>
      <c r="R24" s="50" t="s">
        <v>1054</v>
      </c>
      <c r="S24" s="50" t="s">
        <v>1195</v>
      </c>
      <c r="T24" s="50">
        <v>170000</v>
      </c>
      <c r="U24" s="50" t="s">
        <v>1024</v>
      </c>
      <c r="V24" s="50" t="s">
        <v>1036</v>
      </c>
      <c r="W24" s="50" t="s">
        <v>1363</v>
      </c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SUMIFS($T$3:$T$234,$P$3:$P$234,"지출",$Q$3:$Q$234,C25,$R$3:$R$234,D25)</f>
        <v>-12640</v>
      </c>
      <c r="N25" s="25">
        <v>45757</v>
      </c>
      <c r="O25" s="26">
        <v>0.17857638888888891</v>
      </c>
      <c r="P25" s="50" t="s">
        <v>1073</v>
      </c>
      <c r="Q25" s="50" t="s">
        <v>1218</v>
      </c>
      <c r="R25" s="50" t="s">
        <v>1054</v>
      </c>
      <c r="S25" s="50" t="s">
        <v>1219</v>
      </c>
      <c r="T25" s="50">
        <v>1933</v>
      </c>
      <c r="U25" s="50" t="s">
        <v>1024</v>
      </c>
      <c r="V25" s="50" t="s">
        <v>1216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SUMIFS($T$3:$T$234,$P$3:$P$234,"지출",$Q$3:$Q$234,C26,$R$3:$R$234,D26)</f>
        <v>-287300</v>
      </c>
      <c r="N26" s="25">
        <v>45757</v>
      </c>
      <c r="O26" s="26">
        <v>0.61960648148148145</v>
      </c>
      <c r="P26" s="50" t="s">
        <v>1073</v>
      </c>
      <c r="Q26" s="50" t="s">
        <v>1184</v>
      </c>
      <c r="R26" s="50" t="s">
        <v>1054</v>
      </c>
      <c r="S26" s="50" t="s">
        <v>1195</v>
      </c>
      <c r="T26" s="50">
        <v>125000</v>
      </c>
      <c r="U26" s="50" t="s">
        <v>1024</v>
      </c>
      <c r="V26" s="50" t="s">
        <v>1036</v>
      </c>
      <c r="W26" s="50" t="s">
        <v>1364</v>
      </c>
      <c r="X26" s="86"/>
      <c r="Y26" s="6"/>
    </row>
    <row r="27" spans="1:25" x14ac:dyDescent="0.4">
      <c r="C27" s="92" t="s">
        <v>959</v>
      </c>
      <c r="D27" s="68"/>
      <c r="E27" s="49">
        <f>SUM(E21:E26)</f>
        <v>-602830</v>
      </c>
      <c r="N27" s="25">
        <v>45758</v>
      </c>
      <c r="O27" s="26">
        <v>0.161712962962963</v>
      </c>
      <c r="P27" s="50" t="s">
        <v>1073</v>
      </c>
      <c r="Q27" s="50" t="s">
        <v>1218</v>
      </c>
      <c r="R27" s="50" t="s">
        <v>1054</v>
      </c>
      <c r="S27" s="50" t="s">
        <v>1219</v>
      </c>
      <c r="T27" s="50">
        <v>1934</v>
      </c>
      <c r="U27" s="50" t="s">
        <v>1024</v>
      </c>
      <c r="V27" s="50" t="s">
        <v>1216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SUMIFS($T$3:$T$234,$P$3:$P$234,"지출",$Q$3:$Q$234,C28,$R$3:$R$234,D28)</f>
        <v>-132000</v>
      </c>
      <c r="N28" s="25">
        <v>45758</v>
      </c>
      <c r="O28" s="26">
        <v>0.47494212962962962</v>
      </c>
      <c r="P28" s="50" t="s">
        <v>1020</v>
      </c>
      <c r="Q28" s="50" t="s">
        <v>1047</v>
      </c>
      <c r="R28" s="50" t="s">
        <v>1177</v>
      </c>
      <c r="S28" s="50" t="s">
        <v>1365</v>
      </c>
      <c r="T28" s="50">
        <v>-10500</v>
      </c>
      <c r="U28" s="50" t="s">
        <v>1024</v>
      </c>
      <c r="V28" s="50" t="s">
        <v>1099</v>
      </c>
      <c r="W28" s="50" t="s">
        <v>1366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SUMIFS($T$3:$T$234,$P$3:$P$234,"지출",$Q$3:$Q$234,C29,$R$3:$R$234,D29)</f>
        <v>0</v>
      </c>
      <c r="N29" s="25">
        <v>45758</v>
      </c>
      <c r="O29" s="26">
        <v>0.76034722222222217</v>
      </c>
      <c r="P29" s="50" t="s">
        <v>1020</v>
      </c>
      <c r="Q29" s="50" t="s">
        <v>1022</v>
      </c>
      <c r="R29" s="50" t="s">
        <v>1032</v>
      </c>
      <c r="S29" s="50" t="s">
        <v>1367</v>
      </c>
      <c r="T29" s="50">
        <v>-36000</v>
      </c>
      <c r="U29" s="50" t="s">
        <v>1024</v>
      </c>
      <c r="V29" s="50" t="s">
        <v>1099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SUMIFS($T$3:$T$234,$P$3:$P$234,"지출",$Q$3:$Q$234,C30,$R$3:$R$234,D30)</f>
        <v>0</v>
      </c>
      <c r="N30" s="25">
        <v>45759</v>
      </c>
      <c r="O30" s="26">
        <v>0.16719907407407411</v>
      </c>
      <c r="P30" s="50" t="s">
        <v>1073</v>
      </c>
      <c r="Q30" s="50" t="s">
        <v>1218</v>
      </c>
      <c r="R30" s="50" t="s">
        <v>1054</v>
      </c>
      <c r="S30" s="50" t="s">
        <v>1219</v>
      </c>
      <c r="T30" s="50">
        <v>1934</v>
      </c>
      <c r="U30" s="50" t="s">
        <v>1024</v>
      </c>
      <c r="V30" s="50" t="s">
        <v>1216</v>
      </c>
      <c r="W30" s="50"/>
      <c r="X30" s="86"/>
      <c r="Y30" s="6"/>
    </row>
    <row r="31" spans="1:25" x14ac:dyDescent="0.4">
      <c r="C31" s="92" t="s">
        <v>960</v>
      </c>
      <c r="D31" s="68"/>
      <c r="E31" s="49">
        <f>SUM(E28:E30)</f>
        <v>-132000</v>
      </c>
      <c r="N31" s="25">
        <v>45759</v>
      </c>
      <c r="O31" s="26">
        <v>0.25795138888888891</v>
      </c>
      <c r="P31" s="50" t="s">
        <v>1020</v>
      </c>
      <c r="Q31" s="50" t="s">
        <v>1029</v>
      </c>
      <c r="R31" s="50" t="s">
        <v>1030</v>
      </c>
      <c r="S31" s="50" t="s">
        <v>1031</v>
      </c>
      <c r="T31" s="50">
        <v>-20710</v>
      </c>
      <c r="U31" s="50" t="s">
        <v>1024</v>
      </c>
      <c r="V31" s="50" t="s">
        <v>1025</v>
      </c>
      <c r="W31" s="50" t="s">
        <v>1368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SUMIFS($T$3:$T$234,$P$3:$P$234,"지출",$Q$3:$Q$234,C32,$R$3:$R$234,D32)</f>
        <v>0</v>
      </c>
      <c r="N32" s="25">
        <v>45759</v>
      </c>
      <c r="O32" s="26">
        <v>0.2628125</v>
      </c>
      <c r="P32" s="50" t="s">
        <v>1020</v>
      </c>
      <c r="Q32" s="50" t="s">
        <v>1029</v>
      </c>
      <c r="R32" s="50" t="s">
        <v>1030</v>
      </c>
      <c r="S32" s="50" t="s">
        <v>1031</v>
      </c>
      <c r="T32" s="50">
        <v>-51440</v>
      </c>
      <c r="U32" s="50" t="s">
        <v>1024</v>
      </c>
      <c r="V32" s="50" t="s">
        <v>1025</v>
      </c>
      <c r="W32" s="50" t="s">
        <v>1369</v>
      </c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0</v>
      </c>
      <c r="N33" s="25">
        <v>45759</v>
      </c>
      <c r="O33" s="26">
        <v>0.57497685185185188</v>
      </c>
      <c r="P33" s="50" t="s">
        <v>1020</v>
      </c>
      <c r="Q33" s="50" t="s">
        <v>1029</v>
      </c>
      <c r="R33" s="50" t="s">
        <v>1045</v>
      </c>
      <c r="S33" s="50" t="s">
        <v>1031</v>
      </c>
      <c r="T33" s="50">
        <v>-5900</v>
      </c>
      <c r="U33" s="50" t="s">
        <v>1024</v>
      </c>
      <c r="V33" s="50" t="s">
        <v>1025</v>
      </c>
      <c r="W33" s="50" t="s">
        <v>1370</v>
      </c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-10500</v>
      </c>
      <c r="N34" s="25">
        <v>45759</v>
      </c>
      <c r="O34" s="26">
        <v>0.72244212962962961</v>
      </c>
      <c r="P34" s="50" t="s">
        <v>1020</v>
      </c>
      <c r="Q34" s="50" t="s">
        <v>1029</v>
      </c>
      <c r="R34" s="50" t="s">
        <v>1070</v>
      </c>
      <c r="S34" s="50" t="s">
        <v>1371</v>
      </c>
      <c r="T34" s="50">
        <v>-27000</v>
      </c>
      <c r="U34" s="50" t="s">
        <v>1024</v>
      </c>
      <c r="V34" s="50" t="s">
        <v>1099</v>
      </c>
      <c r="W34" s="50"/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-125900</v>
      </c>
      <c r="N35" s="25">
        <v>45760</v>
      </c>
      <c r="O35" s="26">
        <v>0.1667939814814815</v>
      </c>
      <c r="P35" s="50" t="s">
        <v>1073</v>
      </c>
      <c r="Q35" s="50" t="s">
        <v>1218</v>
      </c>
      <c r="R35" s="50" t="s">
        <v>1054</v>
      </c>
      <c r="S35" s="50" t="s">
        <v>1219</v>
      </c>
      <c r="T35" s="50">
        <v>1934</v>
      </c>
      <c r="U35" s="50" t="s">
        <v>1024</v>
      </c>
      <c r="V35" s="50" t="s">
        <v>1216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45761</v>
      </c>
      <c r="O36" s="26">
        <v>0.1660648148148148</v>
      </c>
      <c r="P36" s="50" t="s">
        <v>1073</v>
      </c>
      <c r="Q36" s="50" t="s">
        <v>1218</v>
      </c>
      <c r="R36" s="50" t="s">
        <v>1054</v>
      </c>
      <c r="S36" s="50" t="s">
        <v>1219</v>
      </c>
      <c r="T36" s="50">
        <v>1934</v>
      </c>
      <c r="U36" s="50" t="s">
        <v>1024</v>
      </c>
      <c r="V36" s="50" t="s">
        <v>1216</v>
      </c>
      <c r="W36" s="50"/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-26714400</v>
      </c>
      <c r="N37" s="25">
        <v>45761</v>
      </c>
      <c r="O37" s="26">
        <v>0.51309027777777783</v>
      </c>
      <c r="P37" s="50" t="s">
        <v>1053</v>
      </c>
      <c r="Q37" s="50" t="s">
        <v>1054</v>
      </c>
      <c r="R37" s="50" t="s">
        <v>1054</v>
      </c>
      <c r="S37" s="50" t="s">
        <v>1256</v>
      </c>
      <c r="T37" s="50">
        <v>-26000000</v>
      </c>
      <c r="U37" s="50" t="s">
        <v>1024</v>
      </c>
      <c r="V37" s="50" t="s">
        <v>1216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>
        <v>45761</v>
      </c>
      <c r="O38" s="26">
        <v>0.51309027777777783</v>
      </c>
      <c r="P38" s="50" t="s">
        <v>1053</v>
      </c>
      <c r="Q38" s="50" t="s">
        <v>1054</v>
      </c>
      <c r="R38" s="50" t="s">
        <v>1054</v>
      </c>
      <c r="S38" s="50" t="s">
        <v>1217</v>
      </c>
      <c r="T38" s="50">
        <v>26000000</v>
      </c>
      <c r="U38" s="50" t="s">
        <v>1024</v>
      </c>
      <c r="V38" s="50" t="s">
        <v>1214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-14240</v>
      </c>
      <c r="N39" s="25">
        <v>45761</v>
      </c>
      <c r="O39" s="26">
        <v>0.51361111111111113</v>
      </c>
      <c r="P39" s="50" t="s">
        <v>1053</v>
      </c>
      <c r="Q39" s="50" t="s">
        <v>1054</v>
      </c>
      <c r="R39" s="50" t="s">
        <v>1054</v>
      </c>
      <c r="S39" s="50" t="s">
        <v>1103</v>
      </c>
      <c r="T39" s="50">
        <v>-26000000</v>
      </c>
      <c r="U39" s="50" t="s">
        <v>1024</v>
      </c>
      <c r="V39" s="50" t="s">
        <v>1214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-26865040</v>
      </c>
      <c r="N40" s="25">
        <v>45761</v>
      </c>
      <c r="O40" s="26">
        <v>0.51362268518518517</v>
      </c>
      <c r="P40" s="50" t="s">
        <v>1053</v>
      </c>
      <c r="Q40" s="50" t="s">
        <v>1054</v>
      </c>
      <c r="R40" s="50" t="s">
        <v>1054</v>
      </c>
      <c r="S40" s="50" t="s">
        <v>1103</v>
      </c>
      <c r="T40" s="50">
        <v>26000000</v>
      </c>
      <c r="U40" s="50" t="s">
        <v>1024</v>
      </c>
      <c r="V40" s="50" t="s">
        <v>1036</v>
      </c>
      <c r="W40" s="50"/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SUMIFS($T$3:$T$234,$P$3:$P$234,"지출",$Q$3:$Q$234,C41,$R$3:$R$234,D41)</f>
        <v>0</v>
      </c>
      <c r="N41" s="25">
        <v>45761</v>
      </c>
      <c r="O41" s="26">
        <v>0.80599537037037039</v>
      </c>
      <c r="P41" s="50" t="s">
        <v>1053</v>
      </c>
      <c r="Q41" s="50" t="s">
        <v>1066</v>
      </c>
      <c r="R41" s="50" t="s">
        <v>1054</v>
      </c>
      <c r="S41" s="50" t="s">
        <v>1067</v>
      </c>
      <c r="T41" s="50">
        <v>-1419320</v>
      </c>
      <c r="U41" s="50" t="s">
        <v>1024</v>
      </c>
      <c r="V41" s="50" t="s">
        <v>1036</v>
      </c>
      <c r="W41" s="50"/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SUMIFS($T$3:$T$234,$P$3:$P$234,"지출",$Q$3:$Q$234,C42,$R$3:$R$234,D42)</f>
        <v>0</v>
      </c>
      <c r="N42" s="25">
        <v>45762</v>
      </c>
      <c r="O42" s="26">
        <v>0.1799074074074074</v>
      </c>
      <c r="P42" s="50" t="s">
        <v>1073</v>
      </c>
      <c r="Q42" s="50" t="s">
        <v>1218</v>
      </c>
      <c r="R42" s="50" t="s">
        <v>1054</v>
      </c>
      <c r="S42" s="50" t="s">
        <v>1219</v>
      </c>
      <c r="T42" s="50">
        <v>852</v>
      </c>
      <c r="U42" s="50" t="s">
        <v>1024</v>
      </c>
      <c r="V42" s="50" t="s">
        <v>1216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SUMIFS($T$3:$T$234,$P$3:$P$234,"지출",$Q$3:$Q$234,C43,$R$3:$R$234,D43)</f>
        <v>0</v>
      </c>
      <c r="N43" s="25">
        <v>45762</v>
      </c>
      <c r="O43" s="26">
        <v>0.47844907407407411</v>
      </c>
      <c r="P43" s="50" t="s">
        <v>1020</v>
      </c>
      <c r="Q43" s="50" t="s">
        <v>1029</v>
      </c>
      <c r="R43" s="50" t="s">
        <v>1070</v>
      </c>
      <c r="S43" s="50" t="s">
        <v>1372</v>
      </c>
      <c r="T43" s="50">
        <v>-8000</v>
      </c>
      <c r="U43" s="50" t="s">
        <v>1024</v>
      </c>
      <c r="V43" s="50" t="s">
        <v>1099</v>
      </c>
      <c r="W43" s="50" t="s">
        <v>1373</v>
      </c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SUMIFS($T$3:$T$234,$P$3:$P$234,"지출",$Q$3:$Q$234,C44,$R$3:$R$234,D44)</f>
        <v>-52030</v>
      </c>
      <c r="N44" s="25">
        <v>45762</v>
      </c>
      <c r="O44" s="26">
        <v>0.78916666666666668</v>
      </c>
      <c r="P44" s="50" t="s">
        <v>1020</v>
      </c>
      <c r="Q44" s="50" t="s">
        <v>1029</v>
      </c>
      <c r="R44" s="50" t="s">
        <v>1030</v>
      </c>
      <c r="S44" s="50" t="s">
        <v>1172</v>
      </c>
      <c r="T44" s="50">
        <v>-13880</v>
      </c>
      <c r="U44" s="50" t="s">
        <v>1024</v>
      </c>
      <c r="V44" s="50" t="s">
        <v>1025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-52030</v>
      </c>
      <c r="N45" s="25">
        <v>45763</v>
      </c>
      <c r="O45" s="26">
        <v>0.18109953703703699</v>
      </c>
      <c r="P45" s="50" t="s">
        <v>1073</v>
      </c>
      <c r="Q45" s="50" t="s">
        <v>1218</v>
      </c>
      <c r="R45" s="50" t="s">
        <v>1054</v>
      </c>
      <c r="S45" s="50" t="s">
        <v>1219</v>
      </c>
      <c r="T45" s="50">
        <v>852</v>
      </c>
      <c r="U45" s="50" t="s">
        <v>1024</v>
      </c>
      <c r="V45" s="50" t="s">
        <v>1216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SUMIFS($T$3:$T$234,$P$3:$P$234,"지출",$Q$3:$Q$234,C46,$R$3:$R$234,D46)</f>
        <v>0</v>
      </c>
      <c r="N46" s="25">
        <v>45763</v>
      </c>
      <c r="O46" s="26">
        <v>0.86472222222222217</v>
      </c>
      <c r="P46" s="50" t="s">
        <v>1020</v>
      </c>
      <c r="Q46" s="50" t="s">
        <v>1029</v>
      </c>
      <c r="R46" s="50" t="s">
        <v>1030</v>
      </c>
      <c r="S46" s="50" t="s">
        <v>1031</v>
      </c>
      <c r="T46" s="50">
        <v>-54190</v>
      </c>
      <c r="U46" s="50" t="s">
        <v>1024</v>
      </c>
      <c r="V46" s="50" t="s">
        <v>1025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SUMIFS($T$3:$T$234,$P$3:$P$234,"지출",$Q$3:$Q$234,C47,$R$3:$R$234,D47)</f>
        <v>0</v>
      </c>
      <c r="N47" s="25">
        <v>45764</v>
      </c>
      <c r="O47" s="26">
        <v>0.1809722222222222</v>
      </c>
      <c r="P47" s="50" t="s">
        <v>1073</v>
      </c>
      <c r="Q47" s="50" t="s">
        <v>1218</v>
      </c>
      <c r="R47" s="50" t="s">
        <v>1054</v>
      </c>
      <c r="S47" s="50" t="s">
        <v>1219</v>
      </c>
      <c r="T47" s="50">
        <v>852</v>
      </c>
      <c r="U47" s="50" t="s">
        <v>1024</v>
      </c>
      <c r="V47" s="50" t="s">
        <v>1216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SUMIFS($T$3:$T$234,$P$3:$P$234,"지출",$Q$3:$Q$234,C48,$R$3:$R$234,D48)</f>
        <v>0</v>
      </c>
      <c r="N48" s="25">
        <v>45765</v>
      </c>
      <c r="O48" s="26">
        <v>0.18107638888888891</v>
      </c>
      <c r="P48" s="50" t="s">
        <v>1073</v>
      </c>
      <c r="Q48" s="50" t="s">
        <v>1218</v>
      </c>
      <c r="R48" s="50" t="s">
        <v>1054</v>
      </c>
      <c r="S48" s="50" t="s">
        <v>1219</v>
      </c>
      <c r="T48" s="50">
        <v>852</v>
      </c>
      <c r="U48" s="50" t="s">
        <v>1024</v>
      </c>
      <c r="V48" s="50" t="s">
        <v>1216</v>
      </c>
      <c r="W48" s="50"/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SUMIFS($T$3:$T$234,$P$3:$P$234,"지출",$Q$3:$Q$234,C49,$R$3:$R$234,D49)</f>
        <v>-13700</v>
      </c>
      <c r="N49" s="25">
        <v>45765</v>
      </c>
      <c r="O49" s="26">
        <v>0.60309027777777779</v>
      </c>
      <c r="P49" s="50" t="s">
        <v>1020</v>
      </c>
      <c r="Q49" s="50" t="s">
        <v>1029</v>
      </c>
      <c r="R49" s="50" t="s">
        <v>1030</v>
      </c>
      <c r="S49" s="50" t="s">
        <v>1031</v>
      </c>
      <c r="T49" s="50">
        <v>-46090</v>
      </c>
      <c r="U49" s="50" t="s">
        <v>1024</v>
      </c>
      <c r="V49" s="50" t="s">
        <v>1025</v>
      </c>
      <c r="W49" s="50"/>
      <c r="X49" s="86"/>
      <c r="Y49" s="6"/>
    </row>
    <row r="50" spans="1:25" x14ac:dyDescent="0.4">
      <c r="C50" s="94" t="s">
        <v>1017</v>
      </c>
      <c r="D50" s="93"/>
      <c r="E50" s="20">
        <f>SUM(E46:E49)</f>
        <v>-13700</v>
      </c>
      <c r="J50" s="53"/>
      <c r="K50" s="54"/>
      <c r="N50" s="25">
        <v>45765</v>
      </c>
      <c r="O50" s="26">
        <v>0.61346064814814816</v>
      </c>
      <c r="P50" s="50" t="s">
        <v>1073</v>
      </c>
      <c r="Q50" s="50" t="s">
        <v>1074</v>
      </c>
      <c r="R50" s="50" t="s">
        <v>1054</v>
      </c>
      <c r="S50" s="50" t="s">
        <v>1075</v>
      </c>
      <c r="T50" s="50">
        <v>55199</v>
      </c>
      <c r="U50" s="50" t="s">
        <v>1024</v>
      </c>
      <c r="V50" s="50" t="s">
        <v>1036</v>
      </c>
      <c r="W50" s="50"/>
      <c r="X50" s="86"/>
      <c r="Y50" s="6"/>
    </row>
    <row r="51" spans="1:25" ht="18" thickBot="1" x14ac:dyDescent="0.45">
      <c r="J51" s="53"/>
      <c r="K51" s="54"/>
      <c r="N51" s="25">
        <v>45765</v>
      </c>
      <c r="O51" s="26">
        <v>0.85344907407407411</v>
      </c>
      <c r="P51" s="50" t="s">
        <v>1020</v>
      </c>
      <c r="Q51" s="50" t="s">
        <v>1029</v>
      </c>
      <c r="R51" s="50" t="s">
        <v>1030</v>
      </c>
      <c r="S51" s="50" t="s">
        <v>1031</v>
      </c>
      <c r="T51" s="50">
        <v>-18000</v>
      </c>
      <c r="U51" s="50" t="s">
        <v>1024</v>
      </c>
      <c r="V51" s="50" t="s">
        <v>1025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169148261</v>
      </c>
      <c r="N52" s="25">
        <v>45766</v>
      </c>
      <c r="O52" s="26">
        <v>0.19540509259259259</v>
      </c>
      <c r="P52" s="50" t="s">
        <v>1073</v>
      </c>
      <c r="Q52" s="50" t="s">
        <v>1218</v>
      </c>
      <c r="R52" s="50" t="s">
        <v>1054</v>
      </c>
      <c r="S52" s="50" t="s">
        <v>1219</v>
      </c>
      <c r="T52" s="50">
        <v>852</v>
      </c>
      <c r="U52" s="50" t="s">
        <v>1024</v>
      </c>
      <c r="V52" s="50" t="s">
        <v>1216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143139591</v>
      </c>
      <c r="N53" s="25">
        <v>45766</v>
      </c>
      <c r="O53" s="26">
        <v>0.77621527777777777</v>
      </c>
      <c r="P53" s="50" t="s">
        <v>1020</v>
      </c>
      <c r="Q53" s="50" t="s">
        <v>1029</v>
      </c>
      <c r="R53" s="50" t="s">
        <v>1045</v>
      </c>
      <c r="S53" s="50" t="s">
        <v>1031</v>
      </c>
      <c r="T53" s="50">
        <v>-6740</v>
      </c>
      <c r="U53" s="50" t="s">
        <v>1024</v>
      </c>
      <c r="V53" s="50" t="s">
        <v>1025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45779</v>
      </c>
      <c r="F54" s="51">
        <v>2127839</v>
      </c>
      <c r="H54" s="98" t="s">
        <v>907</v>
      </c>
      <c r="I54" s="30">
        <f ca="1">I53-I52</f>
        <v>-26008670</v>
      </c>
      <c r="J54" s="53"/>
      <c r="K54" s="54"/>
      <c r="N54" s="25">
        <v>45766</v>
      </c>
      <c r="O54" s="26">
        <v>0.82751157407407405</v>
      </c>
      <c r="P54" s="50" t="s">
        <v>1020</v>
      </c>
      <c r="Q54" s="50" t="s">
        <v>1184</v>
      </c>
      <c r="R54" s="50" t="s">
        <v>1047</v>
      </c>
      <c r="S54" s="50" t="s">
        <v>1031</v>
      </c>
      <c r="T54" s="50">
        <v>-13700</v>
      </c>
      <c r="U54" s="50" t="s">
        <v>1024</v>
      </c>
      <c r="V54" s="50" t="s">
        <v>1025</v>
      </c>
      <c r="W54" s="50" t="s">
        <v>1374</v>
      </c>
      <c r="X54" s="86"/>
      <c r="Y54" s="6"/>
    </row>
    <row r="55" spans="1:25" x14ac:dyDescent="0.4">
      <c r="C55" s="83"/>
      <c r="D55" s="50" t="s">
        <v>994</v>
      </c>
      <c r="E55" s="89">
        <v>45779</v>
      </c>
      <c r="F55" s="51">
        <v>26135509</v>
      </c>
      <c r="H55" s="52"/>
      <c r="I55" s="53"/>
      <c r="J55" s="53"/>
      <c r="K55" s="54"/>
      <c r="N55" s="25">
        <v>45767</v>
      </c>
      <c r="O55" s="26">
        <v>0.19612268518518519</v>
      </c>
      <c r="P55" s="50" t="s">
        <v>1073</v>
      </c>
      <c r="Q55" s="50" t="s">
        <v>1218</v>
      </c>
      <c r="R55" s="50" t="s">
        <v>1054</v>
      </c>
      <c r="S55" s="50" t="s">
        <v>1219</v>
      </c>
      <c r="T55" s="50">
        <v>852</v>
      </c>
      <c r="U55" s="50" t="s">
        <v>1024</v>
      </c>
      <c r="V55" s="50" t="s">
        <v>1216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45779</v>
      </c>
      <c r="F56" s="51">
        <v>12000000</v>
      </c>
      <c r="H56" s="52"/>
      <c r="I56" s="53"/>
      <c r="J56" s="53"/>
      <c r="K56" s="54"/>
      <c r="N56" s="25">
        <v>45767</v>
      </c>
      <c r="O56" s="26">
        <v>0.94277777777777783</v>
      </c>
      <c r="P56" s="50" t="s">
        <v>1020</v>
      </c>
      <c r="Q56" s="50" t="s">
        <v>1047</v>
      </c>
      <c r="R56" s="50" t="s">
        <v>1086</v>
      </c>
      <c r="S56" s="50" t="s">
        <v>1122</v>
      </c>
      <c r="T56" s="50">
        <v>-7040</v>
      </c>
      <c r="U56" s="50" t="s">
        <v>1024</v>
      </c>
      <c r="V56" s="50" t="s">
        <v>1350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45768</v>
      </c>
      <c r="O57" s="26">
        <v>0.19648148148148151</v>
      </c>
      <c r="P57" s="50" t="s">
        <v>1073</v>
      </c>
      <c r="Q57" s="50" t="s">
        <v>1218</v>
      </c>
      <c r="R57" s="50" t="s">
        <v>1054</v>
      </c>
      <c r="S57" s="50" t="s">
        <v>1219</v>
      </c>
      <c r="T57" s="50">
        <v>852</v>
      </c>
      <c r="U57" s="50" t="s">
        <v>1024</v>
      </c>
      <c r="V57" s="50" t="s">
        <v>1216</v>
      </c>
      <c r="W57" s="50"/>
      <c r="X57" s="86"/>
      <c r="Y57" s="6"/>
    </row>
    <row r="58" spans="1:25" x14ac:dyDescent="0.4">
      <c r="C58" s="81" t="s">
        <v>992</v>
      </c>
      <c r="D58" s="99" t="s">
        <v>1005</v>
      </c>
      <c r="E58" s="106">
        <v>45717</v>
      </c>
      <c r="F58" s="104">
        <v>6000000</v>
      </c>
      <c r="H58" s="52"/>
      <c r="I58" s="53"/>
      <c r="J58" s="53"/>
      <c r="K58" s="54"/>
      <c r="N58" s="25">
        <v>45768</v>
      </c>
      <c r="O58" s="26">
        <v>0.39460648148148147</v>
      </c>
      <c r="P58" s="50" t="s">
        <v>1020</v>
      </c>
      <c r="Q58" s="50" t="s">
        <v>1026</v>
      </c>
      <c r="R58" s="50" t="s">
        <v>1093</v>
      </c>
      <c r="S58" s="50" t="s">
        <v>1094</v>
      </c>
      <c r="T58" s="50">
        <v>-22000</v>
      </c>
      <c r="U58" s="50" t="s">
        <v>1024</v>
      </c>
      <c r="V58" s="50" t="s">
        <v>1025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45779</v>
      </c>
      <c r="F59" s="51">
        <v>113685</v>
      </c>
      <c r="H59" s="52"/>
      <c r="I59" s="53"/>
      <c r="J59" s="53"/>
      <c r="K59" s="54"/>
      <c r="N59" s="25">
        <v>45768</v>
      </c>
      <c r="O59" s="26">
        <v>0.39460648148148147</v>
      </c>
      <c r="P59" s="50" t="s">
        <v>1020</v>
      </c>
      <c r="Q59" s="50" t="s">
        <v>1026</v>
      </c>
      <c r="R59" s="50" t="s">
        <v>1093</v>
      </c>
      <c r="S59" s="50" t="s">
        <v>1095</v>
      </c>
      <c r="T59" s="50">
        <v>-62590</v>
      </c>
      <c r="U59" s="50" t="s">
        <v>1024</v>
      </c>
      <c r="V59" s="50" t="s">
        <v>1025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45779</v>
      </c>
      <c r="F60" s="51">
        <v>47150</v>
      </c>
      <c r="H60" s="52"/>
      <c r="I60" s="53"/>
      <c r="J60" s="53"/>
      <c r="K60" s="54"/>
      <c r="N60" s="25">
        <v>45768</v>
      </c>
      <c r="O60" s="26">
        <v>0.89953703703703702</v>
      </c>
      <c r="P60" s="50" t="s">
        <v>1020</v>
      </c>
      <c r="Q60" s="50" t="s">
        <v>1021</v>
      </c>
      <c r="R60" s="50" t="s">
        <v>1047</v>
      </c>
      <c r="S60" s="50" t="s">
        <v>1031</v>
      </c>
      <c r="T60" s="50">
        <v>-5900</v>
      </c>
      <c r="U60" s="50" t="s">
        <v>1024</v>
      </c>
      <c r="V60" s="50" t="s">
        <v>1025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45779</v>
      </c>
      <c r="F61" s="51">
        <v>413450</v>
      </c>
      <c r="H61" s="52"/>
      <c r="I61" s="53"/>
      <c r="J61" s="53"/>
      <c r="K61" s="54"/>
      <c r="N61" s="25">
        <v>45768</v>
      </c>
      <c r="O61" s="26">
        <v>0.94300925925925927</v>
      </c>
      <c r="P61" s="50" t="s">
        <v>1020</v>
      </c>
      <c r="Q61" s="50" t="s">
        <v>1022</v>
      </c>
      <c r="R61" s="50" t="s">
        <v>1032</v>
      </c>
      <c r="S61" s="50" t="s">
        <v>1375</v>
      </c>
      <c r="T61" s="50">
        <v>-30000</v>
      </c>
      <c r="U61" s="50" t="s">
        <v>1024</v>
      </c>
      <c r="V61" s="50" t="s">
        <v>946</v>
      </c>
      <c r="W61" s="50" t="s">
        <v>1376</v>
      </c>
      <c r="X61" s="86"/>
      <c r="Y61" s="6"/>
    </row>
    <row r="62" spans="1:25" x14ac:dyDescent="0.4">
      <c r="C62" s="83"/>
      <c r="D62" s="50" t="s">
        <v>995</v>
      </c>
      <c r="E62" s="106">
        <v>45717</v>
      </c>
      <c r="F62" s="101">
        <v>7000000</v>
      </c>
      <c r="H62" s="52"/>
      <c r="I62" s="53"/>
      <c r="J62" s="53"/>
      <c r="K62" s="54"/>
      <c r="N62" s="25">
        <v>45769</v>
      </c>
      <c r="O62" s="26">
        <v>0.19968749999999999</v>
      </c>
      <c r="P62" s="50" t="s">
        <v>1073</v>
      </c>
      <c r="Q62" s="50" t="s">
        <v>1218</v>
      </c>
      <c r="R62" s="50" t="s">
        <v>1054</v>
      </c>
      <c r="S62" s="50" t="s">
        <v>1219</v>
      </c>
      <c r="T62" s="50">
        <v>852</v>
      </c>
      <c r="U62" s="50" t="s">
        <v>1024</v>
      </c>
      <c r="V62" s="50" t="s">
        <v>1216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45779</v>
      </c>
      <c r="F63" s="51">
        <v>782000</v>
      </c>
      <c r="H63" s="52"/>
      <c r="I63" s="53"/>
      <c r="J63" s="53"/>
      <c r="K63" s="54"/>
      <c r="N63" s="25">
        <v>45770</v>
      </c>
      <c r="O63" s="26">
        <v>0.1985416666666667</v>
      </c>
      <c r="P63" s="50" t="s">
        <v>1073</v>
      </c>
      <c r="Q63" s="50" t="s">
        <v>1218</v>
      </c>
      <c r="R63" s="50" t="s">
        <v>1054</v>
      </c>
      <c r="S63" s="50" t="s">
        <v>1219</v>
      </c>
      <c r="T63" s="50">
        <v>852</v>
      </c>
      <c r="U63" s="50" t="s">
        <v>1024</v>
      </c>
      <c r="V63" s="50" t="s">
        <v>1216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40070070</v>
      </c>
      <c r="G64">
        <v>-14.87</v>
      </c>
      <c r="H64" s="52"/>
      <c r="I64" s="53"/>
      <c r="J64" s="53"/>
      <c r="K64" s="54"/>
      <c r="N64" s="25">
        <v>45770</v>
      </c>
      <c r="O64" s="26">
        <v>0.35898148148148151</v>
      </c>
      <c r="P64" s="50" t="s">
        <v>1020</v>
      </c>
      <c r="Q64" s="50" t="s">
        <v>1022</v>
      </c>
      <c r="R64" s="50" t="s">
        <v>1032</v>
      </c>
      <c r="S64" s="50" t="s">
        <v>1377</v>
      </c>
      <c r="T64" s="50">
        <v>-13000</v>
      </c>
      <c r="U64" s="50" t="s">
        <v>1024</v>
      </c>
      <c r="V64" s="50" t="s">
        <v>1099</v>
      </c>
      <c r="W64" s="50"/>
      <c r="X64" s="86"/>
      <c r="Y64" s="6"/>
    </row>
    <row r="65" spans="1:25" x14ac:dyDescent="0.4">
      <c r="C65" s="83"/>
      <c r="D65" s="84" t="s">
        <v>998</v>
      </c>
      <c r="E65" s="89">
        <v>45779</v>
      </c>
      <c r="F65" s="103">
        <v>31255455</v>
      </c>
      <c r="G65">
        <v>4.62</v>
      </c>
      <c r="H65" s="52"/>
      <c r="I65" s="53"/>
      <c r="J65" s="53"/>
      <c r="K65" s="54"/>
      <c r="N65" s="25">
        <v>45770</v>
      </c>
      <c r="O65" s="26">
        <v>0.36337962962962961</v>
      </c>
      <c r="P65" s="50" t="s">
        <v>1020</v>
      </c>
      <c r="Q65" s="50" t="s">
        <v>1022</v>
      </c>
      <c r="R65" s="50" t="s">
        <v>1032</v>
      </c>
      <c r="S65" s="50" t="s">
        <v>1279</v>
      </c>
      <c r="T65" s="50">
        <v>-7500</v>
      </c>
      <c r="U65" s="50" t="s">
        <v>1024</v>
      </c>
      <c r="V65" s="50" t="s">
        <v>1099</v>
      </c>
      <c r="W65" s="50"/>
      <c r="X65" s="86"/>
      <c r="Y65" s="6"/>
    </row>
    <row r="66" spans="1:25" x14ac:dyDescent="0.4">
      <c r="C66" s="83"/>
      <c r="D66" s="84" t="s">
        <v>1158</v>
      </c>
      <c r="E66" s="89">
        <v>45779</v>
      </c>
      <c r="F66" s="103">
        <v>266950</v>
      </c>
      <c r="H66" s="52"/>
      <c r="I66" s="53"/>
      <c r="J66" s="53"/>
      <c r="K66" s="54"/>
      <c r="N66" s="25">
        <v>45770</v>
      </c>
      <c r="O66" s="26">
        <v>0.37013888888888891</v>
      </c>
      <c r="P66" s="50" t="s">
        <v>1073</v>
      </c>
      <c r="Q66" s="50" t="s">
        <v>1047</v>
      </c>
      <c r="R66" s="50" t="s">
        <v>1054</v>
      </c>
      <c r="S66" s="50" t="s">
        <v>1378</v>
      </c>
      <c r="T66" s="50">
        <v>60000</v>
      </c>
      <c r="U66" s="50" t="s">
        <v>1024</v>
      </c>
      <c r="V66" s="50" t="s">
        <v>946</v>
      </c>
      <c r="W66" s="50" t="s">
        <v>1379</v>
      </c>
      <c r="X66" s="86"/>
      <c r="Y66" s="6"/>
    </row>
    <row r="67" spans="1:25" x14ac:dyDescent="0.4">
      <c r="C67" s="83"/>
      <c r="D67" s="84" t="s">
        <v>1159</v>
      </c>
      <c r="E67" s="89">
        <v>45779</v>
      </c>
      <c r="F67" s="103">
        <v>100991</v>
      </c>
      <c r="H67" s="52"/>
      <c r="I67" s="53"/>
      <c r="J67" s="53"/>
      <c r="K67" s="54"/>
      <c r="N67" s="25">
        <v>45770</v>
      </c>
      <c r="O67" s="26">
        <v>0.37013888888888891</v>
      </c>
      <c r="P67" s="50" t="s">
        <v>1020</v>
      </c>
      <c r="Q67" s="50" t="s">
        <v>1047</v>
      </c>
      <c r="R67" s="50" t="s">
        <v>1047</v>
      </c>
      <c r="S67" s="50" t="s">
        <v>1380</v>
      </c>
      <c r="T67" s="50">
        <v>-60000</v>
      </c>
      <c r="U67" s="50" t="s">
        <v>1024</v>
      </c>
      <c r="V67" s="50" t="s">
        <v>946</v>
      </c>
      <c r="W67" s="50" t="s">
        <v>1381</v>
      </c>
      <c r="X67" s="86"/>
      <c r="Y67" s="6"/>
    </row>
    <row r="68" spans="1:25" x14ac:dyDescent="0.4">
      <c r="C68" s="80"/>
      <c r="D68" s="50" t="s">
        <v>1007</v>
      </c>
      <c r="E68" s="89">
        <v>45779</v>
      </c>
      <c r="F68" s="51">
        <v>946464</v>
      </c>
      <c r="H68" s="52"/>
      <c r="I68" s="53"/>
      <c r="J68" s="53"/>
      <c r="K68" s="54"/>
      <c r="N68" s="25">
        <v>45770</v>
      </c>
      <c r="O68" s="26">
        <v>0.42290509259259262</v>
      </c>
      <c r="P68" s="50" t="s">
        <v>1020</v>
      </c>
      <c r="Q68" s="50" t="s">
        <v>1022</v>
      </c>
      <c r="R68" s="50" t="s">
        <v>1032</v>
      </c>
      <c r="S68" s="50" t="s">
        <v>1382</v>
      </c>
      <c r="T68" s="50">
        <v>-3000</v>
      </c>
      <c r="U68" s="50" t="s">
        <v>1024</v>
      </c>
      <c r="V68" s="50" t="s">
        <v>1099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v>3955637</v>
      </c>
      <c r="G69">
        <v>0.31</v>
      </c>
      <c r="H69" s="52"/>
      <c r="I69" s="53"/>
      <c r="J69" s="53"/>
      <c r="K69" s="54"/>
      <c r="N69" s="25">
        <v>45770</v>
      </c>
      <c r="O69" s="26">
        <v>0.46368055555555548</v>
      </c>
      <c r="P69" s="50" t="s">
        <v>1020</v>
      </c>
      <c r="Q69" s="50" t="s">
        <v>1022</v>
      </c>
      <c r="R69" s="50" t="s">
        <v>1032</v>
      </c>
      <c r="S69" s="50" t="s">
        <v>1382</v>
      </c>
      <c r="T69" s="50">
        <v>-1500</v>
      </c>
      <c r="U69" s="50" t="s">
        <v>1024</v>
      </c>
      <c r="V69" s="50" t="s">
        <v>1099</v>
      </c>
      <c r="W69" s="50"/>
      <c r="X69" s="86"/>
      <c r="Y69" s="6"/>
    </row>
    <row r="70" spans="1:25" x14ac:dyDescent="0.4">
      <c r="C70" s="80"/>
      <c r="D70" s="50" t="s">
        <v>1000</v>
      </c>
      <c r="E70" s="89">
        <v>45779</v>
      </c>
      <c r="F70" s="51">
        <v>11924391</v>
      </c>
      <c r="H70" s="52"/>
      <c r="I70" s="53"/>
      <c r="J70" s="53"/>
      <c r="K70" s="54"/>
      <c r="N70" s="25">
        <v>45770</v>
      </c>
      <c r="O70" s="26">
        <v>0.62157407407407406</v>
      </c>
      <c r="P70" s="50" t="s">
        <v>1020</v>
      </c>
      <c r="Q70" s="50" t="s">
        <v>1022</v>
      </c>
      <c r="R70" s="50" t="s">
        <v>1032</v>
      </c>
      <c r="S70" s="50" t="s">
        <v>1382</v>
      </c>
      <c r="T70" s="50">
        <v>-7000</v>
      </c>
      <c r="U70" s="50" t="s">
        <v>1024</v>
      </c>
      <c r="V70" s="50" t="s">
        <v>1099</v>
      </c>
      <c r="W70" s="50"/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45770</v>
      </c>
      <c r="O71" s="26">
        <v>0.62758101851851855</v>
      </c>
      <c r="P71" s="50" t="s">
        <v>1020</v>
      </c>
      <c r="Q71" s="50" t="s">
        <v>1022</v>
      </c>
      <c r="R71" s="50" t="s">
        <v>1032</v>
      </c>
      <c r="S71" s="50" t="s">
        <v>1382</v>
      </c>
      <c r="T71" s="50">
        <v>-6000</v>
      </c>
      <c r="U71" s="50" t="s">
        <v>1024</v>
      </c>
      <c r="V71" s="50" t="s">
        <v>1099</v>
      </c>
      <c r="W71" s="50"/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45770</v>
      </c>
      <c r="O72" s="26">
        <v>0.62914351851851846</v>
      </c>
      <c r="P72" s="50" t="s">
        <v>1020</v>
      </c>
      <c r="Q72" s="50" t="s">
        <v>1022</v>
      </c>
      <c r="R72" s="50" t="s">
        <v>1032</v>
      </c>
      <c r="S72" s="50" t="s">
        <v>1383</v>
      </c>
      <c r="T72" s="50">
        <v>-6000</v>
      </c>
      <c r="U72" s="50" t="s">
        <v>1024</v>
      </c>
      <c r="V72" s="50" t="s">
        <v>1099</v>
      </c>
      <c r="W72" s="50"/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45770</v>
      </c>
      <c r="O73" s="26">
        <v>0.65449074074074076</v>
      </c>
      <c r="P73" s="50" t="s">
        <v>1073</v>
      </c>
      <c r="Q73" s="50" t="s">
        <v>1184</v>
      </c>
      <c r="R73" s="50" t="s">
        <v>1054</v>
      </c>
      <c r="S73" s="50" t="s">
        <v>1195</v>
      </c>
      <c r="T73" s="50">
        <v>420000</v>
      </c>
      <c r="U73" s="50" t="s">
        <v>1024</v>
      </c>
      <c r="V73" s="50" t="s">
        <v>1036</v>
      </c>
      <c r="W73" s="50"/>
      <c r="X73" s="86"/>
      <c r="Y73" s="6"/>
    </row>
    <row r="74" spans="1:25" ht="18" thickTop="1" x14ac:dyDescent="0.4">
      <c r="A74" s="7">
        <f>$L$1</f>
        <v>202504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5282297</v>
      </c>
      <c r="G74" s="41">
        <f t="shared" ref="G74:G79" ca="1" si="11">H74-F74</f>
        <v>1393235</v>
      </c>
      <c r="H74" s="58">
        <f t="shared" ref="H74:H79" si="12">SUMIFS($T$3:$T$234,$P$3:$P$234,"수입",$Q$3:$Q$234,C74)</f>
        <v>6675532</v>
      </c>
      <c r="I74" s="43">
        <f t="shared" ref="I74:I79" si="13">H74-E74</f>
        <v>1132532</v>
      </c>
      <c r="N74" s="25">
        <v>45770</v>
      </c>
      <c r="O74" s="26">
        <v>0.68958333333333333</v>
      </c>
      <c r="P74" s="50" t="s">
        <v>1020</v>
      </c>
      <c r="Q74" s="50" t="s">
        <v>1022</v>
      </c>
      <c r="R74" s="50" t="s">
        <v>1032</v>
      </c>
      <c r="S74" s="50" t="s">
        <v>1384</v>
      </c>
      <c r="T74" s="50">
        <v>-22000</v>
      </c>
      <c r="U74" s="50" t="s">
        <v>1024</v>
      </c>
      <c r="V74" s="50" t="s">
        <v>1099</v>
      </c>
      <c r="W74" s="50"/>
      <c r="X74" s="86"/>
      <c r="Y74" s="6"/>
    </row>
    <row r="75" spans="1:25" x14ac:dyDescent="0.4">
      <c r="A75" s="4">
        <f t="shared" ref="A75:A79" si="14">$L$1</f>
        <v>202504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ca="1">INDIRECT($J$1&amp;"!H"&amp;ROW())</f>
        <v>55199</v>
      </c>
      <c r="G75" s="41">
        <f t="shared" ca="1" si="11"/>
        <v>0</v>
      </c>
      <c r="H75" s="58">
        <f t="shared" si="12"/>
        <v>55199</v>
      </c>
      <c r="I75" s="43">
        <f t="shared" si="13"/>
        <v>0</v>
      </c>
      <c r="N75" s="25">
        <v>45770</v>
      </c>
      <c r="O75" s="26">
        <v>0.72494212962962967</v>
      </c>
      <c r="P75" s="50" t="s">
        <v>1020</v>
      </c>
      <c r="Q75" s="50" t="s">
        <v>1047</v>
      </c>
      <c r="R75" s="50" t="s">
        <v>1086</v>
      </c>
      <c r="S75" s="50" t="s">
        <v>1122</v>
      </c>
      <c r="T75" s="50">
        <v>-7200</v>
      </c>
      <c r="U75" s="50" t="s">
        <v>1024</v>
      </c>
      <c r="V75" s="50" t="s">
        <v>1350</v>
      </c>
      <c r="W75" s="50"/>
      <c r="X75" s="86"/>
      <c r="Y75" s="6"/>
    </row>
    <row r="76" spans="1:25" x14ac:dyDescent="0.4">
      <c r="A76" s="4">
        <f t="shared" si="14"/>
        <v>202504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t="shared" ca="1" si="11"/>
        <v>0</v>
      </c>
      <c r="H76" s="58">
        <f t="shared" si="12"/>
        <v>0</v>
      </c>
      <c r="I76" s="43">
        <f t="shared" si="13"/>
        <v>0</v>
      </c>
      <c r="N76" s="25">
        <v>45770</v>
      </c>
      <c r="O76" s="26">
        <v>0.81187500000000001</v>
      </c>
      <c r="P76" s="50" t="s">
        <v>1020</v>
      </c>
      <c r="Q76" s="50" t="s">
        <v>1026</v>
      </c>
      <c r="R76" s="50" t="s">
        <v>1115</v>
      </c>
      <c r="S76" s="50" t="s">
        <v>1385</v>
      </c>
      <c r="T76" s="50">
        <v>-14232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14"/>
        <v>202504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58589</v>
      </c>
      <c r="G77" s="41">
        <f t="shared" ca="1" si="11"/>
        <v>-17891</v>
      </c>
      <c r="H77" s="58">
        <f t="shared" si="12"/>
        <v>40698</v>
      </c>
      <c r="I77" s="43">
        <f t="shared" si="13"/>
        <v>40698</v>
      </c>
      <c r="N77" s="25">
        <v>45771</v>
      </c>
      <c r="O77" s="26">
        <v>0.20024305555555549</v>
      </c>
      <c r="P77" s="50" t="s">
        <v>1073</v>
      </c>
      <c r="Q77" s="50" t="s">
        <v>1218</v>
      </c>
      <c r="R77" s="50" t="s">
        <v>1054</v>
      </c>
      <c r="S77" s="50" t="s">
        <v>1219</v>
      </c>
      <c r="T77" s="50">
        <v>852</v>
      </c>
      <c r="U77" s="50" t="s">
        <v>1024</v>
      </c>
      <c r="V77" s="50" t="s">
        <v>1216</v>
      </c>
      <c r="W77" s="50"/>
      <c r="X77" s="86"/>
      <c r="Y77" s="6"/>
    </row>
    <row r="78" spans="1:25" x14ac:dyDescent="0.4">
      <c r="A78" s="4">
        <f t="shared" si="14"/>
        <v>202504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590000</v>
      </c>
      <c r="G78" s="41">
        <f t="shared" ca="1" si="11"/>
        <v>-530000</v>
      </c>
      <c r="H78" s="58">
        <f t="shared" si="12"/>
        <v>60000</v>
      </c>
      <c r="I78" s="43">
        <f t="shared" si="13"/>
        <v>60000</v>
      </c>
      <c r="N78" s="25">
        <v>45771</v>
      </c>
      <c r="O78" s="26">
        <v>0.56208333333333338</v>
      </c>
      <c r="P78" s="50" t="s">
        <v>1020</v>
      </c>
      <c r="Q78" s="50" t="s">
        <v>1026</v>
      </c>
      <c r="R78" s="50" t="s">
        <v>1105</v>
      </c>
      <c r="S78" s="50" t="s">
        <v>1105</v>
      </c>
      <c r="T78" s="50">
        <v>-267210</v>
      </c>
      <c r="U78" s="50" t="s">
        <v>1024</v>
      </c>
      <c r="V78" s="50" t="s">
        <v>1025</v>
      </c>
      <c r="W78" s="50"/>
      <c r="X78" s="86"/>
      <c r="Y78" s="6"/>
    </row>
    <row r="79" spans="1:25" x14ac:dyDescent="0.4">
      <c r="A79" s="4">
        <f t="shared" si="14"/>
        <v>202504</v>
      </c>
      <c r="B79" s="4">
        <f>B78+1</f>
        <v>6</v>
      </c>
      <c r="C79" s="105" t="s">
        <v>1389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v>0</v>
      </c>
      <c r="G79" s="41">
        <f t="shared" si="11"/>
        <v>1560000</v>
      </c>
      <c r="H79" s="58">
        <f t="shared" si="12"/>
        <v>1560000</v>
      </c>
      <c r="I79" s="43">
        <f t="shared" si="13"/>
        <v>1560000</v>
      </c>
      <c r="N79" s="25">
        <v>45771</v>
      </c>
      <c r="O79" s="26">
        <v>0.70710648148148147</v>
      </c>
      <c r="P79" s="50" t="s">
        <v>1073</v>
      </c>
      <c r="Q79" s="50" t="s">
        <v>1184</v>
      </c>
      <c r="R79" s="50" t="s">
        <v>1054</v>
      </c>
      <c r="S79" s="50" t="s">
        <v>1195</v>
      </c>
      <c r="T79" s="50">
        <v>275000</v>
      </c>
      <c r="U79" s="50" t="s">
        <v>1024</v>
      </c>
      <c r="V79" s="50" t="s">
        <v>1036</v>
      </c>
      <c r="W79" s="50"/>
      <c r="X79" s="86"/>
      <c r="Y79" s="6"/>
    </row>
    <row r="80" spans="1:25" x14ac:dyDescent="0.4">
      <c r="A80" s="71" t="s">
        <v>14</v>
      </c>
      <c r="B80" s="72"/>
      <c r="C80" s="72"/>
      <c r="D80" s="73"/>
      <c r="E80" s="56">
        <f>SUM(E74:E79)</f>
        <v>5598199</v>
      </c>
      <c r="F80" s="56">
        <f ca="1">SUM(F74:F79)</f>
        <v>5986085</v>
      </c>
      <c r="G80" s="57">
        <f ca="1">SUM(G74:G79)</f>
        <v>2405344</v>
      </c>
      <c r="H80" s="59">
        <f>SUM(H74:H79)</f>
        <v>8391429</v>
      </c>
      <c r="I80" s="43">
        <f>SUM(I74:I79)</f>
        <v>2793230</v>
      </c>
      <c r="N80" s="25">
        <v>45772</v>
      </c>
      <c r="O80" s="26">
        <v>0.19730324074074071</v>
      </c>
      <c r="P80" s="50" t="s">
        <v>1073</v>
      </c>
      <c r="Q80" s="50" t="s">
        <v>1218</v>
      </c>
      <c r="R80" s="50" t="s">
        <v>1054</v>
      </c>
      <c r="S80" s="50" t="s">
        <v>1219</v>
      </c>
      <c r="T80" s="50">
        <v>852</v>
      </c>
      <c r="U80" s="50" t="s">
        <v>1024</v>
      </c>
      <c r="V80" s="50" t="s">
        <v>1216</v>
      </c>
      <c r="W80" s="50"/>
      <c r="X80" s="86"/>
      <c r="Y80" s="6"/>
    </row>
    <row r="81" spans="14:25" x14ac:dyDescent="0.4">
      <c r="N81" s="25">
        <v>45772</v>
      </c>
      <c r="O81" s="26">
        <v>0.25361111111111112</v>
      </c>
      <c r="P81" s="50" t="s">
        <v>1073</v>
      </c>
      <c r="Q81" s="50" t="s">
        <v>1117</v>
      </c>
      <c r="R81" s="50" t="s">
        <v>1054</v>
      </c>
      <c r="S81" s="50" t="s">
        <v>1118</v>
      </c>
      <c r="T81" s="50">
        <v>6675532</v>
      </c>
      <c r="U81" s="50" t="s">
        <v>1024</v>
      </c>
      <c r="V81" s="50" t="s">
        <v>1036</v>
      </c>
      <c r="W81" s="50"/>
      <c r="X81" s="86"/>
      <c r="Y81" s="4"/>
    </row>
    <row r="82" spans="14:25" x14ac:dyDescent="0.4">
      <c r="N82" s="25">
        <v>45772</v>
      </c>
      <c r="O82" s="26">
        <v>0.40773148148148147</v>
      </c>
      <c r="P82" s="50" t="s">
        <v>1020</v>
      </c>
      <c r="Q82" s="50" t="s">
        <v>1026</v>
      </c>
      <c r="R82" s="50" t="s">
        <v>1141</v>
      </c>
      <c r="S82" s="50" t="s">
        <v>1142</v>
      </c>
      <c r="T82" s="50">
        <v>-130000</v>
      </c>
      <c r="U82" s="50" t="s">
        <v>1024</v>
      </c>
      <c r="V82" s="50" t="s">
        <v>1036</v>
      </c>
      <c r="W82" s="50"/>
      <c r="X82" s="86"/>
      <c r="Y82" s="4"/>
    </row>
    <row r="83" spans="14:25" x14ac:dyDescent="0.4">
      <c r="N83" s="25">
        <v>45772</v>
      </c>
      <c r="O83" s="26">
        <v>0.40773148148148147</v>
      </c>
      <c r="P83" s="50" t="s">
        <v>1020</v>
      </c>
      <c r="Q83" s="50" t="s">
        <v>1026</v>
      </c>
      <c r="R83" s="50" t="s">
        <v>1139</v>
      </c>
      <c r="S83" s="50" t="s">
        <v>1140</v>
      </c>
      <c r="T83" s="50">
        <v>-100000</v>
      </c>
      <c r="U83" s="50" t="s">
        <v>1024</v>
      </c>
      <c r="V83" s="50" t="s">
        <v>1036</v>
      </c>
      <c r="W83" s="50"/>
      <c r="X83" s="86"/>
      <c r="Y83" s="4"/>
    </row>
    <row r="84" spans="14:25" x14ac:dyDescent="0.4">
      <c r="N84" s="25">
        <v>45772</v>
      </c>
      <c r="O84" s="26">
        <v>0.42005787037037029</v>
      </c>
      <c r="P84" s="50" t="s">
        <v>1020</v>
      </c>
      <c r="Q84" s="50" t="s">
        <v>1026</v>
      </c>
      <c r="R84" s="50" t="s">
        <v>1137</v>
      </c>
      <c r="S84" s="50" t="s">
        <v>1138</v>
      </c>
      <c r="T84" s="50">
        <v>-100000</v>
      </c>
      <c r="U84" s="50" t="s">
        <v>1024</v>
      </c>
      <c r="V84" s="50" t="s">
        <v>1036</v>
      </c>
      <c r="W84" s="50"/>
      <c r="X84" s="86"/>
      <c r="Y84" s="4"/>
    </row>
    <row r="85" spans="14:25" x14ac:dyDescent="0.4">
      <c r="N85" s="25">
        <v>45772</v>
      </c>
      <c r="O85" s="26">
        <v>0.49309027777777781</v>
      </c>
      <c r="P85" s="50" t="s">
        <v>1020</v>
      </c>
      <c r="Q85" s="50" t="s">
        <v>1026</v>
      </c>
      <c r="R85" s="50" t="s">
        <v>1027</v>
      </c>
      <c r="S85" s="50" t="s">
        <v>1143</v>
      </c>
      <c r="T85" s="50">
        <v>-13900</v>
      </c>
      <c r="U85" s="50" t="s">
        <v>1024</v>
      </c>
      <c r="V85" s="50" t="s">
        <v>1025</v>
      </c>
      <c r="W85" s="50"/>
      <c r="X85" s="86"/>
      <c r="Y85" s="4"/>
    </row>
    <row r="86" spans="14:25" x14ac:dyDescent="0.4">
      <c r="N86" s="25">
        <v>45772</v>
      </c>
      <c r="O86" s="26">
        <v>0.49828703703703697</v>
      </c>
      <c r="P86" s="50" t="s">
        <v>1020</v>
      </c>
      <c r="Q86" s="50" t="s">
        <v>1026</v>
      </c>
      <c r="R86" s="50" t="s">
        <v>1115</v>
      </c>
      <c r="S86" s="50" t="s">
        <v>1136</v>
      </c>
      <c r="T86" s="50">
        <v>-62690</v>
      </c>
      <c r="U86" s="50" t="s">
        <v>1024</v>
      </c>
      <c r="V86" s="50" t="s">
        <v>1025</v>
      </c>
      <c r="W86" s="50"/>
      <c r="X86" s="86"/>
      <c r="Y86" s="4"/>
    </row>
    <row r="87" spans="14:25" x14ac:dyDescent="0.4">
      <c r="N87" s="25">
        <v>45772</v>
      </c>
      <c r="O87" s="26">
        <v>0.81335648148148143</v>
      </c>
      <c r="P87" s="50" t="s">
        <v>1020</v>
      </c>
      <c r="Q87" s="50" t="s">
        <v>1026</v>
      </c>
      <c r="R87" s="50" t="s">
        <v>1115</v>
      </c>
      <c r="S87" s="50" t="s">
        <v>1386</v>
      </c>
      <c r="T87" s="50">
        <v>-224943</v>
      </c>
      <c r="U87" s="50" t="s">
        <v>1024</v>
      </c>
      <c r="V87" s="50" t="s">
        <v>1036</v>
      </c>
      <c r="W87" s="50"/>
      <c r="X87" s="86"/>
      <c r="Y87" s="4"/>
    </row>
    <row r="88" spans="14:25" x14ac:dyDescent="0.4">
      <c r="N88" s="25">
        <v>45772</v>
      </c>
      <c r="O88" s="26">
        <v>0.82578703703703704</v>
      </c>
      <c r="P88" s="50" t="s">
        <v>1020</v>
      </c>
      <c r="Q88" s="50" t="s">
        <v>1148</v>
      </c>
      <c r="R88" s="50" t="s">
        <v>1149</v>
      </c>
      <c r="S88" s="50" t="s">
        <v>1150</v>
      </c>
      <c r="T88" s="50">
        <v>-892450</v>
      </c>
      <c r="U88" s="50" t="s">
        <v>1024</v>
      </c>
      <c r="V88" s="50" t="s">
        <v>1036</v>
      </c>
      <c r="W88" s="50"/>
      <c r="X88" s="86"/>
      <c r="Y88" s="4"/>
    </row>
    <row r="89" spans="14:25" x14ac:dyDescent="0.4">
      <c r="N89" s="25">
        <v>45772</v>
      </c>
      <c r="O89" s="26">
        <v>0.84337962962962965</v>
      </c>
      <c r="P89" s="50" t="s">
        <v>1020</v>
      </c>
      <c r="Q89" s="50" t="s">
        <v>1047</v>
      </c>
      <c r="R89" s="50" t="s">
        <v>1047</v>
      </c>
      <c r="S89" s="50" t="s">
        <v>1387</v>
      </c>
      <c r="T89" s="50">
        <v>-26654400</v>
      </c>
      <c r="U89" s="50" t="s">
        <v>1024</v>
      </c>
      <c r="V89" s="50" t="s">
        <v>1036</v>
      </c>
      <c r="W89" s="50"/>
      <c r="X89" s="86"/>
      <c r="Y89" s="4"/>
    </row>
    <row r="90" spans="14:25" x14ac:dyDescent="0.4">
      <c r="N90" s="25">
        <v>45773</v>
      </c>
      <c r="O90" s="26">
        <v>0.19568287037037041</v>
      </c>
      <c r="P90" s="50" t="s">
        <v>1073</v>
      </c>
      <c r="Q90" s="50" t="s">
        <v>1218</v>
      </c>
      <c r="R90" s="50" t="s">
        <v>1054</v>
      </c>
      <c r="S90" s="50" t="s">
        <v>1219</v>
      </c>
      <c r="T90" s="50">
        <v>852</v>
      </c>
      <c r="U90" s="50" t="s">
        <v>1024</v>
      </c>
      <c r="V90" s="50" t="s">
        <v>1216</v>
      </c>
      <c r="W90" s="50" t="s">
        <v>1388</v>
      </c>
      <c r="X90" s="86"/>
      <c r="Y90" s="6"/>
    </row>
    <row r="91" spans="14:25" x14ac:dyDescent="0.4">
      <c r="N91" s="25">
        <v>45774</v>
      </c>
      <c r="O91" s="26">
        <v>0.1965625</v>
      </c>
      <c r="P91" s="50" t="s">
        <v>1073</v>
      </c>
      <c r="Q91" s="50" t="s">
        <v>1218</v>
      </c>
      <c r="R91" s="50" t="s">
        <v>1054</v>
      </c>
      <c r="S91" s="50" t="s">
        <v>1219</v>
      </c>
      <c r="T91" s="50">
        <v>852</v>
      </c>
      <c r="U91" s="50" t="s">
        <v>1024</v>
      </c>
      <c r="V91" s="50" t="s">
        <v>1216</v>
      </c>
      <c r="W91" s="50"/>
      <c r="X91" s="86"/>
      <c r="Y91" s="6"/>
    </row>
    <row r="92" spans="14:25" x14ac:dyDescent="0.4">
      <c r="N92" s="25">
        <v>45774</v>
      </c>
      <c r="O92" s="26">
        <v>0.3732638888888889</v>
      </c>
      <c r="P92" s="50" t="s">
        <v>1020</v>
      </c>
      <c r="Q92" s="50" t="s">
        <v>1021</v>
      </c>
      <c r="R92" s="50" t="s">
        <v>1047</v>
      </c>
      <c r="S92" s="50" t="s">
        <v>1031</v>
      </c>
      <c r="T92" s="50">
        <v>-9870</v>
      </c>
      <c r="U92" s="50" t="s">
        <v>1024</v>
      </c>
      <c r="V92" s="50" t="s">
        <v>1025</v>
      </c>
      <c r="W92" s="50"/>
      <c r="X92" s="86"/>
      <c r="Y92" s="6"/>
    </row>
    <row r="93" spans="14:25" x14ac:dyDescent="0.4">
      <c r="N93" s="25">
        <v>45775</v>
      </c>
      <c r="O93" s="26">
        <v>0.19703703703703701</v>
      </c>
      <c r="P93" s="50" t="s">
        <v>1073</v>
      </c>
      <c r="Q93" s="50" t="s">
        <v>1218</v>
      </c>
      <c r="R93" s="50" t="s">
        <v>1054</v>
      </c>
      <c r="S93" s="50" t="s">
        <v>1219</v>
      </c>
      <c r="T93" s="50">
        <v>852</v>
      </c>
      <c r="U93" s="50" t="s">
        <v>1024</v>
      </c>
      <c r="V93" s="50" t="s">
        <v>1216</v>
      </c>
      <c r="W93" s="50"/>
      <c r="X93" s="86"/>
      <c r="Y93" s="6"/>
    </row>
    <row r="94" spans="14:25" x14ac:dyDescent="0.4">
      <c r="N94" s="25">
        <v>45775</v>
      </c>
      <c r="O94" s="26">
        <v>0.3803009259259259</v>
      </c>
      <c r="P94" s="50" t="s">
        <v>1020</v>
      </c>
      <c r="Q94" s="50" t="s">
        <v>1021</v>
      </c>
      <c r="R94" s="50" t="s">
        <v>1047</v>
      </c>
      <c r="S94" s="50" t="s">
        <v>1031</v>
      </c>
      <c r="T94" s="50">
        <v>-16500</v>
      </c>
      <c r="U94" s="50" t="s">
        <v>1024</v>
      </c>
      <c r="V94" s="50" t="s">
        <v>1025</v>
      </c>
      <c r="W94" s="50"/>
      <c r="X94" s="86"/>
      <c r="Y94" s="6"/>
    </row>
    <row r="95" spans="14:25" x14ac:dyDescent="0.4">
      <c r="N95" s="25">
        <v>45775</v>
      </c>
      <c r="O95" s="26">
        <v>0.6431365740740741</v>
      </c>
      <c r="P95" s="50" t="s">
        <v>1020</v>
      </c>
      <c r="Q95" s="50" t="s">
        <v>1021</v>
      </c>
      <c r="R95" s="50" t="s">
        <v>1047</v>
      </c>
      <c r="S95" s="50" t="s">
        <v>1031</v>
      </c>
      <c r="T95" s="50">
        <v>-19760</v>
      </c>
      <c r="U95" s="50" t="s">
        <v>1024</v>
      </c>
      <c r="V95" s="50" t="s">
        <v>1025</v>
      </c>
      <c r="W95" s="50"/>
      <c r="X95" s="86"/>
      <c r="Y95" s="6"/>
    </row>
    <row r="96" spans="14:25" x14ac:dyDescent="0.4">
      <c r="N96" s="25">
        <v>45776</v>
      </c>
      <c r="O96" s="26">
        <v>0.1822685185185185</v>
      </c>
      <c r="P96" s="50" t="s">
        <v>1073</v>
      </c>
      <c r="Q96" s="50" t="s">
        <v>1218</v>
      </c>
      <c r="R96" s="50" t="s">
        <v>1054</v>
      </c>
      <c r="S96" s="50" t="s">
        <v>1219</v>
      </c>
      <c r="T96" s="50">
        <v>852</v>
      </c>
      <c r="U96" s="50" t="s">
        <v>1024</v>
      </c>
      <c r="V96" s="50" t="s">
        <v>1216</v>
      </c>
      <c r="W96" s="50"/>
      <c r="X96" s="86"/>
      <c r="Y96" s="6"/>
    </row>
    <row r="97" spans="14:25" x14ac:dyDescent="0.4">
      <c r="N97" s="25">
        <v>45777</v>
      </c>
      <c r="O97" s="26">
        <v>6.7824074074074078E-2</v>
      </c>
      <c r="P97" s="50" t="s">
        <v>1020</v>
      </c>
      <c r="Q97" s="50" t="s">
        <v>1026</v>
      </c>
      <c r="R97" s="50" t="s">
        <v>1151</v>
      </c>
      <c r="S97" s="50" t="s">
        <v>1153</v>
      </c>
      <c r="T97" s="50">
        <v>-2800</v>
      </c>
      <c r="U97" s="50" t="s">
        <v>1024</v>
      </c>
      <c r="V97" s="50" t="s">
        <v>1125</v>
      </c>
      <c r="W97" s="50"/>
      <c r="X97" s="86"/>
      <c r="Y97" s="6"/>
    </row>
    <row r="98" spans="14:25" x14ac:dyDescent="0.4">
      <c r="N98" s="25">
        <v>45777</v>
      </c>
      <c r="O98" s="26">
        <v>6.7824074074074078E-2</v>
      </c>
      <c r="P98" s="50" t="s">
        <v>1020</v>
      </c>
      <c r="Q98" s="50" t="s">
        <v>1026</v>
      </c>
      <c r="R98" s="50" t="s">
        <v>1151</v>
      </c>
      <c r="S98" s="50" t="s">
        <v>1152</v>
      </c>
      <c r="T98" s="50">
        <v>-3200</v>
      </c>
      <c r="U98" s="50" t="s">
        <v>1024</v>
      </c>
      <c r="V98" s="50" t="s">
        <v>1125</v>
      </c>
      <c r="W98" s="50"/>
      <c r="X98" s="86"/>
      <c r="Y98" s="6"/>
    </row>
    <row r="99" spans="14:25" x14ac:dyDescent="0.4">
      <c r="N99" s="25">
        <v>45777</v>
      </c>
      <c r="O99" s="26">
        <v>0.19684027777777779</v>
      </c>
      <c r="P99" s="50" t="s">
        <v>1073</v>
      </c>
      <c r="Q99" s="50" t="s">
        <v>1218</v>
      </c>
      <c r="R99" s="50" t="s">
        <v>1054</v>
      </c>
      <c r="S99" s="50" t="s">
        <v>1219</v>
      </c>
      <c r="T99" s="50">
        <v>852</v>
      </c>
      <c r="U99" s="50" t="s">
        <v>1024</v>
      </c>
      <c r="V99" s="50" t="s">
        <v>1216</v>
      </c>
      <c r="W99" s="50"/>
      <c r="X99" s="86"/>
      <c r="Y99" s="6"/>
    </row>
    <row r="100" spans="14:25" x14ac:dyDescent="0.4">
      <c r="N100" s="25">
        <v>45777</v>
      </c>
      <c r="O100" s="26">
        <v>0.54620370370370375</v>
      </c>
      <c r="P100" s="50" t="s">
        <v>1073</v>
      </c>
      <c r="Q100" s="50" t="s">
        <v>1184</v>
      </c>
      <c r="R100" s="50" t="s">
        <v>1054</v>
      </c>
      <c r="S100" s="50" t="s">
        <v>1195</v>
      </c>
      <c r="T100" s="50">
        <v>570000</v>
      </c>
      <c r="U100" s="50" t="s">
        <v>1024</v>
      </c>
      <c r="V100" s="50" t="s">
        <v>1036</v>
      </c>
      <c r="W100" s="50"/>
      <c r="X100" s="86"/>
      <c r="Y100" s="6"/>
    </row>
    <row r="101" spans="14:25" x14ac:dyDescent="0.4">
      <c r="N101" s="25"/>
      <c r="O101" s="26"/>
      <c r="P101" s="50"/>
      <c r="Q101" s="50"/>
      <c r="R101" s="50"/>
      <c r="S101" s="50"/>
      <c r="T101" s="50"/>
      <c r="U101" s="50"/>
      <c r="V101" s="50"/>
      <c r="W101" s="50"/>
      <c r="X101" s="86"/>
      <c r="Y101" s="6"/>
    </row>
    <row r="102" spans="14:25" x14ac:dyDescent="0.4">
      <c r="N102" s="25"/>
      <c r="O102" s="26"/>
      <c r="P102" s="50"/>
      <c r="Q102" s="50"/>
      <c r="R102" s="50"/>
      <c r="S102" s="50"/>
      <c r="T102" s="50"/>
      <c r="U102" s="50"/>
      <c r="V102" s="50"/>
      <c r="W102" s="50"/>
      <c r="X102" s="86"/>
      <c r="Y102" s="6"/>
    </row>
    <row r="103" spans="14:25" x14ac:dyDescent="0.4">
      <c r="N103" s="25"/>
      <c r="O103" s="26"/>
      <c r="P103" s="50"/>
      <c r="Q103" s="50"/>
      <c r="R103" s="50"/>
      <c r="S103" s="50"/>
      <c r="T103" s="50"/>
      <c r="U103" s="50"/>
      <c r="V103" s="50"/>
      <c r="W103" s="50"/>
      <c r="X103" s="86"/>
      <c r="Y103" s="6"/>
    </row>
    <row r="104" spans="14:25" x14ac:dyDescent="0.4">
      <c r="N104" s="25"/>
      <c r="O104" s="26"/>
      <c r="P104" s="50"/>
      <c r="Q104" s="50"/>
      <c r="R104" s="50"/>
      <c r="S104" s="50"/>
      <c r="T104" s="50"/>
      <c r="U104" s="50"/>
      <c r="V104" s="50"/>
      <c r="W104" s="50"/>
      <c r="X104" s="86"/>
      <c r="Y104" s="6"/>
    </row>
    <row r="105" spans="14:25" x14ac:dyDescent="0.4">
      <c r="N105" s="25"/>
      <c r="O105" s="26"/>
      <c r="P105" s="50"/>
      <c r="Q105" s="50"/>
      <c r="R105" s="50"/>
      <c r="S105" s="50"/>
      <c r="T105" s="50"/>
      <c r="U105" s="50"/>
      <c r="V105" s="50"/>
      <c r="W105" s="50"/>
      <c r="X105" s="86"/>
      <c r="Y105" s="6"/>
    </row>
    <row r="106" spans="14:25" x14ac:dyDescent="0.4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6"/>
      <c r="Y106" s="6"/>
    </row>
    <row r="107" spans="14:25" x14ac:dyDescent="0.4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</row>
    <row r="108" spans="14:25" x14ac:dyDescent="0.4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6"/>
      <c r="Y108" s="6"/>
    </row>
    <row r="109" spans="14:25" x14ac:dyDescent="0.4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6"/>
      <c r="Y109" s="6"/>
    </row>
    <row r="110" spans="14:25" x14ac:dyDescent="0.4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6"/>
      <c r="Y110" s="6"/>
    </row>
    <row r="111" spans="14:25" x14ac:dyDescent="0.4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"/>
      <c r="Y111" s="6"/>
    </row>
    <row r="112" spans="14:25" x14ac:dyDescent="0.4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6"/>
      <c r="Y112" s="6"/>
    </row>
    <row r="113" spans="14:25" x14ac:dyDescent="0.4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6"/>
      <c r="Y113" s="6"/>
    </row>
    <row r="114" spans="14:25" x14ac:dyDescent="0.4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6"/>
      <c r="Y114" s="6"/>
    </row>
    <row r="115" spans="14:25" x14ac:dyDescent="0.4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6"/>
      <c r="Y115" s="6"/>
    </row>
    <row r="116" spans="14:25" x14ac:dyDescent="0.4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6"/>
      <c r="Y116" s="6"/>
    </row>
    <row r="117" spans="14:25" x14ac:dyDescent="0.4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6"/>
      <c r="Y117" s="6"/>
    </row>
    <row r="118" spans="14:25" x14ac:dyDescent="0.4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/>
    </row>
    <row r="119" spans="14:25" x14ac:dyDescent="0.4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</row>
    <row r="120" spans="14:25" x14ac:dyDescent="0.4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6"/>
      <c r="Y120" s="6"/>
    </row>
    <row r="121" spans="14:25" x14ac:dyDescent="0.4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</row>
    <row r="122" spans="14:25" x14ac:dyDescent="0.4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</sheetData>
  <autoFilter ref="N2:Y105" xr:uid="{11B47028-C17C-47C6-A882-4705ECF29BE6}"/>
  <mergeCells count="3">
    <mergeCell ref="O1:P1"/>
    <mergeCell ref="A19:D19"/>
    <mergeCell ref="I20:J20"/>
  </mergeCells>
  <phoneticPr fontId="2" type="noConversion"/>
  <conditionalFormatting sqref="G74:G80 I74:I80">
    <cfRule type="cellIs" dxfId="79" priority="1" operator="lessThan">
      <formula>0</formula>
    </cfRule>
    <cfRule type="cellIs" dxfId="78" priority="2" operator="greaterThan">
      <formula>0</formula>
    </cfRule>
  </conditionalFormatting>
  <conditionalFormatting sqref="I3:I18">
    <cfRule type="cellIs" dxfId="77" priority="4" operator="greaterThan">
      <formula>0</formula>
    </cfRule>
    <cfRule type="cellIs" dxfId="76" priority="5" operator="lessThan">
      <formula>0</formula>
    </cfRule>
  </conditionalFormatting>
  <conditionalFormatting sqref="K6:K20">
    <cfRule type="cellIs" dxfId="75" priority="3" operator="lessThan">
      <formula>0</formula>
    </cfRule>
  </conditionalFormatting>
  <conditionalFormatting sqref="L3:L20">
    <cfRule type="cellIs" dxfId="74" priority="6" operator="greaterThan">
      <formula>1</formula>
    </cfRule>
    <cfRule type="cellIs" dxfId="73" priority="7" operator="equal">
      <formula>1</formula>
    </cfRule>
    <cfRule type="cellIs" dxfId="72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97FE-8D37-414F-929A-5026E8B75000}">
  <dimension ref="A1:Y218"/>
  <sheetViews>
    <sheetView zoomScale="80" zoomScaleNormal="80" workbookViewId="0">
      <pane ySplit="2" topLeftCell="A36" activePane="bottomLeft" state="frozen"/>
      <selection activeCell="E1" sqref="E1"/>
      <selection pane="bottomLeft" activeCell="J73" sqref="J73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202504</v>
      </c>
      <c r="K1" s="46" t="s">
        <v>923</v>
      </c>
      <c r="L1" s="46">
        <v>202505</v>
      </c>
      <c r="N1" s="27" t="s">
        <v>950</v>
      </c>
      <c r="O1" s="133">
        <f>SUMIF(P3:P234,"지출",T3:T234)</f>
        <v>-3490452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202505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-892450</v>
      </c>
      <c r="I3" s="41">
        <f ca="1">J3-H3</f>
        <v>12032</v>
      </c>
      <c r="J3" s="43">
        <f>VLOOKUP(A3,대출!$B$4:$G$363,3,FALSE)*-1</f>
        <v>-880418</v>
      </c>
      <c r="K3" s="43">
        <f>G3+J3</f>
        <v>19582</v>
      </c>
      <c r="L3" s="24">
        <f>IF(G3=0,0,-J3/G3)</f>
        <v>0.97824222222222224</v>
      </c>
      <c r="N3" s="25">
        <v>45778</v>
      </c>
      <c r="O3" s="26">
        <v>0.19413194444444451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852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202505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SUMIFS($T$3:$T$234,$P$3:$P$234,"지출",$Q$3:$Q$234,C4,$R$3:$R$234,D4)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45778</v>
      </c>
      <c r="O4" s="26">
        <v>0.72358796296296302</v>
      </c>
      <c r="P4" s="50" t="s">
        <v>1073</v>
      </c>
      <c r="Q4" s="50" t="s">
        <v>1184</v>
      </c>
      <c r="R4" s="50" t="s">
        <v>1054</v>
      </c>
      <c r="S4" s="50" t="s">
        <v>1195</v>
      </c>
      <c r="T4" s="50">
        <v>250000</v>
      </c>
      <c r="U4" s="50" t="s">
        <v>1024</v>
      </c>
      <c r="V4" s="50" t="s">
        <v>1036</v>
      </c>
      <c r="W4" s="50"/>
      <c r="X4" s="86"/>
      <c r="Y4" s="4"/>
    </row>
    <row r="5" spans="1:25" x14ac:dyDescent="0.4">
      <c r="A5" s="4">
        <f t="shared" si="0"/>
        <v>202505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-84590</v>
      </c>
      <c r="I5" s="41">
        <f ca="1">J5-H5</f>
        <v>-51100</v>
      </c>
      <c r="J5" s="44">
        <f t="shared" si="3"/>
        <v>-135690</v>
      </c>
      <c r="K5" s="44">
        <f t="shared" si="4"/>
        <v>-91690</v>
      </c>
      <c r="L5" s="19">
        <f t="shared" si="5"/>
        <v>3.0838636363636365</v>
      </c>
      <c r="N5" s="25">
        <v>45779</v>
      </c>
      <c r="O5" s="26">
        <v>0.18466435185185179</v>
      </c>
      <c r="P5" s="50" t="s">
        <v>1073</v>
      </c>
      <c r="Q5" s="50" t="s">
        <v>1218</v>
      </c>
      <c r="R5" s="50" t="s">
        <v>1054</v>
      </c>
      <c r="S5" s="50" t="s">
        <v>1219</v>
      </c>
      <c r="T5" s="50">
        <v>852</v>
      </c>
      <c r="U5" s="50" t="s">
        <v>1024</v>
      </c>
      <c r="V5" s="50" t="s">
        <v>1216</v>
      </c>
      <c r="W5" s="50"/>
      <c r="X5" s="86"/>
      <c r="Y5" s="6"/>
    </row>
    <row r="6" spans="1:25" x14ac:dyDescent="0.4">
      <c r="A6" s="4">
        <f t="shared" si="0"/>
        <v>202505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-267210</v>
      </c>
      <c r="I6" s="41">
        <f t="shared" ref="I6:I18" ca="1" si="7">J6-H6</f>
        <v>10600</v>
      </c>
      <c r="J6" s="44">
        <f t="shared" si="3"/>
        <v>-256610</v>
      </c>
      <c r="K6" s="44">
        <f t="shared" si="4"/>
        <v>73390</v>
      </c>
      <c r="L6" s="19">
        <f t="shared" si="5"/>
        <v>0.77760606060606063</v>
      </c>
      <c r="N6" s="25">
        <v>45779</v>
      </c>
      <c r="O6" s="26">
        <v>0.55578703703703702</v>
      </c>
      <c r="P6" s="50" t="s">
        <v>1053</v>
      </c>
      <c r="Q6" s="50" t="s">
        <v>1054</v>
      </c>
      <c r="R6" s="50" t="s">
        <v>1054</v>
      </c>
      <c r="S6" s="50" t="s">
        <v>1330</v>
      </c>
      <c r="T6" s="50">
        <v>-6000000</v>
      </c>
      <c r="U6" s="50" t="s">
        <v>1024</v>
      </c>
      <c r="V6" s="50" t="s">
        <v>1036</v>
      </c>
      <c r="W6" s="50"/>
      <c r="X6" s="86"/>
      <c r="Y6" s="6"/>
    </row>
    <row r="7" spans="1:25" x14ac:dyDescent="0.4">
      <c r="A7" s="4">
        <f t="shared" si="0"/>
        <v>202505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45779</v>
      </c>
      <c r="O7" s="26">
        <v>0.55578703703703702</v>
      </c>
      <c r="P7" s="50" t="s">
        <v>1053</v>
      </c>
      <c r="Q7" s="50" t="s">
        <v>1054</v>
      </c>
      <c r="R7" s="50" t="s">
        <v>1054</v>
      </c>
      <c r="S7" s="50" t="s">
        <v>1103</v>
      </c>
      <c r="T7" s="50">
        <v>6000000</v>
      </c>
      <c r="U7" s="50" t="s">
        <v>1024</v>
      </c>
      <c r="V7" s="50" t="s">
        <v>1214</v>
      </c>
      <c r="W7" s="50"/>
      <c r="X7" s="86"/>
      <c r="Y7" s="6"/>
    </row>
    <row r="8" spans="1:25" x14ac:dyDescent="0.4">
      <c r="A8" s="4">
        <f>$L$1</f>
        <v>202505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45779</v>
      </c>
      <c r="O8" s="26">
        <v>0.55598379629629635</v>
      </c>
      <c r="P8" s="50" t="s">
        <v>1053</v>
      </c>
      <c r="Q8" s="50" t="s">
        <v>1054</v>
      </c>
      <c r="R8" s="50" t="s">
        <v>1054</v>
      </c>
      <c r="S8" s="50" t="s">
        <v>1217</v>
      </c>
      <c r="T8" s="50">
        <v>-6000000</v>
      </c>
      <c r="U8" s="50" t="s">
        <v>1024</v>
      </c>
      <c r="V8" s="50" t="s">
        <v>1214</v>
      </c>
      <c r="W8" s="50"/>
      <c r="X8" s="86"/>
      <c r="Y8" s="6"/>
    </row>
    <row r="9" spans="1:25" x14ac:dyDescent="0.4">
      <c r="A9" s="4">
        <f t="shared" si="0"/>
        <v>202505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45779</v>
      </c>
      <c r="O9" s="26">
        <v>0.55598379629629635</v>
      </c>
      <c r="P9" s="50" t="s">
        <v>1053</v>
      </c>
      <c r="Q9" s="50" t="s">
        <v>1054</v>
      </c>
      <c r="R9" s="50" t="s">
        <v>1054</v>
      </c>
      <c r="S9" s="50" t="s">
        <v>1215</v>
      </c>
      <c r="T9" s="50">
        <v>6000000</v>
      </c>
      <c r="U9" s="50" t="s">
        <v>1024</v>
      </c>
      <c r="V9" s="50" t="s">
        <v>1216</v>
      </c>
      <c r="W9" s="50"/>
      <c r="X9" s="86"/>
      <c r="Y9" s="6"/>
    </row>
    <row r="10" spans="1:25" x14ac:dyDescent="0.4">
      <c r="A10" s="4">
        <f t="shared" si="0"/>
        <v>202505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-79940</v>
      </c>
      <c r="I10" s="41">
        <f t="shared" ca="1" si="7"/>
        <v>-80800</v>
      </c>
      <c r="J10" s="44">
        <f t="shared" si="3"/>
        <v>-160740</v>
      </c>
      <c r="K10" s="44">
        <f t="shared" si="4"/>
        <v>-740</v>
      </c>
      <c r="L10" s="19">
        <f t="shared" si="5"/>
        <v>1.0046250000000001</v>
      </c>
      <c r="N10" s="25">
        <v>45779</v>
      </c>
      <c r="O10" s="26">
        <v>0.75347222222222221</v>
      </c>
      <c r="P10" s="50" t="s">
        <v>1020</v>
      </c>
      <c r="Q10" s="50" t="s">
        <v>1022</v>
      </c>
      <c r="R10" s="50" t="s">
        <v>1032</v>
      </c>
      <c r="S10" s="50" t="s">
        <v>1390</v>
      </c>
      <c r="T10" s="50">
        <v>-18000</v>
      </c>
      <c r="U10" s="50" t="s">
        <v>1024</v>
      </c>
      <c r="V10" s="50" t="s">
        <v>1099</v>
      </c>
      <c r="W10" s="50"/>
      <c r="X10" s="86"/>
      <c r="Y10" s="6"/>
    </row>
    <row r="11" spans="1:25" x14ac:dyDescent="0.4">
      <c r="A11" s="4">
        <f t="shared" si="0"/>
        <v>202505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45779</v>
      </c>
      <c r="O11" s="26">
        <v>0.75694444444444442</v>
      </c>
      <c r="P11" s="50" t="s">
        <v>1020</v>
      </c>
      <c r="Q11" s="50" t="s">
        <v>1029</v>
      </c>
      <c r="R11" s="50" t="s">
        <v>1070</v>
      </c>
      <c r="S11" s="50" t="s">
        <v>1391</v>
      </c>
      <c r="T11" s="50">
        <v>-3400</v>
      </c>
      <c r="U11" s="50" t="s">
        <v>1024</v>
      </c>
      <c r="V11" s="50" t="s">
        <v>1099</v>
      </c>
      <c r="W11" s="50"/>
      <c r="X11" s="86"/>
      <c r="Y11" s="6"/>
    </row>
    <row r="12" spans="1:25" x14ac:dyDescent="0.4">
      <c r="A12" s="4">
        <f t="shared" si="0"/>
        <v>202505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-602830</v>
      </c>
      <c r="I12" s="41">
        <f t="shared" ca="1" si="7"/>
        <v>-29360</v>
      </c>
      <c r="J12" s="44">
        <f t="shared" ref="J12:J18" si="8">SUMIFS($T$3:$T$234,$P$3:$P$234,"지출",$Q$3:$Q$234,C12)</f>
        <v>-632190</v>
      </c>
      <c r="K12" s="45">
        <f t="shared" si="4"/>
        <v>-282190</v>
      </c>
      <c r="L12" s="19">
        <f t="shared" si="5"/>
        <v>1.8062571428571428</v>
      </c>
      <c r="N12" s="25">
        <v>45779</v>
      </c>
      <c r="O12" s="26">
        <v>0.77060185185185182</v>
      </c>
      <c r="P12" s="50" t="s">
        <v>1020</v>
      </c>
      <c r="Q12" s="50" t="s">
        <v>1029</v>
      </c>
      <c r="R12" s="50" t="s">
        <v>1030</v>
      </c>
      <c r="S12" s="50" t="s">
        <v>1392</v>
      </c>
      <c r="T12" s="50">
        <v>-2970</v>
      </c>
      <c r="U12" s="50" t="s">
        <v>1024</v>
      </c>
      <c r="V12" s="50" t="s">
        <v>1099</v>
      </c>
      <c r="W12" s="50"/>
      <c r="X12" s="86"/>
      <c r="Y12" s="6"/>
    </row>
    <row r="13" spans="1:25" x14ac:dyDescent="0.4">
      <c r="A13" s="4">
        <f t="shared" si="0"/>
        <v>202505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30800</v>
      </c>
      <c r="G13" s="18">
        <f t="shared" si="1"/>
        <v>30800</v>
      </c>
      <c r="H13" s="41">
        <f t="shared" ca="1" si="2"/>
        <v>-126000</v>
      </c>
      <c r="I13" s="41">
        <f t="shared" ca="1" si="7"/>
        <v>95200</v>
      </c>
      <c r="J13" s="44">
        <f t="shared" si="8"/>
        <v>-30800</v>
      </c>
      <c r="K13" s="44">
        <f t="shared" si="4"/>
        <v>0</v>
      </c>
      <c r="L13" s="19">
        <f t="shared" si="5"/>
        <v>1</v>
      </c>
      <c r="N13" s="25">
        <v>45779</v>
      </c>
      <c r="O13" s="26">
        <v>0.77601851851851855</v>
      </c>
      <c r="P13" s="50" t="s">
        <v>1020</v>
      </c>
      <c r="Q13" s="50" t="s">
        <v>1029</v>
      </c>
      <c r="R13" s="50" t="s">
        <v>1030</v>
      </c>
      <c r="S13" s="50" t="s">
        <v>1327</v>
      </c>
      <c r="T13" s="50">
        <v>-19200</v>
      </c>
      <c r="U13" s="50" t="s">
        <v>1024</v>
      </c>
      <c r="V13" s="50" t="s">
        <v>1099</v>
      </c>
      <c r="W13" s="50" t="s">
        <v>1393</v>
      </c>
      <c r="X13" s="86"/>
      <c r="Y13" s="6"/>
    </row>
    <row r="14" spans="1:25" x14ac:dyDescent="0.4">
      <c r="A14" s="4">
        <f t="shared" si="0"/>
        <v>202505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356100</v>
      </c>
      <c r="G14" s="18">
        <f t="shared" si="1"/>
        <v>356100</v>
      </c>
      <c r="H14" s="41">
        <f ca="1">INDIRECT($J$1&amp;"!J"&amp;ROW())</f>
        <v>-132000</v>
      </c>
      <c r="I14" s="41">
        <f t="shared" ca="1" si="7"/>
        <v>-224100</v>
      </c>
      <c r="J14" s="44">
        <f t="shared" si="8"/>
        <v>-356100</v>
      </c>
      <c r="K14" s="44">
        <f t="shared" si="4"/>
        <v>0</v>
      </c>
      <c r="L14" s="19">
        <f t="shared" si="5"/>
        <v>1</v>
      </c>
      <c r="N14" s="25">
        <v>45780</v>
      </c>
      <c r="O14" s="26">
        <v>0.1842013888888889</v>
      </c>
      <c r="P14" s="50" t="s">
        <v>1073</v>
      </c>
      <c r="Q14" s="50" t="s">
        <v>1218</v>
      </c>
      <c r="R14" s="50" t="s">
        <v>1054</v>
      </c>
      <c r="S14" s="50" t="s">
        <v>1219</v>
      </c>
      <c r="T14" s="50">
        <v>1098</v>
      </c>
      <c r="U14" s="50" t="s">
        <v>1024</v>
      </c>
      <c r="V14" s="50" t="s">
        <v>1216</v>
      </c>
      <c r="W14" s="50"/>
      <c r="X14" s="86"/>
      <c r="Y14" s="6"/>
    </row>
    <row r="15" spans="1:25" x14ac:dyDescent="0.4">
      <c r="A15" s="4">
        <f t="shared" si="0"/>
        <v>202505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-52030</v>
      </c>
      <c r="I15" s="41">
        <f t="shared" ca="1" si="7"/>
        <v>52030</v>
      </c>
      <c r="J15" s="44">
        <f t="shared" si="8"/>
        <v>0</v>
      </c>
      <c r="K15" s="44">
        <f t="shared" si="4"/>
        <v>0</v>
      </c>
      <c r="L15" s="19">
        <f t="shared" si="5"/>
        <v>0</v>
      </c>
      <c r="N15" s="25">
        <v>45780</v>
      </c>
      <c r="O15" s="26">
        <v>0.40160879629629631</v>
      </c>
      <c r="P15" s="50" t="s">
        <v>1020</v>
      </c>
      <c r="Q15" s="50" t="s">
        <v>1026</v>
      </c>
      <c r="R15" s="50" t="s">
        <v>1027</v>
      </c>
      <c r="S15" s="50" t="s">
        <v>1028</v>
      </c>
      <c r="T15" s="50">
        <v>-7890</v>
      </c>
      <c r="U15" s="50" t="s">
        <v>1024</v>
      </c>
      <c r="V15" s="50" t="s">
        <v>1025</v>
      </c>
      <c r="W15" s="50"/>
      <c r="X15" s="86"/>
      <c r="Y15" s="6"/>
    </row>
    <row r="16" spans="1:25" x14ac:dyDescent="0.4">
      <c r="A16" s="4">
        <f t="shared" si="0"/>
        <v>202505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-13700</v>
      </c>
      <c r="I16" s="41">
        <f t="shared" ca="1" si="7"/>
        <v>13700</v>
      </c>
      <c r="J16" s="44">
        <f t="shared" si="8"/>
        <v>0</v>
      </c>
      <c r="K16" s="44">
        <f t="shared" si="4"/>
        <v>0</v>
      </c>
      <c r="L16" s="19">
        <f t="shared" si="5"/>
        <v>0</v>
      </c>
      <c r="N16" s="25">
        <v>45781</v>
      </c>
      <c r="O16" s="26">
        <v>0.1839467592592593</v>
      </c>
      <c r="P16" s="50" t="s">
        <v>1073</v>
      </c>
      <c r="Q16" s="50" t="s">
        <v>1218</v>
      </c>
      <c r="R16" s="50" t="s">
        <v>1054</v>
      </c>
      <c r="S16" s="50" t="s">
        <v>1219</v>
      </c>
      <c r="T16" s="50">
        <v>1098</v>
      </c>
      <c r="U16" s="50" t="s">
        <v>1024</v>
      </c>
      <c r="V16" s="50" t="s">
        <v>1216</v>
      </c>
      <c r="W16" s="50"/>
      <c r="X16" s="86"/>
      <c r="Y16" s="6"/>
    </row>
    <row r="17" spans="1:25" x14ac:dyDescent="0.4">
      <c r="A17" s="4">
        <f t="shared" si="0"/>
        <v>202505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45781</v>
      </c>
      <c r="O17" s="26">
        <v>0.44457175925925918</v>
      </c>
      <c r="P17" s="50" t="s">
        <v>1020</v>
      </c>
      <c r="Q17" s="50" t="s">
        <v>1042</v>
      </c>
      <c r="R17" s="50" t="s">
        <v>1043</v>
      </c>
      <c r="S17" s="50" t="s">
        <v>1394</v>
      </c>
      <c r="T17" s="50">
        <v>-4000</v>
      </c>
      <c r="U17" s="50" t="s">
        <v>1024</v>
      </c>
      <c r="V17" s="50" t="s">
        <v>1099</v>
      </c>
      <c r="W17" s="50" t="s">
        <v>1395</v>
      </c>
      <c r="X17" s="86"/>
      <c r="Y17" s="6"/>
    </row>
    <row r="18" spans="1:25" x14ac:dyDescent="0.4">
      <c r="A18" s="4">
        <f t="shared" si="0"/>
        <v>202505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361449</v>
      </c>
      <c r="G18" s="18">
        <f t="shared" si="1"/>
        <v>711449</v>
      </c>
      <c r="H18" s="41">
        <f t="shared" ca="1" si="2"/>
        <v>-26865040</v>
      </c>
      <c r="I18" s="41">
        <f t="shared" ca="1" si="7"/>
        <v>26503591</v>
      </c>
      <c r="J18" s="44">
        <f t="shared" si="8"/>
        <v>-361449</v>
      </c>
      <c r="K18" s="44">
        <f t="shared" si="4"/>
        <v>350000</v>
      </c>
      <c r="L18" s="19">
        <f t="shared" si="5"/>
        <v>0.50804625489669675</v>
      </c>
      <c r="N18" s="25">
        <v>45781</v>
      </c>
      <c r="O18" s="26">
        <v>0.53348379629629628</v>
      </c>
      <c r="P18" s="50" t="s">
        <v>1020</v>
      </c>
      <c r="Q18" s="50" t="s">
        <v>1029</v>
      </c>
      <c r="R18" s="50" t="s">
        <v>1030</v>
      </c>
      <c r="S18" s="50" t="s">
        <v>1031</v>
      </c>
      <c r="T18" s="50">
        <v>-5940</v>
      </c>
      <c r="U18" s="50" t="s">
        <v>1024</v>
      </c>
      <c r="V18" s="50" t="s">
        <v>1025</v>
      </c>
      <c r="W18" s="50" t="s">
        <v>1396</v>
      </c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748349</v>
      </c>
      <c r="G19" s="20">
        <f t="shared" si="9"/>
        <v>3573349</v>
      </c>
      <c r="H19" s="42">
        <f t="shared" ca="1" si="9"/>
        <v>-29769445</v>
      </c>
      <c r="I19" s="42">
        <f t="shared" ca="1" si="9"/>
        <v>26301793</v>
      </c>
      <c r="J19" s="45">
        <f t="shared" si="9"/>
        <v>-3467652</v>
      </c>
      <c r="K19" s="45">
        <f t="shared" si="9"/>
        <v>105697</v>
      </c>
      <c r="L19" s="21">
        <f>IF(G19=0,0,-J19/G19)</f>
        <v>0.97042074535680678</v>
      </c>
      <c r="N19" s="25">
        <v>45781</v>
      </c>
      <c r="O19" s="26">
        <v>0.68293981481481481</v>
      </c>
      <c r="P19" s="50" t="s">
        <v>1020</v>
      </c>
      <c r="Q19" s="50" t="s">
        <v>1029</v>
      </c>
      <c r="R19" s="50" t="s">
        <v>1045</v>
      </c>
      <c r="S19" s="50" t="s">
        <v>1397</v>
      </c>
      <c r="T19" s="50">
        <v>-1990</v>
      </c>
      <c r="U19" s="50" t="s">
        <v>1024</v>
      </c>
      <c r="V19" s="50" t="s">
        <v>1036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-642652</v>
      </c>
      <c r="L20" s="22">
        <f>IF(E19=0,0,-J19/E19)</f>
        <v>1.2274874336283186</v>
      </c>
      <c r="N20" s="25">
        <v>45781</v>
      </c>
      <c r="O20" s="26">
        <v>0.68840277777777781</v>
      </c>
      <c r="P20" s="50" t="s">
        <v>1020</v>
      </c>
      <c r="Q20" s="50" t="s">
        <v>1029</v>
      </c>
      <c r="R20" s="50" t="s">
        <v>1030</v>
      </c>
      <c r="S20" s="50" t="s">
        <v>1172</v>
      </c>
      <c r="T20" s="50">
        <v>-7990</v>
      </c>
      <c r="U20" s="50" t="s">
        <v>1024</v>
      </c>
      <c r="V20" s="50" t="s">
        <v>1025</v>
      </c>
      <c r="W20" s="50"/>
      <c r="X20" s="86"/>
      <c r="Y20" s="6"/>
    </row>
    <row r="21" spans="1:25" x14ac:dyDescent="0.4">
      <c r="N21" s="25">
        <v>45782</v>
      </c>
      <c r="O21" s="26">
        <v>0.18385416666666671</v>
      </c>
      <c r="P21" s="50" t="s">
        <v>1073</v>
      </c>
      <c r="Q21" s="50" t="s">
        <v>1218</v>
      </c>
      <c r="R21" s="50" t="s">
        <v>1054</v>
      </c>
      <c r="S21" s="50" t="s">
        <v>1219</v>
      </c>
      <c r="T21" s="50">
        <v>1098</v>
      </c>
      <c r="U21" s="50" t="s">
        <v>1024</v>
      </c>
      <c r="V21" s="50" t="s">
        <v>1216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45782</v>
      </c>
      <c r="O22" s="26">
        <v>0.37700231481481478</v>
      </c>
      <c r="P22" s="50" t="s">
        <v>1020</v>
      </c>
      <c r="Q22" s="50" t="s">
        <v>1047</v>
      </c>
      <c r="R22" s="50" t="s">
        <v>1048</v>
      </c>
      <c r="S22" s="50" t="s">
        <v>1031</v>
      </c>
      <c r="T22" s="50">
        <v>-34900</v>
      </c>
      <c r="U22" s="50" t="s">
        <v>1024</v>
      </c>
      <c r="V22" s="50" t="s">
        <v>1025</v>
      </c>
      <c r="W22" s="50" t="s">
        <v>1398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SUMIFS($T$3:$T$234,$P$3:$P$234,"지출",$Q$3:$Q$234,C23,$R$3:$R$234,D23)</f>
        <v>-176200</v>
      </c>
      <c r="N23" s="25">
        <v>45782</v>
      </c>
      <c r="O23" s="26">
        <v>0.7794444444444445</v>
      </c>
      <c r="P23" s="50" t="s">
        <v>1020</v>
      </c>
      <c r="Q23" s="50" t="s">
        <v>1047</v>
      </c>
      <c r="R23" s="50" t="s">
        <v>1047</v>
      </c>
      <c r="S23" s="50" t="s">
        <v>1399</v>
      </c>
      <c r="T23" s="50">
        <v>-15500</v>
      </c>
      <c r="U23" s="50" t="s">
        <v>1024</v>
      </c>
      <c r="V23" s="50" t="s">
        <v>1099</v>
      </c>
      <c r="W23" s="50" t="s">
        <v>1400</v>
      </c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SUMIFS($T$3:$T$234,$P$3:$P$234,"지출",$Q$3:$Q$234,C24,$R$3:$R$234,D24)</f>
        <v>-139200</v>
      </c>
      <c r="N24" s="25">
        <v>45783</v>
      </c>
      <c r="O24" s="26">
        <v>0.18395833333333331</v>
      </c>
      <c r="P24" s="50" t="s">
        <v>1073</v>
      </c>
      <c r="Q24" s="50" t="s">
        <v>1218</v>
      </c>
      <c r="R24" s="50" t="s">
        <v>1054</v>
      </c>
      <c r="S24" s="50" t="s">
        <v>1219</v>
      </c>
      <c r="T24" s="50">
        <v>1099</v>
      </c>
      <c r="U24" s="50" t="s">
        <v>1024</v>
      </c>
      <c r="V24" s="50" t="s">
        <v>1216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SUMIFS($T$3:$T$234,$P$3:$P$234,"지출",$Q$3:$Q$234,C25,$R$3:$R$234,D25)</f>
        <v>-316790</v>
      </c>
      <c r="N25" s="25">
        <v>45783</v>
      </c>
      <c r="O25" s="26">
        <v>0.31725694444444452</v>
      </c>
      <c r="P25" s="50" t="s">
        <v>1020</v>
      </c>
      <c r="Q25" s="50" t="s">
        <v>1022</v>
      </c>
      <c r="R25" s="50" t="s">
        <v>1313</v>
      </c>
      <c r="S25" s="50" t="s">
        <v>1401</v>
      </c>
      <c r="T25" s="50">
        <v>-47000</v>
      </c>
      <c r="U25" s="50" t="s">
        <v>1024</v>
      </c>
      <c r="V25" s="50" t="s">
        <v>1166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SUMIFS($T$3:$T$234,$P$3:$P$234,"지출",$Q$3:$Q$234,C26,$R$3:$R$234,D26)</f>
        <v>0</v>
      </c>
      <c r="N26" s="25">
        <v>45783</v>
      </c>
      <c r="O26" s="26">
        <v>0.32430555555555562</v>
      </c>
      <c r="P26" s="50" t="s">
        <v>1020</v>
      </c>
      <c r="Q26" s="50" t="s">
        <v>1022</v>
      </c>
      <c r="R26" s="50" t="s">
        <v>1313</v>
      </c>
      <c r="S26" s="50" t="s">
        <v>1402</v>
      </c>
      <c r="T26" s="50">
        <v>-3900</v>
      </c>
      <c r="U26" s="50" t="s">
        <v>1024</v>
      </c>
      <c r="V26" s="50" t="s">
        <v>1166</v>
      </c>
      <c r="W26" s="50" t="s">
        <v>1403</v>
      </c>
      <c r="X26" s="86"/>
      <c r="Y26" s="6"/>
    </row>
    <row r="27" spans="1:25" x14ac:dyDescent="0.4">
      <c r="C27" s="92" t="s">
        <v>959</v>
      </c>
      <c r="D27" s="68"/>
      <c r="E27" s="49">
        <f>SUM(E21:E26)</f>
        <v>-632190</v>
      </c>
      <c r="N27" s="25">
        <v>45783</v>
      </c>
      <c r="O27" s="26">
        <v>0.51571759259259264</v>
      </c>
      <c r="P27" s="50" t="s">
        <v>1020</v>
      </c>
      <c r="Q27" s="50" t="s">
        <v>1047</v>
      </c>
      <c r="R27" s="50" t="s">
        <v>1177</v>
      </c>
      <c r="S27" s="50" t="s">
        <v>1404</v>
      </c>
      <c r="T27" s="50">
        <v>-40000</v>
      </c>
      <c r="U27" s="50" t="s">
        <v>1024</v>
      </c>
      <c r="V27" s="50" t="s">
        <v>1099</v>
      </c>
      <c r="W27" s="50" t="s">
        <v>1405</v>
      </c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SUMIFS($T$3:$T$234,$P$3:$P$234,"지출",$Q$3:$Q$234,C28,$R$3:$R$234,D28)</f>
        <v>-184200</v>
      </c>
      <c r="N28" s="25">
        <v>45784</v>
      </c>
      <c r="O28" s="26">
        <v>0.1839351851851852</v>
      </c>
      <c r="P28" s="50" t="s">
        <v>1073</v>
      </c>
      <c r="Q28" s="50" t="s">
        <v>1218</v>
      </c>
      <c r="R28" s="50" t="s">
        <v>1054</v>
      </c>
      <c r="S28" s="50" t="s">
        <v>1219</v>
      </c>
      <c r="T28" s="50">
        <v>1099</v>
      </c>
      <c r="U28" s="50" t="s">
        <v>1024</v>
      </c>
      <c r="V28" s="50" t="s">
        <v>1216</v>
      </c>
      <c r="W28" s="50"/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SUMIFS($T$3:$T$234,$P$3:$P$234,"지출",$Q$3:$Q$234,C29,$R$3:$R$234,D29)</f>
        <v>-167900</v>
      </c>
      <c r="N29" s="25">
        <v>45784</v>
      </c>
      <c r="O29" s="26">
        <v>0.40827546296296302</v>
      </c>
      <c r="P29" s="50" t="s">
        <v>1020</v>
      </c>
      <c r="Q29" s="50" t="s">
        <v>1047</v>
      </c>
      <c r="R29" s="50" t="s">
        <v>1406</v>
      </c>
      <c r="S29" s="50" t="s">
        <v>1407</v>
      </c>
      <c r="T29" s="50">
        <v>-20825</v>
      </c>
      <c r="U29" s="50" t="s">
        <v>1024</v>
      </c>
      <c r="V29" s="50" t="s">
        <v>1025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SUMIFS($T$3:$T$234,$P$3:$P$234,"지출",$Q$3:$Q$234,C30,$R$3:$R$234,D30)</f>
        <v>-4000</v>
      </c>
      <c r="N30" s="25">
        <v>45784</v>
      </c>
      <c r="O30" s="26">
        <v>0.47916666666666669</v>
      </c>
      <c r="P30" s="50" t="s">
        <v>1020</v>
      </c>
      <c r="Q30" s="50" t="s">
        <v>1029</v>
      </c>
      <c r="R30" s="50" t="s">
        <v>1045</v>
      </c>
      <c r="S30" s="50" t="s">
        <v>1408</v>
      </c>
      <c r="T30" s="50">
        <v>-53000</v>
      </c>
      <c r="U30" s="50" t="s">
        <v>1024</v>
      </c>
      <c r="V30" s="50" t="s">
        <v>946</v>
      </c>
      <c r="W30" s="50" t="s">
        <v>1409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-356100</v>
      </c>
      <c r="N31" s="25">
        <v>45784</v>
      </c>
      <c r="O31" s="26">
        <v>0.8850231481481482</v>
      </c>
      <c r="P31" s="50" t="s">
        <v>1073</v>
      </c>
      <c r="Q31" s="50" t="s">
        <v>1184</v>
      </c>
      <c r="R31" s="50" t="s">
        <v>1054</v>
      </c>
      <c r="S31" s="50" t="s">
        <v>1195</v>
      </c>
      <c r="T31" s="50">
        <v>100000</v>
      </c>
      <c r="U31" s="50" t="s">
        <v>1024</v>
      </c>
      <c r="V31" s="50" t="s">
        <v>1036</v>
      </c>
      <c r="W31" s="50"/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SUMIFS($T$3:$T$234,$P$3:$P$234,"지출",$Q$3:$Q$234,C32,$R$3:$R$234,D32)</f>
        <v>0</v>
      </c>
      <c r="N32" s="25">
        <v>45785</v>
      </c>
      <c r="O32" s="26">
        <v>0.1862384259259259</v>
      </c>
      <c r="P32" s="50" t="s">
        <v>1073</v>
      </c>
      <c r="Q32" s="50" t="s">
        <v>1218</v>
      </c>
      <c r="R32" s="50" t="s">
        <v>1054</v>
      </c>
      <c r="S32" s="50" t="s">
        <v>1219</v>
      </c>
      <c r="T32" s="50">
        <v>1099</v>
      </c>
      <c r="U32" s="50" t="s">
        <v>1024</v>
      </c>
      <c r="V32" s="50" t="s">
        <v>1216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-63524</v>
      </c>
      <c r="N33" s="25">
        <v>45786</v>
      </c>
      <c r="O33" s="26">
        <v>0.2338541666666667</v>
      </c>
      <c r="P33" s="50" t="s">
        <v>1073</v>
      </c>
      <c r="Q33" s="50" t="s">
        <v>1218</v>
      </c>
      <c r="R33" s="50" t="s">
        <v>1054</v>
      </c>
      <c r="S33" s="50" t="s">
        <v>1219</v>
      </c>
      <c r="T33" s="50">
        <v>1099</v>
      </c>
      <c r="U33" s="50" t="s">
        <v>1024</v>
      </c>
      <c r="V33" s="50" t="s">
        <v>1216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-170900</v>
      </c>
      <c r="N34" s="25">
        <v>45786</v>
      </c>
      <c r="O34" s="26">
        <v>0.95203703703703701</v>
      </c>
      <c r="P34" s="50" t="s">
        <v>1053</v>
      </c>
      <c r="Q34" s="50" t="s">
        <v>1053</v>
      </c>
      <c r="R34" s="50" t="s">
        <v>1054</v>
      </c>
      <c r="S34" s="50" t="s">
        <v>1103</v>
      </c>
      <c r="T34" s="50">
        <v>10000000</v>
      </c>
      <c r="U34" s="50" t="s">
        <v>1024</v>
      </c>
      <c r="V34" s="50" t="s">
        <v>1214</v>
      </c>
      <c r="W34" s="50" t="s">
        <v>1410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-90700</v>
      </c>
      <c r="N35" s="25">
        <v>45786</v>
      </c>
      <c r="O35" s="26">
        <v>0.95224537037037038</v>
      </c>
      <c r="P35" s="50" t="s">
        <v>1053</v>
      </c>
      <c r="Q35" s="50" t="s">
        <v>1053</v>
      </c>
      <c r="R35" s="50" t="s">
        <v>1054</v>
      </c>
      <c r="S35" s="50" t="s">
        <v>1217</v>
      </c>
      <c r="T35" s="50">
        <v>-10000000</v>
      </c>
      <c r="U35" s="50" t="s">
        <v>1024</v>
      </c>
      <c r="V35" s="50" t="s">
        <v>1214</v>
      </c>
      <c r="W35" s="50" t="s">
        <v>1410</v>
      </c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45786</v>
      </c>
      <c r="O36" s="26">
        <v>0.95224537037037038</v>
      </c>
      <c r="P36" s="50" t="s">
        <v>1053</v>
      </c>
      <c r="Q36" s="50" t="s">
        <v>1053</v>
      </c>
      <c r="R36" s="50" t="s">
        <v>1054</v>
      </c>
      <c r="S36" s="50" t="s">
        <v>1215</v>
      </c>
      <c r="T36" s="50">
        <v>10000000</v>
      </c>
      <c r="U36" s="50" t="s">
        <v>1024</v>
      </c>
      <c r="V36" s="50" t="s">
        <v>1216</v>
      </c>
      <c r="W36" s="50" t="s">
        <v>1410</v>
      </c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-15500</v>
      </c>
      <c r="N37" s="25">
        <v>45787</v>
      </c>
      <c r="O37" s="26">
        <v>4.4259259259259262E-2</v>
      </c>
      <c r="P37" s="50" t="s">
        <v>1073</v>
      </c>
      <c r="Q37" s="50" t="s">
        <v>1218</v>
      </c>
      <c r="R37" s="50" t="s">
        <v>1054</v>
      </c>
      <c r="S37" s="50" t="s">
        <v>1223</v>
      </c>
      <c r="T37" s="50">
        <v>1423</v>
      </c>
      <c r="U37" s="50" t="s">
        <v>1024</v>
      </c>
      <c r="V37" s="50" t="s">
        <v>1036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-20825</v>
      </c>
      <c r="N38" s="25">
        <v>45787</v>
      </c>
      <c r="O38" s="26">
        <v>0.23366898148148149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1522</v>
      </c>
      <c r="U38" s="50" t="s">
        <v>1024</v>
      </c>
      <c r="V38" s="50" t="s">
        <v>1216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45787</v>
      </c>
      <c r="O39" s="26">
        <v>0.40060185185185188</v>
      </c>
      <c r="P39" s="50" t="s">
        <v>1020</v>
      </c>
      <c r="Q39" s="50" t="s">
        <v>1029</v>
      </c>
      <c r="R39" s="50" t="s">
        <v>1030</v>
      </c>
      <c r="S39" s="50" t="s">
        <v>1031</v>
      </c>
      <c r="T39" s="50">
        <v>-23600</v>
      </c>
      <c r="U39" s="50" t="s">
        <v>1024</v>
      </c>
      <c r="V39" s="50" t="s">
        <v>1025</v>
      </c>
      <c r="W39" s="50" t="s">
        <v>1411</v>
      </c>
      <c r="X39" s="86"/>
      <c r="Y39" s="6"/>
    </row>
    <row r="40" spans="3:25" x14ac:dyDescent="0.4">
      <c r="C40" s="94" t="s">
        <v>962</v>
      </c>
      <c r="D40" s="93"/>
      <c r="E40" s="20">
        <f>SUM(E32:E39)</f>
        <v>-361449</v>
      </c>
      <c r="N40" s="25">
        <v>45787</v>
      </c>
      <c r="O40" s="26">
        <v>0.46456018518518521</v>
      </c>
      <c r="P40" s="50" t="s">
        <v>1020</v>
      </c>
      <c r="Q40" s="50" t="s">
        <v>1029</v>
      </c>
      <c r="R40" s="50" t="s">
        <v>1045</v>
      </c>
      <c r="S40" s="50" t="s">
        <v>1031</v>
      </c>
      <c r="T40" s="50">
        <v>-18700</v>
      </c>
      <c r="U40" s="50" t="s">
        <v>1024</v>
      </c>
      <c r="V40" s="50" t="s">
        <v>1025</v>
      </c>
      <c r="W40" s="50" t="s">
        <v>1412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SUMIFS($T$3:$T$234,$P$3:$P$234,"지출",$Q$3:$Q$234,C41,$R$3:$R$234,D41)</f>
        <v>0</v>
      </c>
      <c r="N41" s="25">
        <v>45787</v>
      </c>
      <c r="O41" s="26">
        <v>0.76027777777777783</v>
      </c>
      <c r="P41" s="50" t="s">
        <v>1020</v>
      </c>
      <c r="Q41" s="50" t="s">
        <v>1029</v>
      </c>
      <c r="R41" s="50" t="s">
        <v>1070</v>
      </c>
      <c r="S41" s="50" t="s">
        <v>1071</v>
      </c>
      <c r="T41" s="50">
        <v>-11800</v>
      </c>
      <c r="U41" s="50" t="s">
        <v>1024</v>
      </c>
      <c r="V41" s="50" t="s">
        <v>1025</v>
      </c>
      <c r="W41" s="50" t="s">
        <v>1413</v>
      </c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SUMIFS($T$3:$T$234,$P$3:$P$234,"지출",$Q$3:$Q$234,C42,$R$3:$R$234,D42)</f>
        <v>0</v>
      </c>
      <c r="N42" s="25">
        <v>45787</v>
      </c>
      <c r="O42" s="26">
        <v>0.77521990740740743</v>
      </c>
      <c r="P42" s="50" t="s">
        <v>1020</v>
      </c>
      <c r="Q42" s="50" t="s">
        <v>1029</v>
      </c>
      <c r="R42" s="50" t="s">
        <v>1030</v>
      </c>
      <c r="S42" s="50" t="s">
        <v>1031</v>
      </c>
      <c r="T42" s="50">
        <v>-11250</v>
      </c>
      <c r="U42" s="50" t="s">
        <v>1024</v>
      </c>
      <c r="V42" s="50" t="s">
        <v>1025</v>
      </c>
      <c r="W42" s="50" t="s">
        <v>1414</v>
      </c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SUMIFS($T$3:$T$234,$P$3:$P$234,"지출",$Q$3:$Q$234,C43,$R$3:$R$234,D43)</f>
        <v>0</v>
      </c>
      <c r="N43" s="25">
        <v>45787</v>
      </c>
      <c r="O43" s="26">
        <v>0.83689814814814811</v>
      </c>
      <c r="P43" s="50" t="s">
        <v>1020</v>
      </c>
      <c r="Q43" s="50" t="s">
        <v>1026</v>
      </c>
      <c r="R43" s="50" t="s">
        <v>1151</v>
      </c>
      <c r="S43" s="50" t="s">
        <v>1168</v>
      </c>
      <c r="T43" s="50">
        <v>-90000</v>
      </c>
      <c r="U43" s="50" t="s">
        <v>1024</v>
      </c>
      <c r="V43" s="50" t="s">
        <v>1036</v>
      </c>
      <c r="W43" s="50" t="s">
        <v>1415</v>
      </c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SUMIFS($T$3:$T$234,$P$3:$P$234,"지출",$Q$3:$Q$234,C44,$R$3:$R$234,D44)</f>
        <v>0</v>
      </c>
      <c r="N44" s="25">
        <v>45787</v>
      </c>
      <c r="O44" s="26">
        <v>0.85035879629629629</v>
      </c>
      <c r="P44" s="50" t="s">
        <v>1020</v>
      </c>
      <c r="Q44" s="50" t="s">
        <v>1026</v>
      </c>
      <c r="R44" s="50" t="s">
        <v>1151</v>
      </c>
      <c r="S44" s="50" t="s">
        <v>1151</v>
      </c>
      <c r="T44" s="50">
        <v>-66420</v>
      </c>
      <c r="U44" s="50" t="s">
        <v>1024</v>
      </c>
      <c r="V44" s="50" t="s">
        <v>1036</v>
      </c>
      <c r="W44" s="50" t="s">
        <v>1021</v>
      </c>
      <c r="X44" s="86"/>
      <c r="Y44" s="6"/>
    </row>
    <row r="45" spans="3:25" x14ac:dyDescent="0.4">
      <c r="C45" s="94" t="s">
        <v>1016</v>
      </c>
      <c r="D45" s="93"/>
      <c r="E45" s="20">
        <f>SUM(E41:E44)</f>
        <v>0</v>
      </c>
      <c r="N45" s="25">
        <v>45787</v>
      </c>
      <c r="O45" s="26">
        <v>0.85252314814814811</v>
      </c>
      <c r="P45" s="50" t="s">
        <v>1053</v>
      </c>
      <c r="Q45" s="50" t="s">
        <v>1053</v>
      </c>
      <c r="R45" s="50" t="s">
        <v>1054</v>
      </c>
      <c r="S45" s="50" t="s">
        <v>1055</v>
      </c>
      <c r="T45" s="50">
        <v>-13436609</v>
      </c>
      <c r="U45" s="50" t="s">
        <v>1024</v>
      </c>
      <c r="V45" s="50" t="s">
        <v>1410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SUMIFS($T$3:$T$234,$P$3:$P$234,"지출",$Q$3:$Q$234,C46,$R$3:$R$234,D46)</f>
        <v>0</v>
      </c>
      <c r="N46" s="25">
        <v>45788</v>
      </c>
      <c r="O46" s="26">
        <v>0.2333564814814815</v>
      </c>
      <c r="P46" s="50" t="s">
        <v>1073</v>
      </c>
      <c r="Q46" s="50" t="s">
        <v>1218</v>
      </c>
      <c r="R46" s="50" t="s">
        <v>1054</v>
      </c>
      <c r="S46" s="50" t="s">
        <v>1219</v>
      </c>
      <c r="T46" s="50">
        <v>1522</v>
      </c>
      <c r="U46" s="50" t="s">
        <v>1024</v>
      </c>
      <c r="V46" s="50" t="s">
        <v>1216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SUMIFS($T$3:$T$234,$P$3:$P$234,"지출",$Q$3:$Q$234,C47,$R$3:$R$234,D47)</f>
        <v>0</v>
      </c>
      <c r="N47" s="25">
        <v>45789</v>
      </c>
      <c r="O47" s="26">
        <v>0.23439814814814819</v>
      </c>
      <c r="P47" s="50" t="s">
        <v>1073</v>
      </c>
      <c r="Q47" s="50" t="s">
        <v>1218</v>
      </c>
      <c r="R47" s="50" t="s">
        <v>1054</v>
      </c>
      <c r="S47" s="50" t="s">
        <v>1219</v>
      </c>
      <c r="T47" s="50">
        <v>1522</v>
      </c>
      <c r="U47" s="50" t="s">
        <v>1024</v>
      </c>
      <c r="V47" s="50" t="s">
        <v>1216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SUMIFS($T$3:$T$234,$P$3:$P$234,"지출",$Q$3:$Q$234,C48,$R$3:$R$234,D48)</f>
        <v>0</v>
      </c>
      <c r="N48" s="25">
        <v>45789</v>
      </c>
      <c r="O48" s="26">
        <v>0.8283449074074074</v>
      </c>
      <c r="P48" s="50" t="s">
        <v>1053</v>
      </c>
      <c r="Q48" s="50" t="s">
        <v>1066</v>
      </c>
      <c r="R48" s="50" t="s">
        <v>1054</v>
      </c>
      <c r="S48" s="50" t="s">
        <v>1067</v>
      </c>
      <c r="T48" s="50">
        <v>-851280</v>
      </c>
      <c r="U48" s="50" t="s">
        <v>1024</v>
      </c>
      <c r="V48" s="50" t="s">
        <v>1036</v>
      </c>
      <c r="W48" s="50"/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SUMIFS($T$3:$T$234,$P$3:$P$234,"지출",$Q$3:$Q$234,C49,$R$3:$R$234,D49)</f>
        <v>0</v>
      </c>
      <c r="N49" s="25">
        <v>45789</v>
      </c>
      <c r="O49" s="26">
        <v>0.96790509259259261</v>
      </c>
      <c r="P49" s="50" t="s">
        <v>1020</v>
      </c>
      <c r="Q49" s="50" t="s">
        <v>1029</v>
      </c>
      <c r="R49" s="50" t="s">
        <v>1045</v>
      </c>
      <c r="S49" s="50" t="s">
        <v>1031</v>
      </c>
      <c r="T49" s="50">
        <v>-19620</v>
      </c>
      <c r="U49" s="50" t="s">
        <v>1024</v>
      </c>
      <c r="V49" s="50" t="s">
        <v>1025</v>
      </c>
      <c r="W49" s="50" t="s">
        <v>1416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45790</v>
      </c>
      <c r="O50" s="26">
        <v>0.18755787037037039</v>
      </c>
      <c r="P50" s="50" t="s">
        <v>1073</v>
      </c>
      <c r="Q50" s="50" t="s">
        <v>1218</v>
      </c>
      <c r="R50" s="50" t="s">
        <v>1054</v>
      </c>
      <c r="S50" s="50" t="s">
        <v>1219</v>
      </c>
      <c r="T50" s="50">
        <v>1522</v>
      </c>
      <c r="U50" s="50" t="s">
        <v>1024</v>
      </c>
      <c r="V50" s="50" t="s">
        <v>1216</v>
      </c>
      <c r="W50" s="50"/>
      <c r="X50" s="86"/>
      <c r="Y50" s="6"/>
    </row>
    <row r="51" spans="1:25" ht="18" thickBot="1" x14ac:dyDescent="0.45">
      <c r="J51" s="53"/>
      <c r="K51" s="54"/>
      <c r="N51" s="25">
        <v>45790</v>
      </c>
      <c r="O51" s="26">
        <v>0.63976851851851857</v>
      </c>
      <c r="P51" s="50" t="s">
        <v>1020</v>
      </c>
      <c r="Q51" s="50" t="s">
        <v>1042</v>
      </c>
      <c r="R51" s="50" t="s">
        <v>1054</v>
      </c>
      <c r="S51" s="50" t="s">
        <v>1276</v>
      </c>
      <c r="T51" s="50">
        <v>-5500</v>
      </c>
      <c r="U51" s="50" t="s">
        <v>1024</v>
      </c>
      <c r="V51" s="50" t="s">
        <v>1099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143139591</v>
      </c>
      <c r="N52" s="25">
        <v>45790</v>
      </c>
      <c r="O52" s="26">
        <v>0.640625</v>
      </c>
      <c r="P52" s="50" t="s">
        <v>1020</v>
      </c>
      <c r="Q52" s="50" t="s">
        <v>1042</v>
      </c>
      <c r="R52" s="50" t="s">
        <v>1043</v>
      </c>
      <c r="S52" s="50" t="s">
        <v>1274</v>
      </c>
      <c r="T52" s="50">
        <v>-12600</v>
      </c>
      <c r="U52" s="50" t="s">
        <v>1024</v>
      </c>
      <c r="V52" s="50" t="s">
        <v>1099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125753202</v>
      </c>
      <c r="N53" s="25">
        <v>45791</v>
      </c>
      <c r="O53" s="26">
        <v>0.2222453703703704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1522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6830239</v>
      </c>
      <c r="H54" s="98" t="s">
        <v>907</v>
      </c>
      <c r="I54" s="30">
        <f ca="1">I53-I52</f>
        <v>-17386389</v>
      </c>
      <c r="J54" s="53"/>
      <c r="K54" s="54"/>
      <c r="N54" s="25">
        <v>45791</v>
      </c>
      <c r="O54" s="26">
        <v>0.69215277777777773</v>
      </c>
      <c r="P54" s="50" t="s">
        <v>1073</v>
      </c>
      <c r="Q54" s="50" t="s">
        <v>1184</v>
      </c>
      <c r="R54" s="50" t="s">
        <v>1054</v>
      </c>
      <c r="S54" s="50" t="s">
        <v>1195</v>
      </c>
      <c r="T54" s="50">
        <v>400000</v>
      </c>
      <c r="U54" s="50" t="s">
        <v>1024</v>
      </c>
      <c r="V54" s="50" t="s">
        <v>1036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0</v>
      </c>
      <c r="H55" s="52"/>
      <c r="I55" s="53"/>
      <c r="J55" s="53"/>
      <c r="K55" s="54"/>
      <c r="N55" s="25">
        <v>45792</v>
      </c>
      <c r="O55" s="26">
        <v>0.23768518518518519</v>
      </c>
      <c r="P55" s="50" t="s">
        <v>1073</v>
      </c>
      <c r="Q55" s="50" t="s">
        <v>1218</v>
      </c>
      <c r="R55" s="50" t="s">
        <v>1054</v>
      </c>
      <c r="S55" s="50" t="s">
        <v>1219</v>
      </c>
      <c r="T55" s="50">
        <v>1522</v>
      </c>
      <c r="U55" s="50" t="s">
        <v>1024</v>
      </c>
      <c r="V55" s="50" t="s">
        <v>1216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45792</v>
      </c>
      <c r="O56" s="26">
        <v>0.52344907407407404</v>
      </c>
      <c r="P56" s="50" t="s">
        <v>1020</v>
      </c>
      <c r="Q56" s="50" t="s">
        <v>1042</v>
      </c>
      <c r="R56" s="50" t="s">
        <v>1054</v>
      </c>
      <c r="S56" s="50" t="s">
        <v>1417</v>
      </c>
      <c r="T56" s="50">
        <v>-5500</v>
      </c>
      <c r="U56" s="50" t="s">
        <v>1024</v>
      </c>
      <c r="V56" s="50" t="s">
        <v>1099</v>
      </c>
      <c r="W56" s="50" t="s">
        <v>1418</v>
      </c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45792</v>
      </c>
      <c r="O57" s="26">
        <v>0.52863425925925922</v>
      </c>
      <c r="P57" s="50" t="s">
        <v>1020</v>
      </c>
      <c r="Q57" s="50" t="s">
        <v>1042</v>
      </c>
      <c r="R57" s="50" t="s">
        <v>1043</v>
      </c>
      <c r="S57" s="50" t="s">
        <v>1419</v>
      </c>
      <c r="T57" s="50">
        <v>-2000</v>
      </c>
      <c r="U57" s="50" t="s">
        <v>1024</v>
      </c>
      <c r="V57" s="50" t="s">
        <v>1166</v>
      </c>
      <c r="W57" s="50" t="s">
        <v>1420</v>
      </c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45792</v>
      </c>
      <c r="O58" s="26">
        <v>0.755</v>
      </c>
      <c r="P58" s="50" t="s">
        <v>1073</v>
      </c>
      <c r="Q58" s="50" t="s">
        <v>1184</v>
      </c>
      <c r="R58" s="50" t="s">
        <v>1054</v>
      </c>
      <c r="S58" s="50" t="s">
        <v>1195</v>
      </c>
      <c r="T58" s="50">
        <v>300000</v>
      </c>
      <c r="U58" s="50" t="s">
        <v>1024</v>
      </c>
      <c r="V58" s="50" t="s">
        <v>1036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113685</v>
      </c>
      <c r="H59" s="52"/>
      <c r="I59" s="53"/>
      <c r="J59" s="53"/>
      <c r="K59" s="54"/>
      <c r="N59" s="25">
        <v>45793</v>
      </c>
      <c r="O59" s="26">
        <v>0.17158564814814811</v>
      </c>
      <c r="P59" s="50" t="s">
        <v>1073</v>
      </c>
      <c r="Q59" s="50" t="s">
        <v>1218</v>
      </c>
      <c r="R59" s="50" t="s">
        <v>1054</v>
      </c>
      <c r="S59" s="50" t="s">
        <v>1219</v>
      </c>
      <c r="T59" s="50">
        <v>1522</v>
      </c>
      <c r="U59" s="50" t="s">
        <v>1024</v>
      </c>
      <c r="V59" s="50" t="s">
        <v>1216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45793</v>
      </c>
      <c r="O60" s="26">
        <v>0.52075231481481477</v>
      </c>
      <c r="P60" s="50" t="s">
        <v>1020</v>
      </c>
      <c r="Q60" s="50" t="s">
        <v>1047</v>
      </c>
      <c r="R60" s="50" t="s">
        <v>1048</v>
      </c>
      <c r="S60" s="50" t="s">
        <v>1262</v>
      </c>
      <c r="T60" s="50">
        <v>-55800</v>
      </c>
      <c r="U60" s="50" t="s">
        <v>1024</v>
      </c>
      <c r="V60" s="50" t="s">
        <v>1079</v>
      </c>
      <c r="W60" s="50" t="s">
        <v>1421</v>
      </c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117850</v>
      </c>
      <c r="H61" s="52"/>
      <c r="I61" s="53"/>
      <c r="J61" s="53"/>
      <c r="K61" s="54"/>
      <c r="N61" s="25">
        <v>45793</v>
      </c>
      <c r="O61" s="26">
        <v>0.72349537037037037</v>
      </c>
      <c r="P61" s="50" t="s">
        <v>1020</v>
      </c>
      <c r="Q61" s="50" t="s">
        <v>1029</v>
      </c>
      <c r="R61" s="50" t="s">
        <v>1070</v>
      </c>
      <c r="S61" s="50" t="s">
        <v>1071</v>
      </c>
      <c r="T61" s="50">
        <v>-21500</v>
      </c>
      <c r="U61" s="50" t="s">
        <v>1024</v>
      </c>
      <c r="V61" s="50" t="s">
        <v>946</v>
      </c>
      <c r="W61" s="50" t="s">
        <v>1422</v>
      </c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45794</v>
      </c>
      <c r="O62" s="26">
        <v>0.17325231481481479</v>
      </c>
      <c r="P62" s="50" t="s">
        <v>1073</v>
      </c>
      <c r="Q62" s="50" t="s">
        <v>1218</v>
      </c>
      <c r="R62" s="50" t="s">
        <v>1054</v>
      </c>
      <c r="S62" s="50" t="s">
        <v>1219</v>
      </c>
      <c r="T62" s="50">
        <v>1522</v>
      </c>
      <c r="U62" s="50" t="s">
        <v>1024</v>
      </c>
      <c r="V62" s="50" t="s">
        <v>1216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701100</v>
      </c>
      <c r="H63" s="52"/>
      <c r="I63" s="53"/>
      <c r="J63" s="53"/>
      <c r="K63" s="54"/>
      <c r="N63" s="25">
        <v>45794</v>
      </c>
      <c r="O63" s="26">
        <v>0.48686342592592591</v>
      </c>
      <c r="P63" s="50" t="s">
        <v>1053</v>
      </c>
      <c r="Q63" s="50" t="s">
        <v>1053</v>
      </c>
      <c r="R63" s="50" t="s">
        <v>1054</v>
      </c>
      <c r="S63" s="50" t="s">
        <v>1423</v>
      </c>
      <c r="T63" s="50">
        <v>10000</v>
      </c>
      <c r="U63" s="50" t="s">
        <v>1024</v>
      </c>
      <c r="V63" s="50" t="s">
        <v>1079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45794</v>
      </c>
      <c r="O64" s="26">
        <v>0.66168981481481481</v>
      </c>
      <c r="P64" s="50" t="s">
        <v>1020</v>
      </c>
      <c r="Q64" s="50" t="s">
        <v>1029</v>
      </c>
      <c r="R64" s="50" t="s">
        <v>1030</v>
      </c>
      <c r="S64" s="50" t="s">
        <v>1031</v>
      </c>
      <c r="T64" s="50">
        <v>-19530</v>
      </c>
      <c r="U64" s="50" t="s">
        <v>1024</v>
      </c>
      <c r="V64" s="50" t="s">
        <v>1025</v>
      </c>
      <c r="W64" s="50" t="s">
        <v>1424</v>
      </c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45795</v>
      </c>
      <c r="O65" s="26">
        <v>0.17100694444444439</v>
      </c>
      <c r="P65" s="50" t="s">
        <v>1073</v>
      </c>
      <c r="Q65" s="50" t="s">
        <v>1218</v>
      </c>
      <c r="R65" s="50" t="s">
        <v>1054</v>
      </c>
      <c r="S65" s="50" t="s">
        <v>1219</v>
      </c>
      <c r="T65" s="50">
        <v>1523</v>
      </c>
      <c r="U65" s="50" t="s">
        <v>1024</v>
      </c>
      <c r="V65" s="50" t="s">
        <v>1216</v>
      </c>
      <c r="W65" s="50"/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I66" s="53"/>
      <c r="J66" s="53"/>
      <c r="K66" s="54"/>
      <c r="N66" s="25">
        <v>45796</v>
      </c>
      <c r="O66" s="26">
        <v>0.16996527777777781</v>
      </c>
      <c r="P66" s="50" t="s">
        <v>1073</v>
      </c>
      <c r="Q66" s="50" t="s">
        <v>1218</v>
      </c>
      <c r="R66" s="50" t="s">
        <v>1054</v>
      </c>
      <c r="S66" s="50" t="s">
        <v>1219</v>
      </c>
      <c r="T66" s="50">
        <v>1523</v>
      </c>
      <c r="U66" s="50" t="s">
        <v>1024</v>
      </c>
      <c r="V66" s="50" t="s">
        <v>1216</v>
      </c>
      <c r="W66" s="50"/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45796</v>
      </c>
      <c r="O67" s="26">
        <v>0.37291666666666667</v>
      </c>
      <c r="P67" s="50" t="s">
        <v>1020</v>
      </c>
      <c r="Q67" s="50" t="s">
        <v>1026</v>
      </c>
      <c r="R67" s="50" t="s">
        <v>1093</v>
      </c>
      <c r="S67" s="50" t="s">
        <v>1094</v>
      </c>
      <c r="T67" s="50">
        <v>-22000</v>
      </c>
      <c r="U67" s="50" t="s">
        <v>1024</v>
      </c>
      <c r="V67" s="50" t="s">
        <v>1025</v>
      </c>
      <c r="W67" s="50"/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45796</v>
      </c>
      <c r="O68" s="26">
        <v>0.37291666666666667</v>
      </c>
      <c r="P68" s="50" t="s">
        <v>1020</v>
      </c>
      <c r="Q68" s="50" t="s">
        <v>1026</v>
      </c>
      <c r="R68" s="50" t="s">
        <v>1093</v>
      </c>
      <c r="S68" s="50" t="s">
        <v>1095</v>
      </c>
      <c r="T68" s="50">
        <v>-113690</v>
      </c>
      <c r="U68" s="50" t="s">
        <v>1024</v>
      </c>
      <c r="V68" s="50" t="s">
        <v>1025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45796</v>
      </c>
      <c r="O69" s="26">
        <v>0.48158564814814808</v>
      </c>
      <c r="P69" s="50" t="s">
        <v>1020</v>
      </c>
      <c r="Q69" s="50" t="s">
        <v>1029</v>
      </c>
      <c r="R69" s="50" t="s">
        <v>1030</v>
      </c>
      <c r="S69" s="50" t="s">
        <v>1031</v>
      </c>
      <c r="T69" s="50">
        <v>-43340</v>
      </c>
      <c r="U69" s="50" t="s">
        <v>1024</v>
      </c>
      <c r="V69" s="50" t="s">
        <v>1025</v>
      </c>
      <c r="W69" s="50" t="s">
        <v>1425</v>
      </c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45796</v>
      </c>
      <c r="O70" s="26">
        <v>0.58967592592592588</v>
      </c>
      <c r="P70" s="50" t="s">
        <v>1020</v>
      </c>
      <c r="Q70" s="50" t="s">
        <v>1029</v>
      </c>
      <c r="R70" s="50" t="s">
        <v>1045</v>
      </c>
      <c r="S70" s="50" t="s">
        <v>1031</v>
      </c>
      <c r="T70" s="50">
        <v>-32820</v>
      </c>
      <c r="U70" s="50" t="s">
        <v>1024</v>
      </c>
      <c r="V70" s="50" t="s">
        <v>1025</v>
      </c>
      <c r="W70" s="50" t="s">
        <v>1426</v>
      </c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45796</v>
      </c>
      <c r="O71" s="26">
        <v>0.6430555555555556</v>
      </c>
      <c r="P71" s="50" t="s">
        <v>1073</v>
      </c>
      <c r="Q71" s="50" t="s">
        <v>1074</v>
      </c>
      <c r="R71" s="50" t="s">
        <v>1054</v>
      </c>
      <c r="S71" s="50" t="s">
        <v>1075</v>
      </c>
      <c r="T71" s="50">
        <v>55199</v>
      </c>
      <c r="U71" s="50" t="s">
        <v>1024</v>
      </c>
      <c r="V71" s="50" t="s">
        <v>1036</v>
      </c>
      <c r="W71" s="50"/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45796</v>
      </c>
      <c r="O72" s="26">
        <v>0.89833333333333332</v>
      </c>
      <c r="P72" s="50" t="s">
        <v>1020</v>
      </c>
      <c r="Q72" s="50" t="s">
        <v>1029</v>
      </c>
      <c r="R72" s="50" t="s">
        <v>1030</v>
      </c>
      <c r="S72" s="50" t="s">
        <v>1069</v>
      </c>
      <c r="T72" s="50">
        <v>-5300</v>
      </c>
      <c r="U72" s="50" t="s">
        <v>1024</v>
      </c>
      <c r="V72" s="50" t="s">
        <v>1025</v>
      </c>
      <c r="W72" s="50" t="s">
        <v>1427</v>
      </c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45797</v>
      </c>
      <c r="O73" s="26">
        <v>0.16928240740740741</v>
      </c>
      <c r="P73" s="50" t="s">
        <v>1073</v>
      </c>
      <c r="Q73" s="50" t="s">
        <v>1218</v>
      </c>
      <c r="R73" s="50" t="s">
        <v>1054</v>
      </c>
      <c r="S73" s="50" t="s">
        <v>1219</v>
      </c>
      <c r="T73" s="50">
        <v>1523</v>
      </c>
      <c r="U73" s="50" t="s">
        <v>1024</v>
      </c>
      <c r="V73" s="50" t="s">
        <v>1216</v>
      </c>
      <c r="W73" s="50"/>
      <c r="X73" s="86"/>
      <c r="Y73" s="6"/>
    </row>
    <row r="74" spans="1:25" ht="18" thickTop="1" x14ac:dyDescent="0.4">
      <c r="A74" s="7">
        <f>$L$1</f>
        <v>202505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t="shared" ref="F74:F79" ca="1" si="11">INDIRECT($J$1&amp;"!H"&amp;ROW())</f>
        <v>6675532</v>
      </c>
      <c r="G74" s="41">
        <f t="shared" ref="G74:G79" ca="1" si="12">H74-F74</f>
        <v>-518104</v>
      </c>
      <c r="H74" s="58">
        <f t="shared" ref="H74:H79" si="13">SUMIFS($T$3:$T$234,$P$3:$P$234,"수입",$Q$3:$Q$234,C74)</f>
        <v>6157428</v>
      </c>
      <c r="I74" s="43">
        <f t="shared" ref="I74:I79" si="14">H74-E74</f>
        <v>614428</v>
      </c>
      <c r="N74" s="25">
        <v>45797</v>
      </c>
      <c r="O74" s="26">
        <v>0.51400462962962967</v>
      </c>
      <c r="P74" s="50" t="s">
        <v>1073</v>
      </c>
      <c r="Q74" s="50" t="s">
        <v>1047</v>
      </c>
      <c r="R74" s="50" t="s">
        <v>1054</v>
      </c>
      <c r="S74" s="50" t="s">
        <v>1428</v>
      </c>
      <c r="T74" s="50">
        <v>1</v>
      </c>
      <c r="U74" s="50" t="s">
        <v>1024</v>
      </c>
      <c r="V74" s="50" t="s">
        <v>1036</v>
      </c>
      <c r="W74" s="50"/>
      <c r="X74" s="86"/>
      <c r="Y74" s="6"/>
    </row>
    <row r="75" spans="1:25" x14ac:dyDescent="0.4">
      <c r="A75" s="4">
        <f t="shared" ref="A75:A79" si="15">$L$1</f>
        <v>202505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t="shared" ca="1" si="11"/>
        <v>55199</v>
      </c>
      <c r="G75" s="41">
        <f t="shared" ca="1" si="12"/>
        <v>0</v>
      </c>
      <c r="H75" s="58">
        <f t="shared" si="13"/>
        <v>55199</v>
      </c>
      <c r="I75" s="43">
        <f t="shared" si="14"/>
        <v>0</v>
      </c>
      <c r="N75" s="25">
        <v>45798</v>
      </c>
      <c r="O75" s="26">
        <v>0.16951388888888891</v>
      </c>
      <c r="P75" s="50" t="s">
        <v>1073</v>
      </c>
      <c r="Q75" s="50" t="s">
        <v>1218</v>
      </c>
      <c r="R75" s="50" t="s">
        <v>1054</v>
      </c>
      <c r="S75" s="50" t="s">
        <v>1219</v>
      </c>
      <c r="T75" s="50">
        <v>1523</v>
      </c>
      <c r="U75" s="50" t="s">
        <v>1024</v>
      </c>
      <c r="V75" s="50" t="s">
        <v>1216</v>
      </c>
      <c r="W75" s="50"/>
      <c r="X75" s="86"/>
      <c r="Y75" s="6"/>
    </row>
    <row r="76" spans="1:25" x14ac:dyDescent="0.4">
      <c r="A76" s="4">
        <f t="shared" si="15"/>
        <v>202505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t="shared" ca="1" si="11"/>
        <v>0</v>
      </c>
      <c r="G76" s="41">
        <f t="shared" ca="1" si="12"/>
        <v>0</v>
      </c>
      <c r="H76" s="58">
        <f t="shared" si="13"/>
        <v>0</v>
      </c>
      <c r="I76" s="43">
        <f t="shared" si="14"/>
        <v>0</v>
      </c>
      <c r="N76" s="25">
        <v>45798</v>
      </c>
      <c r="O76" s="26">
        <v>0.73519675925925931</v>
      </c>
      <c r="P76" s="50" t="s">
        <v>1073</v>
      </c>
      <c r="Q76" s="50" t="s">
        <v>1184</v>
      </c>
      <c r="R76" s="50" t="s">
        <v>1054</v>
      </c>
      <c r="S76" s="50" t="s">
        <v>1195</v>
      </c>
      <c r="T76" s="50">
        <v>320000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15"/>
        <v>202505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40698</v>
      </c>
      <c r="G77" s="41">
        <f t="shared" ca="1" si="12"/>
        <v>3439</v>
      </c>
      <c r="H77" s="58">
        <f t="shared" si="13"/>
        <v>44137</v>
      </c>
      <c r="I77" s="43">
        <f t="shared" si="14"/>
        <v>44137</v>
      </c>
      <c r="N77" s="25">
        <v>45798</v>
      </c>
      <c r="O77" s="26">
        <v>0.84428240740740745</v>
      </c>
      <c r="P77" s="50" t="s">
        <v>1053</v>
      </c>
      <c r="Q77" s="50" t="s">
        <v>1066</v>
      </c>
      <c r="R77" s="50" t="s">
        <v>1054</v>
      </c>
      <c r="S77" s="50" t="s">
        <v>1067</v>
      </c>
      <c r="T77" s="50">
        <v>-49700</v>
      </c>
      <c r="U77" s="50" t="s">
        <v>1024</v>
      </c>
      <c r="V77" s="50" t="s">
        <v>1036</v>
      </c>
      <c r="W77" s="50"/>
      <c r="X77" s="86"/>
      <c r="Y77" s="6"/>
    </row>
    <row r="78" spans="1:25" x14ac:dyDescent="0.4">
      <c r="A78" s="4">
        <f t="shared" si="15"/>
        <v>202505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60000</v>
      </c>
      <c r="G78" s="41">
        <f t="shared" ca="1" si="12"/>
        <v>-59997</v>
      </c>
      <c r="H78" s="58">
        <f t="shared" si="13"/>
        <v>3</v>
      </c>
      <c r="I78" s="43">
        <f t="shared" si="14"/>
        <v>3</v>
      </c>
      <c r="N78" s="25">
        <v>45799</v>
      </c>
      <c r="O78" s="26">
        <v>0.2358217592592593</v>
      </c>
      <c r="P78" s="50" t="s">
        <v>1073</v>
      </c>
      <c r="Q78" s="50" t="s">
        <v>1218</v>
      </c>
      <c r="R78" s="50" t="s">
        <v>1054</v>
      </c>
      <c r="S78" s="50" t="s">
        <v>1219</v>
      </c>
      <c r="T78" s="50">
        <v>1523</v>
      </c>
      <c r="U78" s="50" t="s">
        <v>1024</v>
      </c>
      <c r="V78" s="50" t="s">
        <v>1216</v>
      </c>
      <c r="W78" s="50"/>
      <c r="X78" s="86"/>
      <c r="Y78" s="6"/>
    </row>
    <row r="79" spans="1:25" x14ac:dyDescent="0.4">
      <c r="A79" s="4">
        <f t="shared" si="15"/>
        <v>202505</v>
      </c>
      <c r="B79" s="4">
        <f>B78+1</f>
        <v>6</v>
      </c>
      <c r="C79" s="105" t="s">
        <v>1389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1560000</v>
      </c>
      <c r="G79" s="41">
        <f t="shared" ca="1" si="12"/>
        <v>85000</v>
      </c>
      <c r="H79" s="58">
        <f t="shared" si="13"/>
        <v>1645000</v>
      </c>
      <c r="I79" s="43">
        <f t="shared" si="14"/>
        <v>1645000</v>
      </c>
      <c r="N79" s="25">
        <v>45799</v>
      </c>
      <c r="O79" s="26">
        <v>0.34224537037037039</v>
      </c>
      <c r="P79" s="50" t="s">
        <v>1020</v>
      </c>
      <c r="Q79" s="50" t="s">
        <v>1029</v>
      </c>
      <c r="R79" s="50" t="s">
        <v>1070</v>
      </c>
      <c r="S79" s="50" t="s">
        <v>1071</v>
      </c>
      <c r="T79" s="50">
        <v>-21200</v>
      </c>
      <c r="U79" s="50" t="s">
        <v>1024</v>
      </c>
      <c r="V79" s="50" t="s">
        <v>946</v>
      </c>
      <c r="W79" s="50"/>
      <c r="X79" s="86"/>
      <c r="Y79" s="6"/>
    </row>
    <row r="80" spans="1:25" x14ac:dyDescent="0.4">
      <c r="A80" s="71" t="s">
        <v>14</v>
      </c>
      <c r="B80" s="72"/>
      <c r="C80" s="72"/>
      <c r="D80" s="73"/>
      <c r="E80" s="56">
        <f>SUM(E74:E79)</f>
        <v>5598199</v>
      </c>
      <c r="F80" s="56">
        <f ca="1">SUM(F74:F79)</f>
        <v>8391429</v>
      </c>
      <c r="G80" s="57">
        <f ca="1">SUM(G74:G79)</f>
        <v>-489662</v>
      </c>
      <c r="H80" s="59">
        <f>SUM(H74:H79)</f>
        <v>7901767</v>
      </c>
      <c r="I80" s="43">
        <f>SUM(I74:I79)</f>
        <v>2303568</v>
      </c>
      <c r="N80" s="25">
        <v>45799</v>
      </c>
      <c r="O80" s="26">
        <v>0.42334490740740738</v>
      </c>
      <c r="P80" s="50" t="s">
        <v>1020</v>
      </c>
      <c r="Q80" s="50" t="s">
        <v>1022</v>
      </c>
      <c r="R80" s="50" t="s">
        <v>1032</v>
      </c>
      <c r="S80" s="50" t="s">
        <v>1429</v>
      </c>
      <c r="T80" s="50">
        <v>-67800</v>
      </c>
      <c r="U80" s="50" t="s">
        <v>1024</v>
      </c>
      <c r="V80" s="50" t="s">
        <v>1036</v>
      </c>
      <c r="W80" s="50" t="s">
        <v>1430</v>
      </c>
      <c r="X80" s="86"/>
      <c r="Y80" s="6"/>
    </row>
    <row r="81" spans="14:25" x14ac:dyDescent="0.4">
      <c r="N81" s="25">
        <v>45799</v>
      </c>
      <c r="O81" s="26">
        <v>0.63906249999999998</v>
      </c>
      <c r="P81" s="50" t="s">
        <v>1020</v>
      </c>
      <c r="Q81" s="50" t="s">
        <v>1029</v>
      </c>
      <c r="R81" s="50" t="s">
        <v>1070</v>
      </c>
      <c r="S81" s="50" t="s">
        <v>1422</v>
      </c>
      <c r="T81" s="50">
        <v>-14500</v>
      </c>
      <c r="U81" s="50" t="s">
        <v>1024</v>
      </c>
      <c r="V81" s="50" t="s">
        <v>1099</v>
      </c>
      <c r="W81" s="50"/>
      <c r="X81" s="86"/>
      <c r="Y81" s="4"/>
    </row>
    <row r="82" spans="14:25" x14ac:dyDescent="0.4">
      <c r="N82" s="25">
        <v>45799</v>
      </c>
      <c r="O82" s="26">
        <v>0.66107638888888887</v>
      </c>
      <c r="P82" s="50" t="s">
        <v>1020</v>
      </c>
      <c r="Q82" s="50" t="s">
        <v>1022</v>
      </c>
      <c r="R82" s="50" t="s">
        <v>1047</v>
      </c>
      <c r="S82" s="50" t="s">
        <v>1431</v>
      </c>
      <c r="T82" s="50">
        <v>-4000</v>
      </c>
      <c r="U82" s="50" t="s">
        <v>1024</v>
      </c>
      <c r="V82" s="50" t="s">
        <v>1099</v>
      </c>
      <c r="W82" s="50"/>
      <c r="X82" s="86"/>
      <c r="Y82" s="4"/>
    </row>
    <row r="83" spans="14:25" x14ac:dyDescent="0.4">
      <c r="N83" s="25">
        <v>45799</v>
      </c>
      <c r="O83" s="26">
        <v>0.76208333333333333</v>
      </c>
      <c r="P83" s="50" t="s">
        <v>1073</v>
      </c>
      <c r="Q83" s="50" t="s">
        <v>1184</v>
      </c>
      <c r="R83" s="50" t="s">
        <v>1054</v>
      </c>
      <c r="S83" s="50" t="s">
        <v>1195</v>
      </c>
      <c r="T83" s="50">
        <v>200000</v>
      </c>
      <c r="U83" s="50" t="s">
        <v>1024</v>
      </c>
      <c r="V83" s="50" t="s">
        <v>1036</v>
      </c>
      <c r="W83" s="50"/>
      <c r="X83" s="86"/>
      <c r="Y83" s="4"/>
    </row>
    <row r="84" spans="14:25" x14ac:dyDescent="0.4">
      <c r="N84" s="25">
        <v>45800</v>
      </c>
      <c r="O84" s="26">
        <v>0.18471064814814811</v>
      </c>
      <c r="P84" s="50" t="s">
        <v>1073</v>
      </c>
      <c r="Q84" s="50" t="s">
        <v>1218</v>
      </c>
      <c r="R84" s="50" t="s">
        <v>1054</v>
      </c>
      <c r="S84" s="50" t="s">
        <v>1219</v>
      </c>
      <c r="T84" s="50">
        <v>1523</v>
      </c>
      <c r="U84" s="50" t="s">
        <v>1024</v>
      </c>
      <c r="V84" s="50" t="s">
        <v>1216</v>
      </c>
      <c r="W84" s="50"/>
      <c r="X84" s="86"/>
      <c r="Y84" s="4"/>
    </row>
    <row r="85" spans="14:25" x14ac:dyDescent="0.4">
      <c r="N85" s="25">
        <v>45800</v>
      </c>
      <c r="O85" s="26">
        <v>0.25431712962962971</v>
      </c>
      <c r="P85" s="50" t="s">
        <v>1073</v>
      </c>
      <c r="Q85" s="50" t="s">
        <v>1117</v>
      </c>
      <c r="R85" s="50" t="s">
        <v>1054</v>
      </c>
      <c r="S85" s="50" t="s">
        <v>1118</v>
      </c>
      <c r="T85" s="50">
        <v>6157428</v>
      </c>
      <c r="U85" s="50" t="s">
        <v>1024</v>
      </c>
      <c r="V85" s="50" t="s">
        <v>1036</v>
      </c>
      <c r="W85" s="50"/>
      <c r="X85" s="86"/>
      <c r="Y85" s="4"/>
    </row>
    <row r="86" spans="14:25" x14ac:dyDescent="0.4">
      <c r="N86" s="25">
        <v>45800</v>
      </c>
      <c r="O86" s="26">
        <v>0.49346064814814822</v>
      </c>
      <c r="P86" s="50" t="s">
        <v>1020</v>
      </c>
      <c r="Q86" s="50" t="s">
        <v>1029</v>
      </c>
      <c r="R86" s="50" t="s">
        <v>1045</v>
      </c>
      <c r="S86" s="50" t="s">
        <v>1031</v>
      </c>
      <c r="T86" s="50">
        <v>-52770</v>
      </c>
      <c r="U86" s="50" t="s">
        <v>1024</v>
      </c>
      <c r="V86" s="50" t="s">
        <v>1025</v>
      </c>
      <c r="W86" s="50"/>
      <c r="X86" s="86"/>
      <c r="Y86" s="4"/>
    </row>
    <row r="87" spans="14:25" x14ac:dyDescent="0.4">
      <c r="N87" s="25">
        <v>45800</v>
      </c>
      <c r="O87" s="26">
        <v>0.81274305555555559</v>
      </c>
      <c r="P87" s="50" t="s">
        <v>1020</v>
      </c>
      <c r="Q87" s="50" t="s">
        <v>1026</v>
      </c>
      <c r="R87" s="50" t="s">
        <v>1115</v>
      </c>
      <c r="S87" s="50" t="s">
        <v>1432</v>
      </c>
      <c r="T87" s="50">
        <v>-14232</v>
      </c>
      <c r="U87" s="50" t="s">
        <v>1024</v>
      </c>
      <c r="V87" s="50" t="s">
        <v>1036</v>
      </c>
      <c r="W87" s="50"/>
      <c r="X87" s="86"/>
      <c r="Y87" s="4"/>
    </row>
    <row r="88" spans="14:25" x14ac:dyDescent="0.4">
      <c r="N88" s="25">
        <v>45801</v>
      </c>
      <c r="O88" s="26">
        <v>0.18505787037037039</v>
      </c>
      <c r="P88" s="50" t="s">
        <v>1073</v>
      </c>
      <c r="Q88" s="50" t="s">
        <v>1218</v>
      </c>
      <c r="R88" s="50" t="s">
        <v>1054</v>
      </c>
      <c r="S88" s="50" t="s">
        <v>1219</v>
      </c>
      <c r="T88" s="50">
        <v>1523</v>
      </c>
      <c r="U88" s="50" t="s">
        <v>1024</v>
      </c>
      <c r="V88" s="50" t="s">
        <v>1216</v>
      </c>
      <c r="W88" s="50"/>
      <c r="X88" s="86"/>
      <c r="Y88" s="4"/>
    </row>
    <row r="89" spans="14:25" x14ac:dyDescent="0.4">
      <c r="N89" s="25">
        <v>45801</v>
      </c>
      <c r="O89" s="26">
        <v>0.46211805555555557</v>
      </c>
      <c r="P89" s="50" t="s">
        <v>1020</v>
      </c>
      <c r="Q89" s="50" t="s">
        <v>1022</v>
      </c>
      <c r="R89" s="50" t="s">
        <v>1313</v>
      </c>
      <c r="S89" s="50" t="s">
        <v>1433</v>
      </c>
      <c r="T89" s="50">
        <v>-8000</v>
      </c>
      <c r="U89" s="50" t="s">
        <v>1024</v>
      </c>
      <c r="V89" s="50" t="s">
        <v>1025</v>
      </c>
      <c r="W89" s="50"/>
      <c r="X89" s="86"/>
      <c r="Y89" s="4"/>
    </row>
    <row r="90" spans="14:25" x14ac:dyDescent="0.4">
      <c r="N90" s="25">
        <v>45801</v>
      </c>
      <c r="O90" s="26">
        <v>0.46680555555555547</v>
      </c>
      <c r="P90" s="50" t="s">
        <v>1020</v>
      </c>
      <c r="Q90" s="50" t="s">
        <v>1022</v>
      </c>
      <c r="R90" s="50" t="s">
        <v>1313</v>
      </c>
      <c r="S90" s="50" t="s">
        <v>1434</v>
      </c>
      <c r="T90" s="50">
        <v>-29000</v>
      </c>
      <c r="U90" s="50" t="s">
        <v>1024</v>
      </c>
      <c r="V90" s="50" t="s">
        <v>946</v>
      </c>
      <c r="W90" s="50"/>
      <c r="X90" s="86"/>
      <c r="Y90" s="6"/>
    </row>
    <row r="91" spans="14:25" x14ac:dyDescent="0.4">
      <c r="N91" s="25">
        <v>45801</v>
      </c>
      <c r="O91" s="26">
        <v>0.48175925925925928</v>
      </c>
      <c r="P91" s="50" t="s">
        <v>1020</v>
      </c>
      <c r="Q91" s="50" t="s">
        <v>1022</v>
      </c>
      <c r="R91" s="50" t="s">
        <v>1313</v>
      </c>
      <c r="S91" s="50" t="s">
        <v>1435</v>
      </c>
      <c r="T91" s="50">
        <v>-14500</v>
      </c>
      <c r="U91" s="50" t="s">
        <v>1024</v>
      </c>
      <c r="V91" s="50" t="s">
        <v>1025</v>
      </c>
      <c r="W91" s="50"/>
      <c r="X91" s="86"/>
      <c r="Y91" s="6"/>
    </row>
    <row r="92" spans="14:25" x14ac:dyDescent="0.4">
      <c r="N92" s="25">
        <v>45801</v>
      </c>
      <c r="O92" s="26">
        <v>0.52921296296296294</v>
      </c>
      <c r="P92" s="50" t="s">
        <v>1020</v>
      </c>
      <c r="Q92" s="50" t="s">
        <v>1029</v>
      </c>
      <c r="R92" s="50" t="s">
        <v>1045</v>
      </c>
      <c r="S92" s="50" t="s">
        <v>1031</v>
      </c>
      <c r="T92" s="50">
        <v>-46800</v>
      </c>
      <c r="U92" s="50" t="s">
        <v>1024</v>
      </c>
      <c r="V92" s="50" t="s">
        <v>1025</v>
      </c>
      <c r="W92" s="50"/>
      <c r="X92" s="86"/>
      <c r="Y92" s="6"/>
    </row>
    <row r="93" spans="14:25" x14ac:dyDescent="0.4">
      <c r="N93" s="25">
        <v>45801</v>
      </c>
      <c r="O93" s="26">
        <v>0.54782407407407407</v>
      </c>
      <c r="P93" s="50" t="s">
        <v>1020</v>
      </c>
      <c r="Q93" s="50" t="s">
        <v>1029</v>
      </c>
      <c r="R93" s="50" t="s">
        <v>1045</v>
      </c>
      <c r="S93" s="50" t="s">
        <v>1031</v>
      </c>
      <c r="T93" s="50">
        <v>-12150</v>
      </c>
      <c r="U93" s="50" t="s">
        <v>1024</v>
      </c>
      <c r="V93" s="50" t="s">
        <v>1025</v>
      </c>
      <c r="W93" s="50"/>
      <c r="X93" s="86"/>
      <c r="Y93" s="6"/>
    </row>
    <row r="94" spans="14:25" x14ac:dyDescent="0.4">
      <c r="N94" s="25">
        <v>45801</v>
      </c>
      <c r="O94" s="26">
        <v>0.55754629629629626</v>
      </c>
      <c r="P94" s="50" t="s">
        <v>1020</v>
      </c>
      <c r="Q94" s="50" t="s">
        <v>1029</v>
      </c>
      <c r="R94" s="50" t="s">
        <v>1045</v>
      </c>
      <c r="S94" s="50" t="s">
        <v>1031</v>
      </c>
      <c r="T94" s="50">
        <v>-21000</v>
      </c>
      <c r="U94" s="50" t="s">
        <v>1024</v>
      </c>
      <c r="V94" s="50" t="s">
        <v>1025</v>
      </c>
      <c r="W94" s="50"/>
      <c r="X94" s="86"/>
      <c r="Y94" s="6"/>
    </row>
    <row r="95" spans="14:25" x14ac:dyDescent="0.4">
      <c r="N95" s="25">
        <v>45801</v>
      </c>
      <c r="O95" s="26">
        <v>0.75958333333333339</v>
      </c>
      <c r="P95" s="50" t="s">
        <v>1020</v>
      </c>
      <c r="Q95" s="50" t="s">
        <v>1022</v>
      </c>
      <c r="R95" s="50" t="s">
        <v>1313</v>
      </c>
      <c r="S95" s="50" t="s">
        <v>1436</v>
      </c>
      <c r="T95" s="50">
        <v>-50000</v>
      </c>
      <c r="U95" s="50" t="s">
        <v>1024</v>
      </c>
      <c r="V95" s="50" t="s">
        <v>946</v>
      </c>
      <c r="W95" s="50"/>
      <c r="X95" s="86"/>
      <c r="Y95" s="6"/>
    </row>
    <row r="96" spans="14:25" x14ac:dyDescent="0.4">
      <c r="N96" s="25">
        <v>45801</v>
      </c>
      <c r="O96" s="26">
        <v>0.7710069444444444</v>
      </c>
      <c r="P96" s="50" t="s">
        <v>1020</v>
      </c>
      <c r="Q96" s="50" t="s">
        <v>1022</v>
      </c>
      <c r="R96" s="50" t="s">
        <v>1313</v>
      </c>
      <c r="S96" s="50" t="s">
        <v>1437</v>
      </c>
      <c r="T96" s="50">
        <v>-13100</v>
      </c>
      <c r="U96" s="50" t="s">
        <v>1024</v>
      </c>
      <c r="V96" s="50" t="s">
        <v>1025</v>
      </c>
      <c r="W96" s="50"/>
      <c r="X96" s="86"/>
      <c r="Y96" s="6"/>
    </row>
    <row r="97" spans="14:25" x14ac:dyDescent="0.4">
      <c r="N97" s="25">
        <v>45802</v>
      </c>
      <c r="O97" s="26">
        <v>0.18508101851851849</v>
      </c>
      <c r="P97" s="50" t="s">
        <v>1073</v>
      </c>
      <c r="Q97" s="50" t="s">
        <v>1218</v>
      </c>
      <c r="R97" s="50" t="s">
        <v>1054</v>
      </c>
      <c r="S97" s="50" t="s">
        <v>1219</v>
      </c>
      <c r="T97" s="50">
        <v>1523</v>
      </c>
      <c r="U97" s="50" t="s">
        <v>1024</v>
      </c>
      <c r="V97" s="50" t="s">
        <v>1216</v>
      </c>
      <c r="W97" s="50"/>
      <c r="X97" s="86"/>
      <c r="Y97" s="6"/>
    </row>
    <row r="98" spans="14:25" x14ac:dyDescent="0.4">
      <c r="N98" s="25">
        <v>45802</v>
      </c>
      <c r="O98" s="26">
        <v>0.27761574074074069</v>
      </c>
      <c r="P98" s="50" t="s">
        <v>1020</v>
      </c>
      <c r="Q98" s="50" t="s">
        <v>1022</v>
      </c>
      <c r="R98" s="50" t="s">
        <v>1313</v>
      </c>
      <c r="S98" s="50" t="s">
        <v>1438</v>
      </c>
      <c r="T98" s="50">
        <v>-2400</v>
      </c>
      <c r="U98" s="50" t="s">
        <v>1024</v>
      </c>
      <c r="V98" s="50" t="s">
        <v>1025</v>
      </c>
      <c r="W98" s="50" t="s">
        <v>1464</v>
      </c>
      <c r="X98" s="86"/>
      <c r="Y98" s="6"/>
    </row>
    <row r="99" spans="14:25" x14ac:dyDescent="0.4">
      <c r="N99" s="25">
        <v>45802</v>
      </c>
      <c r="O99" s="26">
        <v>0.28427083333333331</v>
      </c>
      <c r="P99" s="50" t="s">
        <v>1020</v>
      </c>
      <c r="Q99" s="50" t="s">
        <v>1022</v>
      </c>
      <c r="R99" s="50" t="s">
        <v>1032</v>
      </c>
      <c r="S99" s="50" t="s">
        <v>1438</v>
      </c>
      <c r="T99" s="50">
        <v>-3600</v>
      </c>
      <c r="U99" s="50" t="s">
        <v>1024</v>
      </c>
      <c r="V99" s="50" t="s">
        <v>1025</v>
      </c>
      <c r="W99" s="50" t="s">
        <v>1439</v>
      </c>
      <c r="X99" s="86"/>
      <c r="Y99" s="6"/>
    </row>
    <row r="100" spans="14:25" x14ac:dyDescent="0.4">
      <c r="N100" s="25">
        <v>45802</v>
      </c>
      <c r="O100" s="26">
        <v>0.46719907407407413</v>
      </c>
      <c r="P100" s="50" t="s">
        <v>1020</v>
      </c>
      <c r="Q100" s="50" t="s">
        <v>1022</v>
      </c>
      <c r="R100" s="50" t="s">
        <v>1032</v>
      </c>
      <c r="S100" s="50" t="s">
        <v>1440</v>
      </c>
      <c r="T100" s="50">
        <v>-24000</v>
      </c>
      <c r="U100" s="50" t="s">
        <v>1024</v>
      </c>
      <c r="V100" s="50" t="s">
        <v>1166</v>
      </c>
      <c r="W100" s="50"/>
      <c r="X100" s="86"/>
      <c r="Y100" s="6"/>
    </row>
    <row r="101" spans="14:25" x14ac:dyDescent="0.4">
      <c r="N101" s="25">
        <v>45802</v>
      </c>
      <c r="O101" s="26">
        <v>0.47120370370370368</v>
      </c>
      <c r="P101" s="50" t="s">
        <v>1020</v>
      </c>
      <c r="Q101" s="50" t="s">
        <v>1022</v>
      </c>
      <c r="R101" s="50" t="s">
        <v>1032</v>
      </c>
      <c r="S101" s="50" t="s">
        <v>1441</v>
      </c>
      <c r="T101" s="50">
        <v>-4000</v>
      </c>
      <c r="U101" s="50" t="s">
        <v>1024</v>
      </c>
      <c r="V101" s="50" t="s">
        <v>1166</v>
      </c>
      <c r="W101" s="50"/>
      <c r="X101" s="86"/>
      <c r="Y101" s="6"/>
    </row>
    <row r="102" spans="14:25" x14ac:dyDescent="0.4">
      <c r="N102" s="25">
        <v>45802</v>
      </c>
      <c r="O102" s="26">
        <v>0.48003472222222221</v>
      </c>
      <c r="P102" s="50" t="s">
        <v>1020</v>
      </c>
      <c r="Q102" s="50" t="s">
        <v>1022</v>
      </c>
      <c r="R102" s="50" t="s">
        <v>1032</v>
      </c>
      <c r="S102" s="50" t="s">
        <v>1442</v>
      </c>
      <c r="T102" s="50">
        <v>-2000</v>
      </c>
      <c r="U102" s="50" t="s">
        <v>1024</v>
      </c>
      <c r="V102" s="50" t="s">
        <v>1099</v>
      </c>
      <c r="W102" s="50" t="s">
        <v>1443</v>
      </c>
      <c r="X102" s="86"/>
      <c r="Y102" s="6"/>
    </row>
    <row r="103" spans="14:25" x14ac:dyDescent="0.4">
      <c r="N103" s="25">
        <v>45802</v>
      </c>
      <c r="O103" s="26">
        <v>0.49282407407407408</v>
      </c>
      <c r="P103" s="50" t="s">
        <v>1020</v>
      </c>
      <c r="Q103" s="50" t="s">
        <v>1022</v>
      </c>
      <c r="R103" s="50" t="s">
        <v>1032</v>
      </c>
      <c r="S103" s="50" t="s">
        <v>1444</v>
      </c>
      <c r="T103" s="50">
        <v>-6000</v>
      </c>
      <c r="U103" s="50" t="s">
        <v>1024</v>
      </c>
      <c r="V103" s="50" t="s">
        <v>1036</v>
      </c>
      <c r="W103" s="50" t="s">
        <v>1445</v>
      </c>
      <c r="X103" s="86"/>
      <c r="Y103" s="6"/>
    </row>
    <row r="104" spans="14:25" x14ac:dyDescent="0.4">
      <c r="N104" s="25">
        <v>45802</v>
      </c>
      <c r="O104" s="26">
        <v>0.58795138888888887</v>
      </c>
      <c r="P104" s="50" t="s">
        <v>1020</v>
      </c>
      <c r="Q104" s="50" t="s">
        <v>1022</v>
      </c>
      <c r="R104" s="50" t="s">
        <v>1032</v>
      </c>
      <c r="S104" s="50" t="s">
        <v>1446</v>
      </c>
      <c r="T104" s="50">
        <v>-12000</v>
      </c>
      <c r="U104" s="50" t="s">
        <v>1024</v>
      </c>
      <c r="V104" s="50" t="s">
        <v>1099</v>
      </c>
      <c r="W104" s="50" t="s">
        <v>1447</v>
      </c>
      <c r="X104" s="86"/>
      <c r="Y104" s="6"/>
    </row>
    <row r="105" spans="14:25" x14ac:dyDescent="0.4">
      <c r="N105" s="25">
        <v>45802</v>
      </c>
      <c r="O105" s="26">
        <v>0.61342592592592593</v>
      </c>
      <c r="P105" s="50" t="s">
        <v>1020</v>
      </c>
      <c r="Q105" s="50" t="s">
        <v>1022</v>
      </c>
      <c r="R105" s="50" t="s">
        <v>1032</v>
      </c>
      <c r="S105" s="50" t="s">
        <v>1446</v>
      </c>
      <c r="T105" s="50">
        <v>-4500</v>
      </c>
      <c r="U105" s="50" t="s">
        <v>1024</v>
      </c>
      <c r="V105" s="50" t="s">
        <v>1099</v>
      </c>
      <c r="W105" s="50" t="s">
        <v>1463</v>
      </c>
      <c r="X105" s="86"/>
      <c r="Y105" s="6"/>
    </row>
    <row r="106" spans="14:25" x14ac:dyDescent="0.4">
      <c r="N106" s="25">
        <v>45802</v>
      </c>
      <c r="O106" s="26">
        <v>0.64097222222222228</v>
      </c>
      <c r="P106" s="50" t="s">
        <v>1020</v>
      </c>
      <c r="Q106" s="50" t="s">
        <v>1022</v>
      </c>
      <c r="R106" s="50" t="s">
        <v>1032</v>
      </c>
      <c r="S106" s="50" t="s">
        <v>1446</v>
      </c>
      <c r="T106" s="50">
        <v>-4400</v>
      </c>
      <c r="U106" s="50" t="s">
        <v>1024</v>
      </c>
      <c r="V106" s="50" t="s">
        <v>1099</v>
      </c>
      <c r="W106" s="50" t="s">
        <v>1448</v>
      </c>
      <c r="X106" s="6"/>
      <c r="Y106" s="6"/>
    </row>
    <row r="107" spans="14:25" x14ac:dyDescent="0.4">
      <c r="N107" s="25">
        <v>45802</v>
      </c>
      <c r="O107" s="26">
        <v>0.83672453703703709</v>
      </c>
      <c r="P107" s="50" t="s">
        <v>1020</v>
      </c>
      <c r="Q107" s="50" t="s">
        <v>1022</v>
      </c>
      <c r="R107" s="50" t="s">
        <v>1032</v>
      </c>
      <c r="S107" s="50" t="s">
        <v>1449</v>
      </c>
      <c r="T107" s="50">
        <v>-37900</v>
      </c>
      <c r="U107" s="50" t="s">
        <v>1024</v>
      </c>
      <c r="V107" s="50" t="s">
        <v>1099</v>
      </c>
      <c r="W107" s="50" t="s">
        <v>1450</v>
      </c>
      <c r="X107" s="6"/>
      <c r="Y107" s="6"/>
    </row>
    <row r="108" spans="14:25" x14ac:dyDescent="0.4">
      <c r="N108" s="25">
        <v>45803</v>
      </c>
      <c r="O108" s="26">
        <v>0.18502314814814819</v>
      </c>
      <c r="P108" s="50" t="s">
        <v>1073</v>
      </c>
      <c r="Q108" s="50" t="s">
        <v>1218</v>
      </c>
      <c r="R108" s="50" t="s">
        <v>1054</v>
      </c>
      <c r="S108" s="50" t="s">
        <v>1219</v>
      </c>
      <c r="T108" s="50">
        <v>1523</v>
      </c>
      <c r="U108" s="50" t="s">
        <v>1024</v>
      </c>
      <c r="V108" s="50" t="s">
        <v>1216</v>
      </c>
      <c r="W108" s="50"/>
      <c r="X108" s="6"/>
      <c r="Y108" s="6"/>
    </row>
    <row r="109" spans="14:25" x14ac:dyDescent="0.4">
      <c r="N109" s="25">
        <v>45803</v>
      </c>
      <c r="O109" s="26">
        <v>0.41187499999999999</v>
      </c>
      <c r="P109" s="50" t="s">
        <v>1020</v>
      </c>
      <c r="Q109" s="50" t="s">
        <v>1026</v>
      </c>
      <c r="R109" s="50" t="s">
        <v>1139</v>
      </c>
      <c r="S109" s="50" t="s">
        <v>1140</v>
      </c>
      <c r="T109" s="50">
        <v>-100000</v>
      </c>
      <c r="U109" s="50" t="s">
        <v>1024</v>
      </c>
      <c r="V109" s="50" t="s">
        <v>1036</v>
      </c>
      <c r="W109" s="50"/>
      <c r="X109" s="6"/>
      <c r="Y109" s="6"/>
    </row>
    <row r="110" spans="14:25" x14ac:dyDescent="0.4">
      <c r="N110" s="25">
        <v>45803</v>
      </c>
      <c r="O110" s="26">
        <v>0.41187499999999999</v>
      </c>
      <c r="P110" s="50" t="s">
        <v>1020</v>
      </c>
      <c r="Q110" s="50" t="s">
        <v>1026</v>
      </c>
      <c r="R110" s="50" t="s">
        <v>1141</v>
      </c>
      <c r="S110" s="50" t="s">
        <v>1142</v>
      </c>
      <c r="T110" s="50">
        <v>-130000</v>
      </c>
      <c r="U110" s="50" t="s">
        <v>1024</v>
      </c>
      <c r="V110" s="50" t="s">
        <v>1036</v>
      </c>
      <c r="W110" s="50"/>
      <c r="X110" s="6"/>
      <c r="Y110" s="6"/>
    </row>
    <row r="111" spans="14:25" x14ac:dyDescent="0.4">
      <c r="N111" s="25">
        <v>45803</v>
      </c>
      <c r="O111" s="26">
        <v>0.42032407407407413</v>
      </c>
      <c r="P111" s="50" t="s">
        <v>1020</v>
      </c>
      <c r="Q111" s="50" t="s">
        <v>1026</v>
      </c>
      <c r="R111" s="50" t="s">
        <v>1137</v>
      </c>
      <c r="S111" s="50" t="s">
        <v>1138</v>
      </c>
      <c r="T111" s="50">
        <v>-100000</v>
      </c>
      <c r="U111" s="50" t="s">
        <v>1024</v>
      </c>
      <c r="V111" s="50" t="s">
        <v>1036</v>
      </c>
      <c r="W111" s="50"/>
      <c r="X111" s="6"/>
      <c r="Y111" s="6"/>
    </row>
    <row r="112" spans="14:25" x14ac:dyDescent="0.4">
      <c r="N112" s="25">
        <v>45803</v>
      </c>
      <c r="O112" s="26">
        <v>0.45452546296296298</v>
      </c>
      <c r="P112" s="50" t="s">
        <v>1020</v>
      </c>
      <c r="Q112" s="50" t="s">
        <v>1047</v>
      </c>
      <c r="R112" s="50" t="s">
        <v>1063</v>
      </c>
      <c r="S112" s="50" t="s">
        <v>1339</v>
      </c>
      <c r="T112" s="50">
        <v>-28000</v>
      </c>
      <c r="U112" s="50" t="s">
        <v>1024</v>
      </c>
      <c r="V112" s="50" t="s">
        <v>1099</v>
      </c>
      <c r="W112" s="50"/>
      <c r="X112" s="6"/>
      <c r="Y112" s="6"/>
    </row>
    <row r="113" spans="14:25" x14ac:dyDescent="0.4">
      <c r="N113" s="25">
        <v>45803</v>
      </c>
      <c r="O113" s="26">
        <v>0.50167824074074074</v>
      </c>
      <c r="P113" s="50" t="s">
        <v>1020</v>
      </c>
      <c r="Q113" s="50" t="s">
        <v>1026</v>
      </c>
      <c r="R113" s="50" t="s">
        <v>1027</v>
      </c>
      <c r="S113" s="50" t="s">
        <v>1143</v>
      </c>
      <c r="T113" s="50">
        <v>-13900</v>
      </c>
      <c r="U113" s="50" t="s">
        <v>1024</v>
      </c>
      <c r="V113" s="50" t="s">
        <v>1025</v>
      </c>
      <c r="W113" s="50"/>
      <c r="X113" s="6"/>
      <c r="Y113" s="6"/>
    </row>
    <row r="114" spans="14:25" x14ac:dyDescent="0.4">
      <c r="N114" s="25">
        <v>45803</v>
      </c>
      <c r="O114" s="26">
        <v>0.51791666666666669</v>
      </c>
      <c r="P114" s="50" t="s">
        <v>1020</v>
      </c>
      <c r="Q114" s="50" t="s">
        <v>1029</v>
      </c>
      <c r="R114" s="50" t="s">
        <v>1070</v>
      </c>
      <c r="S114" s="50" t="s">
        <v>1451</v>
      </c>
      <c r="T114" s="50">
        <v>-38000</v>
      </c>
      <c r="U114" s="50" t="s">
        <v>1024</v>
      </c>
      <c r="V114" s="50" t="s">
        <v>1099</v>
      </c>
      <c r="W114" s="50"/>
      <c r="X114" s="6"/>
      <c r="Y114" s="6"/>
    </row>
    <row r="115" spans="14:25" x14ac:dyDescent="0.4">
      <c r="N115" s="25">
        <v>45803</v>
      </c>
      <c r="O115" s="26">
        <v>0.5212268518518518</v>
      </c>
      <c r="P115" s="50" t="s">
        <v>1020</v>
      </c>
      <c r="Q115" s="50" t="s">
        <v>1026</v>
      </c>
      <c r="R115" s="50" t="s">
        <v>1115</v>
      </c>
      <c r="S115" s="50" t="s">
        <v>1136</v>
      </c>
      <c r="T115" s="50">
        <v>-62690</v>
      </c>
      <c r="U115" s="50" t="s">
        <v>1024</v>
      </c>
      <c r="V115" s="50" t="s">
        <v>1025</v>
      </c>
      <c r="W115" s="50"/>
      <c r="X115" s="6"/>
      <c r="Y115" s="6"/>
    </row>
    <row r="116" spans="14:25" x14ac:dyDescent="0.4">
      <c r="N116" s="25">
        <v>45803</v>
      </c>
      <c r="O116" s="26">
        <v>0.5458101851851852</v>
      </c>
      <c r="P116" s="50" t="s">
        <v>1020</v>
      </c>
      <c r="Q116" s="50" t="s">
        <v>1047</v>
      </c>
      <c r="R116" s="50" t="s">
        <v>1177</v>
      </c>
      <c r="S116" s="50" t="s">
        <v>1337</v>
      </c>
      <c r="T116" s="50">
        <v>-10000</v>
      </c>
      <c r="U116" s="50" t="s">
        <v>1024</v>
      </c>
      <c r="V116" s="50" t="s">
        <v>1099</v>
      </c>
      <c r="W116" s="50" t="s">
        <v>1452</v>
      </c>
      <c r="X116" s="6"/>
      <c r="Y116" s="6"/>
    </row>
    <row r="117" spans="14:25" x14ac:dyDescent="0.4">
      <c r="N117" s="25">
        <v>45803</v>
      </c>
      <c r="O117" s="26">
        <v>0.55815972222222221</v>
      </c>
      <c r="P117" s="50" t="s">
        <v>1020</v>
      </c>
      <c r="Q117" s="50" t="s">
        <v>1029</v>
      </c>
      <c r="R117" s="50" t="s">
        <v>1030</v>
      </c>
      <c r="S117" s="50" t="s">
        <v>1069</v>
      </c>
      <c r="T117" s="50">
        <v>-33800</v>
      </c>
      <c r="U117" s="50" t="s">
        <v>1024</v>
      </c>
      <c r="V117" s="50" t="s">
        <v>1025</v>
      </c>
      <c r="W117" s="50"/>
      <c r="X117" s="6"/>
      <c r="Y117" s="6"/>
    </row>
    <row r="118" spans="14:25" x14ac:dyDescent="0.4">
      <c r="N118" s="25">
        <v>45803</v>
      </c>
      <c r="O118" s="26">
        <v>0.81396990740740738</v>
      </c>
      <c r="P118" s="50" t="s">
        <v>1020</v>
      </c>
      <c r="Q118" s="50" t="s">
        <v>1026</v>
      </c>
      <c r="R118" s="50" t="s">
        <v>1115</v>
      </c>
      <c r="S118" s="50" t="s">
        <v>1453</v>
      </c>
      <c r="T118" s="50">
        <v>-224943</v>
      </c>
      <c r="U118" s="50" t="s">
        <v>1024</v>
      </c>
      <c r="V118" s="50" t="s">
        <v>1036</v>
      </c>
      <c r="W118" s="50"/>
      <c r="X118" s="6"/>
      <c r="Y118" s="6"/>
    </row>
    <row r="119" spans="14:25" x14ac:dyDescent="0.4">
      <c r="N119" s="25">
        <v>45803</v>
      </c>
      <c r="O119" s="26">
        <v>0.82699074074074075</v>
      </c>
      <c r="P119" s="50" t="s">
        <v>1020</v>
      </c>
      <c r="Q119" s="50" t="s">
        <v>1148</v>
      </c>
      <c r="R119" s="50" t="s">
        <v>1149</v>
      </c>
      <c r="S119" s="50" t="s">
        <v>1150</v>
      </c>
      <c r="T119" s="50">
        <v>-880418</v>
      </c>
      <c r="U119" s="50" t="s">
        <v>1024</v>
      </c>
      <c r="V119" s="50" t="s">
        <v>1036</v>
      </c>
      <c r="W119" s="50"/>
      <c r="X119" s="6"/>
      <c r="Y119" s="6"/>
    </row>
    <row r="120" spans="14:25" x14ac:dyDescent="0.4">
      <c r="N120" s="25">
        <v>45803</v>
      </c>
      <c r="O120" s="26">
        <v>0.86736111111111114</v>
      </c>
      <c r="P120" s="50" t="s">
        <v>1020</v>
      </c>
      <c r="Q120" s="50" t="s">
        <v>1047</v>
      </c>
      <c r="R120" s="50" t="s">
        <v>1177</v>
      </c>
      <c r="S120" s="50" t="s">
        <v>1454</v>
      </c>
      <c r="T120" s="50">
        <v>-120900</v>
      </c>
      <c r="U120" s="50" t="s">
        <v>1024</v>
      </c>
      <c r="V120" s="50" t="s">
        <v>946</v>
      </c>
      <c r="W120" s="50" t="s">
        <v>1455</v>
      </c>
      <c r="X120" s="6"/>
      <c r="Y120" s="6"/>
    </row>
    <row r="121" spans="14:25" x14ac:dyDescent="0.4">
      <c r="N121" s="25">
        <v>45804</v>
      </c>
      <c r="O121" s="26">
        <v>0.23587962962962961</v>
      </c>
      <c r="P121" s="50" t="s">
        <v>1073</v>
      </c>
      <c r="Q121" s="50" t="s">
        <v>1218</v>
      </c>
      <c r="R121" s="50" t="s">
        <v>1054</v>
      </c>
      <c r="S121" s="50" t="s">
        <v>1219</v>
      </c>
      <c r="T121" s="50">
        <v>1523</v>
      </c>
      <c r="U121" s="50" t="s">
        <v>1024</v>
      </c>
      <c r="V121" s="50" t="s">
        <v>1216</v>
      </c>
      <c r="W121" s="50"/>
      <c r="X121" s="6"/>
      <c r="Y121" s="6"/>
    </row>
    <row r="122" spans="14:25" x14ac:dyDescent="0.4">
      <c r="N122" s="25">
        <v>45804</v>
      </c>
      <c r="O122" s="26">
        <v>0.56116898148148153</v>
      </c>
      <c r="P122" s="50" t="s">
        <v>1020</v>
      </c>
      <c r="Q122" s="50" t="s">
        <v>1026</v>
      </c>
      <c r="R122" s="50" t="s">
        <v>1105</v>
      </c>
      <c r="S122" s="50" t="s">
        <v>1105</v>
      </c>
      <c r="T122" s="50">
        <v>-256610</v>
      </c>
      <c r="U122" s="50" t="s">
        <v>1024</v>
      </c>
      <c r="V122" s="50" t="s">
        <v>1025</v>
      </c>
      <c r="W122" s="50"/>
      <c r="X122" s="6"/>
      <c r="Y122" s="6"/>
    </row>
    <row r="123" spans="14:25" x14ac:dyDescent="0.4">
      <c r="N123" s="25">
        <v>45804</v>
      </c>
      <c r="O123" s="26">
        <v>0.7272453703703704</v>
      </c>
      <c r="P123" s="50" t="s">
        <v>1020</v>
      </c>
      <c r="Q123" s="50" t="s">
        <v>1029</v>
      </c>
      <c r="R123" s="50" t="s">
        <v>1070</v>
      </c>
      <c r="S123" s="50" t="s">
        <v>1071</v>
      </c>
      <c r="T123" s="50">
        <v>-28800</v>
      </c>
      <c r="U123" s="50" t="s">
        <v>1024</v>
      </c>
      <c r="V123" s="50" t="s">
        <v>1125</v>
      </c>
      <c r="W123" s="50"/>
      <c r="X123" s="6"/>
      <c r="Y123" s="6"/>
    </row>
    <row r="124" spans="14:25" x14ac:dyDescent="0.4">
      <c r="N124" s="25">
        <v>45805</v>
      </c>
      <c r="O124" s="26">
        <v>0.2217824074074074</v>
      </c>
      <c r="P124" s="50" t="s">
        <v>1073</v>
      </c>
      <c r="Q124" s="50" t="s">
        <v>1218</v>
      </c>
      <c r="R124" s="50" t="s">
        <v>1054</v>
      </c>
      <c r="S124" s="50" t="s">
        <v>1219</v>
      </c>
      <c r="T124" s="50">
        <v>1523</v>
      </c>
      <c r="U124" s="50" t="s">
        <v>1024</v>
      </c>
      <c r="V124" s="50" t="s">
        <v>1216</v>
      </c>
      <c r="W124" s="50"/>
      <c r="X124" s="6"/>
      <c r="Y124" s="6"/>
    </row>
    <row r="125" spans="14:25" x14ac:dyDescent="0.4">
      <c r="N125" s="25">
        <v>45805</v>
      </c>
      <c r="O125" s="26">
        <v>0.32028935185185192</v>
      </c>
      <c r="P125" s="50" t="s">
        <v>1073</v>
      </c>
      <c r="Q125" s="50" t="s">
        <v>1047</v>
      </c>
      <c r="R125" s="50" t="s">
        <v>1054</v>
      </c>
      <c r="S125" s="50" t="s">
        <v>1456</v>
      </c>
      <c r="T125" s="50">
        <v>1</v>
      </c>
      <c r="U125" s="50" t="s">
        <v>1024</v>
      </c>
      <c r="V125" s="50" t="s">
        <v>1036</v>
      </c>
      <c r="W125" s="50"/>
      <c r="X125" s="6"/>
      <c r="Y125" s="6"/>
    </row>
    <row r="126" spans="14:25" x14ac:dyDescent="0.4">
      <c r="N126" s="25">
        <v>45805</v>
      </c>
      <c r="O126" s="26">
        <v>0.32599537037037041</v>
      </c>
      <c r="P126" s="50" t="s">
        <v>1020</v>
      </c>
      <c r="Q126" s="50" t="s">
        <v>1047</v>
      </c>
      <c r="R126" s="50" t="s">
        <v>1063</v>
      </c>
      <c r="S126" s="50" t="s">
        <v>1457</v>
      </c>
      <c r="T126" s="50">
        <v>-35524</v>
      </c>
      <c r="U126" s="50" t="s">
        <v>1024</v>
      </c>
      <c r="V126" s="50" t="s">
        <v>1125</v>
      </c>
      <c r="W126" s="50" t="s">
        <v>1458</v>
      </c>
      <c r="X126" s="6"/>
      <c r="Y126" s="6"/>
    </row>
    <row r="127" spans="14:25" x14ac:dyDescent="0.4">
      <c r="N127" s="25">
        <v>45806</v>
      </c>
      <c r="O127" s="26">
        <v>0.23666666666666669</v>
      </c>
      <c r="P127" s="50" t="s">
        <v>1073</v>
      </c>
      <c r="Q127" s="50" t="s">
        <v>1218</v>
      </c>
      <c r="R127" s="50" t="s">
        <v>1054</v>
      </c>
      <c r="S127" s="50" t="s">
        <v>1219</v>
      </c>
      <c r="T127" s="50">
        <v>1523</v>
      </c>
      <c r="U127" s="50" t="s">
        <v>1024</v>
      </c>
      <c r="V127" s="50" t="s">
        <v>1216</v>
      </c>
      <c r="W127" s="50"/>
      <c r="X127" s="6"/>
      <c r="Y127" s="6"/>
    </row>
    <row r="128" spans="14:25" x14ac:dyDescent="0.4">
      <c r="N128" s="25">
        <v>45806</v>
      </c>
      <c r="O128" s="26">
        <v>0.70155092592592594</v>
      </c>
      <c r="P128" s="50" t="s">
        <v>1073</v>
      </c>
      <c r="Q128" s="50" t="s">
        <v>1184</v>
      </c>
      <c r="R128" s="50" t="s">
        <v>1054</v>
      </c>
      <c r="S128" s="50" t="s">
        <v>1195</v>
      </c>
      <c r="T128" s="50">
        <v>25000</v>
      </c>
      <c r="U128" s="50" t="s">
        <v>1024</v>
      </c>
      <c r="V128" s="50" t="s">
        <v>1036</v>
      </c>
      <c r="W128" s="50"/>
      <c r="X128" s="6"/>
      <c r="Y128" s="6"/>
    </row>
    <row r="129" spans="14:25" x14ac:dyDescent="0.4">
      <c r="N129" s="25">
        <v>45806</v>
      </c>
      <c r="O129" s="26">
        <v>0.74396990740740743</v>
      </c>
      <c r="P129" s="50" t="s">
        <v>1020</v>
      </c>
      <c r="Q129" s="50" t="s">
        <v>1029</v>
      </c>
      <c r="R129" s="50" t="s">
        <v>1030</v>
      </c>
      <c r="S129" s="50" t="s">
        <v>1172</v>
      </c>
      <c r="T129" s="50">
        <v>-3280</v>
      </c>
      <c r="U129" s="50" t="s">
        <v>1024</v>
      </c>
      <c r="V129" s="50" t="s">
        <v>1025</v>
      </c>
      <c r="W129" s="50"/>
      <c r="X129" s="6"/>
      <c r="Y129" s="6"/>
    </row>
    <row r="130" spans="14:25" x14ac:dyDescent="0.4">
      <c r="N130" s="25">
        <v>45807</v>
      </c>
      <c r="O130" s="26">
        <v>0.23561342592592591</v>
      </c>
      <c r="P130" s="50" t="s">
        <v>1073</v>
      </c>
      <c r="Q130" s="50" t="s">
        <v>1218</v>
      </c>
      <c r="R130" s="50" t="s">
        <v>1054</v>
      </c>
      <c r="S130" s="50" t="s">
        <v>1219</v>
      </c>
      <c r="T130" s="50">
        <v>1523</v>
      </c>
      <c r="U130" s="50" t="s">
        <v>1024</v>
      </c>
      <c r="V130" s="50" t="s">
        <v>1216</v>
      </c>
      <c r="W130" s="50"/>
      <c r="X130" s="6"/>
      <c r="Y130" s="6"/>
    </row>
    <row r="131" spans="14:25" x14ac:dyDescent="0.4">
      <c r="N131" s="25">
        <v>45807</v>
      </c>
      <c r="O131" s="26">
        <v>0.31096064814814822</v>
      </c>
      <c r="P131" s="50" t="s">
        <v>1020</v>
      </c>
      <c r="Q131" s="50" t="s">
        <v>1029</v>
      </c>
      <c r="R131" s="50" t="s">
        <v>1045</v>
      </c>
      <c r="S131" s="50" t="s">
        <v>1031</v>
      </c>
      <c r="T131" s="50">
        <v>-57940</v>
      </c>
      <c r="U131" s="50" t="s">
        <v>1024</v>
      </c>
      <c r="V131" s="50" t="s">
        <v>1025</v>
      </c>
      <c r="W131" s="50"/>
      <c r="X131" s="6"/>
      <c r="Y131" s="6"/>
    </row>
    <row r="132" spans="14:25" x14ac:dyDescent="0.4">
      <c r="N132" s="25">
        <v>45807</v>
      </c>
      <c r="O132" s="26">
        <v>0.74298611111111112</v>
      </c>
      <c r="P132" s="50" t="s">
        <v>1073</v>
      </c>
      <c r="Q132" s="50" t="s">
        <v>1184</v>
      </c>
      <c r="R132" s="50" t="s">
        <v>1054</v>
      </c>
      <c r="S132" s="50" t="s">
        <v>1195</v>
      </c>
      <c r="T132" s="50">
        <v>50000</v>
      </c>
      <c r="U132" s="50" t="s">
        <v>1024</v>
      </c>
      <c r="V132" s="50" t="s">
        <v>1036</v>
      </c>
      <c r="W132" s="50"/>
      <c r="X132" s="6"/>
      <c r="Y132" s="6"/>
    </row>
    <row r="133" spans="14:25" x14ac:dyDescent="0.4">
      <c r="N133" s="25">
        <v>45808</v>
      </c>
      <c r="O133" s="26">
        <v>7.480324074074074E-2</v>
      </c>
      <c r="P133" s="50" t="s">
        <v>1020</v>
      </c>
      <c r="Q133" s="50" t="s">
        <v>1026</v>
      </c>
      <c r="R133" s="50" t="s">
        <v>1151</v>
      </c>
      <c r="S133" s="50" t="s">
        <v>1152</v>
      </c>
      <c r="T133" s="50">
        <v>-1600</v>
      </c>
      <c r="U133" s="50" t="s">
        <v>1024</v>
      </c>
      <c r="V133" s="50" t="s">
        <v>1125</v>
      </c>
      <c r="W133" s="50"/>
      <c r="X133" s="6"/>
      <c r="Y133" s="6"/>
    </row>
    <row r="134" spans="14:25" x14ac:dyDescent="0.4">
      <c r="N134" s="25">
        <v>45808</v>
      </c>
      <c r="O134" s="26">
        <v>7.480324074074074E-2</v>
      </c>
      <c r="P134" s="50" t="s">
        <v>1020</v>
      </c>
      <c r="Q134" s="50" t="s">
        <v>1026</v>
      </c>
      <c r="R134" s="50" t="s">
        <v>1151</v>
      </c>
      <c r="S134" s="50" t="s">
        <v>1153</v>
      </c>
      <c r="T134" s="50">
        <v>-2720</v>
      </c>
      <c r="U134" s="50" t="s">
        <v>1024</v>
      </c>
      <c r="V134" s="50" t="s">
        <v>1125</v>
      </c>
      <c r="W134" s="50"/>
      <c r="X134" s="6"/>
      <c r="Y134" s="6"/>
    </row>
    <row r="135" spans="14:25" x14ac:dyDescent="0.4">
      <c r="N135" s="25">
        <v>45808</v>
      </c>
      <c r="O135" s="26">
        <v>0.23586805555555559</v>
      </c>
      <c r="P135" s="50" t="s">
        <v>1073</v>
      </c>
      <c r="Q135" s="50" t="s">
        <v>1218</v>
      </c>
      <c r="R135" s="50" t="s">
        <v>1054</v>
      </c>
      <c r="S135" s="50" t="s">
        <v>1219</v>
      </c>
      <c r="T135" s="50">
        <v>1345</v>
      </c>
      <c r="U135" s="50" t="s">
        <v>1024</v>
      </c>
      <c r="V135" s="50" t="s">
        <v>1216</v>
      </c>
      <c r="W135" s="50"/>
      <c r="X135" s="6"/>
      <c r="Y135" s="6"/>
    </row>
    <row r="136" spans="14:25" x14ac:dyDescent="0.4">
      <c r="N136" s="25">
        <v>45808</v>
      </c>
      <c r="O136" s="26">
        <v>0.67297453703703702</v>
      </c>
      <c r="P136" s="50" t="s">
        <v>1073</v>
      </c>
      <c r="Q136" s="50" t="s">
        <v>1047</v>
      </c>
      <c r="R136" s="50" t="s">
        <v>1054</v>
      </c>
      <c r="S136" s="50" t="s">
        <v>1459</v>
      </c>
      <c r="T136" s="50">
        <v>1</v>
      </c>
      <c r="U136" s="50" t="s">
        <v>1024</v>
      </c>
      <c r="V136" s="50" t="s">
        <v>1036</v>
      </c>
      <c r="W136" s="50"/>
      <c r="X136" s="6"/>
      <c r="Y136" s="6"/>
    </row>
    <row r="137" spans="14:25" x14ac:dyDescent="0.4">
      <c r="N137" s="25">
        <v>45808</v>
      </c>
      <c r="O137" s="26">
        <v>0.76739583333333339</v>
      </c>
      <c r="P137" s="50" t="s">
        <v>1020</v>
      </c>
      <c r="Q137" s="50" t="s">
        <v>1042</v>
      </c>
      <c r="R137" s="50" t="s">
        <v>1043</v>
      </c>
      <c r="S137" s="50" t="s">
        <v>1460</v>
      </c>
      <c r="T137" s="50">
        <v>-1200</v>
      </c>
      <c r="U137" s="50" t="s">
        <v>1024</v>
      </c>
      <c r="V137" s="50" t="s">
        <v>1099</v>
      </c>
      <c r="W137" s="50"/>
      <c r="X137" s="6"/>
      <c r="Y137" s="6"/>
    </row>
    <row r="138" spans="14:25" x14ac:dyDescent="0.4">
      <c r="N138" s="25">
        <v>45808</v>
      </c>
      <c r="O138" s="26">
        <v>0.79372685185185188</v>
      </c>
      <c r="P138" s="50" t="s">
        <v>1053</v>
      </c>
      <c r="Q138" s="50" t="s">
        <v>1054</v>
      </c>
      <c r="R138" s="50" t="s">
        <v>1054</v>
      </c>
      <c r="S138" s="50" t="s">
        <v>1461</v>
      </c>
      <c r="T138" s="50">
        <v>-18000</v>
      </c>
      <c r="U138" s="50" t="s">
        <v>1024</v>
      </c>
      <c r="V138" s="50" t="s">
        <v>1036</v>
      </c>
      <c r="W138" s="50" t="s">
        <v>1465</v>
      </c>
      <c r="X138" s="6"/>
      <c r="Y138" s="6"/>
    </row>
    <row r="139" spans="14:25" x14ac:dyDescent="0.4">
      <c r="N139" s="25">
        <v>45808</v>
      </c>
      <c r="O139" s="26">
        <v>0.84633101851851855</v>
      </c>
      <c r="P139" s="50" t="s">
        <v>1020</v>
      </c>
      <c r="Q139" s="50" t="s">
        <v>1054</v>
      </c>
      <c r="R139" s="50" t="s">
        <v>1054</v>
      </c>
      <c r="S139" s="50" t="s">
        <v>1462</v>
      </c>
      <c r="T139" s="50">
        <v>-13800</v>
      </c>
      <c r="U139" s="50" t="s">
        <v>1024</v>
      </c>
      <c r="V139" s="50" t="s">
        <v>1099</v>
      </c>
      <c r="W139" s="50"/>
      <c r="X139" s="6"/>
      <c r="Y139" s="6"/>
    </row>
    <row r="140" spans="14:25" x14ac:dyDescent="0.4">
      <c r="N140" s="25">
        <v>45808</v>
      </c>
      <c r="O140" s="26">
        <v>0.86496527777777776</v>
      </c>
      <c r="P140" s="50" t="s">
        <v>1020</v>
      </c>
      <c r="Q140" s="50" t="s">
        <v>1054</v>
      </c>
      <c r="R140" s="50" t="s">
        <v>1054</v>
      </c>
      <c r="S140" s="50" t="s">
        <v>1462</v>
      </c>
      <c r="T140" s="50">
        <v>-9000</v>
      </c>
      <c r="U140" s="50" t="s">
        <v>1024</v>
      </c>
      <c r="V140" s="50" t="s">
        <v>1099</v>
      </c>
      <c r="W140" s="50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</sheetData>
  <autoFilter ref="N2:Y140" xr:uid="{11B47028-C17C-47C6-A882-4705ECF29BE6}"/>
  <mergeCells count="3">
    <mergeCell ref="O1:P1"/>
    <mergeCell ref="A19:D19"/>
    <mergeCell ref="I20:J20"/>
  </mergeCells>
  <phoneticPr fontId="2" type="noConversion"/>
  <conditionalFormatting sqref="G74:G80 I74:I80">
    <cfRule type="cellIs" dxfId="71" priority="1" operator="lessThan">
      <formula>0</formula>
    </cfRule>
    <cfRule type="cellIs" dxfId="70" priority="2" operator="greaterThan">
      <formula>0</formula>
    </cfRule>
  </conditionalFormatting>
  <conditionalFormatting sqref="I3:I18">
    <cfRule type="cellIs" dxfId="69" priority="4" operator="greaterThan">
      <formula>0</formula>
    </cfRule>
    <cfRule type="cellIs" dxfId="68" priority="5" operator="lessThan">
      <formula>0</formula>
    </cfRule>
  </conditionalFormatting>
  <conditionalFormatting sqref="K6:K20">
    <cfRule type="cellIs" dxfId="67" priority="3" operator="lessThan">
      <formula>0</formula>
    </cfRule>
  </conditionalFormatting>
  <conditionalFormatting sqref="L3:L20">
    <cfRule type="cellIs" dxfId="66" priority="6" operator="greaterThan">
      <formula>1</formula>
    </cfRule>
    <cfRule type="cellIs" dxfId="65" priority="7" operator="equal">
      <formula>1</formula>
    </cfRule>
    <cfRule type="cellIs" dxfId="64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C4A8-19A0-4A5B-B82C-CB0E923E83DE}">
  <dimension ref="A1:Y218"/>
  <sheetViews>
    <sheetView zoomScale="80" zoomScaleNormal="80" workbookViewId="0">
      <pane ySplit="2" topLeftCell="A20" activePane="bottomLeft" state="frozen"/>
      <selection activeCell="E1" sqref="E1"/>
      <selection pane="bottomLeft" activeCell="K26" sqref="K26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202505</v>
      </c>
      <c r="K1" s="46" t="s">
        <v>923</v>
      </c>
      <c r="L1" s="46">
        <v>202506</v>
      </c>
      <c r="N1" s="27" t="s">
        <v>950</v>
      </c>
      <c r="O1" s="133">
        <f>SUMIF(P3:P234,"지출",T3:T234)</f>
        <v>-4559718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202506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-880418</v>
      </c>
      <c r="I3" s="41">
        <f ca="1">J3-H3</f>
        <v>-9625</v>
      </c>
      <c r="J3" s="43">
        <f>VLOOKUP(A3,대출!$B$4:$G$363,3,FALSE)*-1</f>
        <v>-890043</v>
      </c>
      <c r="K3" s="43">
        <f>G3+J3</f>
        <v>9957</v>
      </c>
      <c r="L3" s="24">
        <f>IF(G3=0,0,-J3/G3)</f>
        <v>0.98893666666666669</v>
      </c>
      <c r="N3" s="25">
        <v>45809</v>
      </c>
      <c r="O3" s="26">
        <v>0.23864583333333331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1345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202506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SUMIFS($T$3:$T$234,$P$3:$P$234,"지출",$Q$3:$Q$234,C4,$R$3:$R$234,D4)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45810</v>
      </c>
      <c r="O4" s="26">
        <v>0.2351041666666667</v>
      </c>
      <c r="P4" s="50" t="s">
        <v>1073</v>
      </c>
      <c r="Q4" s="50" t="s">
        <v>1218</v>
      </c>
      <c r="R4" s="50" t="s">
        <v>1054</v>
      </c>
      <c r="S4" s="50" t="s">
        <v>1219</v>
      </c>
      <c r="T4" s="50">
        <v>1345</v>
      </c>
      <c r="U4" s="50" t="s">
        <v>1024</v>
      </c>
      <c r="V4" s="50" t="s">
        <v>1216</v>
      </c>
      <c r="W4" s="50"/>
      <c r="X4" s="86"/>
      <c r="Y4" s="4"/>
    </row>
    <row r="5" spans="1:25" x14ac:dyDescent="0.4">
      <c r="A5" s="4">
        <f t="shared" si="0"/>
        <v>202506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-135690</v>
      </c>
      <c r="I5" s="41">
        <f ca="1">J5-H5</f>
        <v>-28200</v>
      </c>
      <c r="J5" s="44">
        <f t="shared" si="3"/>
        <v>-163890</v>
      </c>
      <c r="K5" s="44">
        <f t="shared" si="4"/>
        <v>-119890</v>
      </c>
      <c r="L5" s="19">
        <f t="shared" si="5"/>
        <v>3.7247727272727271</v>
      </c>
      <c r="N5" s="25">
        <v>45810</v>
      </c>
      <c r="O5" s="26">
        <v>0.32895833333333341</v>
      </c>
      <c r="P5" s="50" t="s">
        <v>1073</v>
      </c>
      <c r="Q5" s="50" t="s">
        <v>1047</v>
      </c>
      <c r="R5" s="50" t="s">
        <v>1054</v>
      </c>
      <c r="S5" s="50" t="s">
        <v>1466</v>
      </c>
      <c r="T5" s="50">
        <v>1</v>
      </c>
      <c r="U5" s="50" t="s">
        <v>1024</v>
      </c>
      <c r="V5" s="50" t="s">
        <v>1036</v>
      </c>
      <c r="W5" s="50"/>
      <c r="X5" s="86"/>
      <c r="Y5" s="6"/>
    </row>
    <row r="6" spans="1:25" x14ac:dyDescent="0.4">
      <c r="A6" s="4">
        <f t="shared" si="0"/>
        <v>202506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-256610</v>
      </c>
      <c r="I6" s="41">
        <f t="shared" ref="I6:I18" ca="1" si="7">J6-H6</f>
        <v>15250</v>
      </c>
      <c r="J6" s="44">
        <f t="shared" si="3"/>
        <v>-241360</v>
      </c>
      <c r="K6" s="44">
        <f t="shared" si="4"/>
        <v>88640</v>
      </c>
      <c r="L6" s="19">
        <f t="shared" si="5"/>
        <v>0.73139393939393937</v>
      </c>
      <c r="N6" s="25">
        <v>45810</v>
      </c>
      <c r="O6" s="26">
        <v>0.39443287037037039</v>
      </c>
      <c r="P6" s="50" t="s">
        <v>1020</v>
      </c>
      <c r="Q6" s="50" t="s">
        <v>1029</v>
      </c>
      <c r="R6" s="50" t="s">
        <v>1070</v>
      </c>
      <c r="S6" s="50" t="s">
        <v>1467</v>
      </c>
      <c r="T6" s="50">
        <v>-38000</v>
      </c>
      <c r="U6" s="50" t="s">
        <v>1024</v>
      </c>
      <c r="V6" s="50" t="s">
        <v>1025</v>
      </c>
      <c r="W6" s="50" t="s">
        <v>1468</v>
      </c>
      <c r="X6" s="86"/>
      <c r="Y6" s="6"/>
    </row>
    <row r="7" spans="1:25" x14ac:dyDescent="0.4">
      <c r="A7" s="4">
        <f t="shared" si="0"/>
        <v>202506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45810</v>
      </c>
      <c r="O7" s="26">
        <v>0.72373842592592597</v>
      </c>
      <c r="P7" s="50" t="s">
        <v>1020</v>
      </c>
      <c r="Q7" s="50" t="s">
        <v>1029</v>
      </c>
      <c r="R7" s="50" t="s">
        <v>1030</v>
      </c>
      <c r="S7" s="50" t="s">
        <v>1469</v>
      </c>
      <c r="T7" s="50">
        <v>-11340</v>
      </c>
      <c r="U7" s="50" t="s">
        <v>1024</v>
      </c>
      <c r="V7" s="50" t="s">
        <v>1099</v>
      </c>
      <c r="W7" s="50"/>
      <c r="X7" s="86"/>
      <c r="Y7" s="6"/>
    </row>
    <row r="8" spans="1:25" x14ac:dyDescent="0.4">
      <c r="A8" s="4">
        <f>$L$1</f>
        <v>202506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45810</v>
      </c>
      <c r="O8" s="26">
        <v>0.72509259259259262</v>
      </c>
      <c r="P8" s="50" t="s">
        <v>1020</v>
      </c>
      <c r="Q8" s="50" t="s">
        <v>1029</v>
      </c>
      <c r="R8" s="50" t="s">
        <v>1070</v>
      </c>
      <c r="S8" s="50" t="s">
        <v>1470</v>
      </c>
      <c r="T8" s="50">
        <v>-12500</v>
      </c>
      <c r="U8" s="50" t="s">
        <v>1024</v>
      </c>
      <c r="V8" s="50" t="s">
        <v>1099</v>
      </c>
      <c r="W8" s="50"/>
      <c r="X8" s="86"/>
      <c r="Y8" s="6"/>
    </row>
    <row r="9" spans="1:25" x14ac:dyDescent="0.4">
      <c r="A9" s="4">
        <f t="shared" si="0"/>
        <v>202506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45811</v>
      </c>
      <c r="O9" s="26">
        <v>0.23859953703703701</v>
      </c>
      <c r="P9" s="50" t="s">
        <v>1073</v>
      </c>
      <c r="Q9" s="50" t="s">
        <v>1218</v>
      </c>
      <c r="R9" s="50" t="s">
        <v>1054</v>
      </c>
      <c r="S9" s="50" t="s">
        <v>1219</v>
      </c>
      <c r="T9" s="50">
        <v>1345</v>
      </c>
      <c r="U9" s="50" t="s">
        <v>1024</v>
      </c>
      <c r="V9" s="50" t="s">
        <v>1216</v>
      </c>
      <c r="W9" s="50"/>
      <c r="X9" s="86"/>
      <c r="Y9" s="6"/>
    </row>
    <row r="10" spans="1:25" x14ac:dyDescent="0.4">
      <c r="A10" s="4">
        <f t="shared" si="0"/>
        <v>202506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-160740</v>
      </c>
      <c r="I10" s="41">
        <f t="shared" ca="1" si="7"/>
        <v>84750</v>
      </c>
      <c r="J10" s="44">
        <f t="shared" si="3"/>
        <v>-75990</v>
      </c>
      <c r="K10" s="44">
        <f t="shared" si="4"/>
        <v>84010</v>
      </c>
      <c r="L10" s="19">
        <f t="shared" si="5"/>
        <v>0.47493750000000001</v>
      </c>
      <c r="N10" s="25">
        <v>45811</v>
      </c>
      <c r="O10" s="26">
        <v>0.40115740740740741</v>
      </c>
      <c r="P10" s="50" t="s">
        <v>1020</v>
      </c>
      <c r="Q10" s="50" t="s">
        <v>1026</v>
      </c>
      <c r="R10" s="50" t="s">
        <v>1027</v>
      </c>
      <c r="S10" s="50" t="s">
        <v>1028</v>
      </c>
      <c r="T10" s="50">
        <v>-7890</v>
      </c>
      <c r="U10" s="50" t="s">
        <v>1024</v>
      </c>
      <c r="V10" s="50" t="s">
        <v>1025</v>
      </c>
      <c r="W10" s="50"/>
      <c r="X10" s="86"/>
      <c r="Y10" s="6"/>
    </row>
    <row r="11" spans="1:25" x14ac:dyDescent="0.4">
      <c r="A11" s="4">
        <f t="shared" si="0"/>
        <v>202506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45811</v>
      </c>
      <c r="O11" s="26">
        <v>0.53319444444444442</v>
      </c>
      <c r="P11" s="50" t="s">
        <v>1020</v>
      </c>
      <c r="Q11" s="50" t="s">
        <v>1029</v>
      </c>
      <c r="R11" s="50" t="s">
        <v>1045</v>
      </c>
      <c r="S11" s="50" t="s">
        <v>1471</v>
      </c>
      <c r="T11" s="50">
        <v>-22900</v>
      </c>
      <c r="U11" s="50" t="s">
        <v>1024</v>
      </c>
      <c r="V11" s="50" t="s">
        <v>1099</v>
      </c>
      <c r="W11" s="50" t="s">
        <v>1472</v>
      </c>
      <c r="X11" s="86"/>
      <c r="Y11" s="6"/>
    </row>
    <row r="12" spans="1:25" x14ac:dyDescent="0.4">
      <c r="A12" s="4">
        <f t="shared" si="0"/>
        <v>202506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-632190</v>
      </c>
      <c r="I12" s="41">
        <f t="shared" ca="1" si="7"/>
        <v>-92990</v>
      </c>
      <c r="J12" s="44">
        <f t="shared" ref="J12:J18" si="8">SUMIFS($T$3:$T$234,$P$3:$P$234,"지출",$Q$3:$Q$234,C12)</f>
        <v>-725180</v>
      </c>
      <c r="K12" s="45">
        <f t="shared" si="4"/>
        <v>-375180</v>
      </c>
      <c r="L12" s="19">
        <f t="shared" si="5"/>
        <v>2.0719428571428571</v>
      </c>
      <c r="N12" s="25">
        <v>45811</v>
      </c>
      <c r="O12" s="26">
        <v>0.53547453703703707</v>
      </c>
      <c r="P12" s="50" t="s">
        <v>1020</v>
      </c>
      <c r="Q12" s="50" t="s">
        <v>1029</v>
      </c>
      <c r="R12" s="50" t="s">
        <v>1070</v>
      </c>
      <c r="S12" s="50" t="s">
        <v>1473</v>
      </c>
      <c r="T12" s="50">
        <v>-9900</v>
      </c>
      <c r="U12" s="50" t="s">
        <v>1024</v>
      </c>
      <c r="V12" s="50" t="s">
        <v>1099</v>
      </c>
      <c r="W12" s="50" t="s">
        <v>1474</v>
      </c>
      <c r="X12" s="86"/>
      <c r="Y12" s="6"/>
    </row>
    <row r="13" spans="1:25" x14ac:dyDescent="0.4">
      <c r="A13" s="4">
        <f t="shared" si="0"/>
        <v>202506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305300</v>
      </c>
      <c r="G13" s="18">
        <f t="shared" si="1"/>
        <v>305300</v>
      </c>
      <c r="H13" s="41">
        <f t="shared" ca="1" si="2"/>
        <v>-30800</v>
      </c>
      <c r="I13" s="41">
        <f t="shared" ca="1" si="7"/>
        <v>-274500</v>
      </c>
      <c r="J13" s="44">
        <f t="shared" si="8"/>
        <v>-305300</v>
      </c>
      <c r="K13" s="44">
        <f t="shared" si="4"/>
        <v>0</v>
      </c>
      <c r="L13" s="19">
        <f t="shared" si="5"/>
        <v>1</v>
      </c>
      <c r="N13" s="25">
        <v>45811</v>
      </c>
      <c r="O13" s="26">
        <v>0.58363425925925927</v>
      </c>
      <c r="P13" s="50" t="s">
        <v>1020</v>
      </c>
      <c r="Q13" s="50" t="s">
        <v>1047</v>
      </c>
      <c r="R13" s="50" t="s">
        <v>1177</v>
      </c>
      <c r="S13" s="50" t="s">
        <v>1475</v>
      </c>
      <c r="T13" s="50">
        <v>-69000</v>
      </c>
      <c r="U13" s="50" t="s">
        <v>1024</v>
      </c>
      <c r="V13" s="50" t="s">
        <v>1025</v>
      </c>
      <c r="W13" s="50" t="s">
        <v>1476</v>
      </c>
      <c r="X13" s="86"/>
      <c r="Y13" s="6"/>
    </row>
    <row r="14" spans="1:25" x14ac:dyDescent="0.4">
      <c r="A14" s="4">
        <f t="shared" si="0"/>
        <v>202506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227500</v>
      </c>
      <c r="G14" s="18">
        <f t="shared" si="1"/>
        <v>227500</v>
      </c>
      <c r="H14" s="41">
        <f ca="1">INDIRECT($J$1&amp;"!J"&amp;ROW())</f>
        <v>-356100</v>
      </c>
      <c r="I14" s="41">
        <f t="shared" ca="1" si="7"/>
        <v>128600</v>
      </c>
      <c r="J14" s="44">
        <f t="shared" si="8"/>
        <v>-227500</v>
      </c>
      <c r="K14" s="44">
        <f t="shared" si="4"/>
        <v>0</v>
      </c>
      <c r="L14" s="19">
        <f t="shared" si="5"/>
        <v>1</v>
      </c>
      <c r="N14" s="25">
        <v>45811</v>
      </c>
      <c r="O14" s="26">
        <v>0.61100694444444448</v>
      </c>
      <c r="P14" s="50" t="s">
        <v>1020</v>
      </c>
      <c r="Q14" s="50" t="s">
        <v>1047</v>
      </c>
      <c r="R14" s="50" t="s">
        <v>1177</v>
      </c>
      <c r="S14" s="50" t="s">
        <v>1475</v>
      </c>
      <c r="T14" s="50">
        <v>-99000</v>
      </c>
      <c r="U14" s="50" t="s">
        <v>1024</v>
      </c>
      <c r="V14" s="50" t="s">
        <v>1025</v>
      </c>
      <c r="W14" s="50"/>
      <c r="X14" s="86"/>
      <c r="Y14" s="6"/>
    </row>
    <row r="15" spans="1:25" x14ac:dyDescent="0.4">
      <c r="A15" s="4">
        <f t="shared" si="0"/>
        <v>202506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0</v>
      </c>
      <c r="I15" s="41">
        <f t="shared" ca="1" si="7"/>
        <v>-37200</v>
      </c>
      <c r="J15" s="44">
        <f t="shared" si="8"/>
        <v>-37200</v>
      </c>
      <c r="K15" s="44">
        <f t="shared" si="4"/>
        <v>-37200</v>
      </c>
      <c r="L15" s="19">
        <f t="shared" si="5"/>
        <v>0</v>
      </c>
      <c r="N15" s="25">
        <v>45811</v>
      </c>
      <c r="O15" s="26">
        <v>0.65087962962962964</v>
      </c>
      <c r="P15" s="50" t="s">
        <v>1020</v>
      </c>
      <c r="Q15" s="50" t="s">
        <v>1029</v>
      </c>
      <c r="R15" s="50" t="s">
        <v>1070</v>
      </c>
      <c r="S15" s="50" t="s">
        <v>1477</v>
      </c>
      <c r="T15" s="50">
        <v>-20000</v>
      </c>
      <c r="U15" s="50" t="s">
        <v>1024</v>
      </c>
      <c r="V15" s="50" t="s">
        <v>1099</v>
      </c>
      <c r="W15" s="50" t="s">
        <v>1478</v>
      </c>
      <c r="X15" s="86"/>
      <c r="Y15" s="6"/>
    </row>
    <row r="16" spans="1:25" x14ac:dyDescent="0.4">
      <c r="A16" s="4">
        <f t="shared" si="0"/>
        <v>202506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-100000</v>
      </c>
      <c r="J16" s="44">
        <f t="shared" si="8"/>
        <v>-100000</v>
      </c>
      <c r="K16" s="44">
        <f t="shared" si="4"/>
        <v>-100000</v>
      </c>
      <c r="L16" s="19">
        <f t="shared" si="5"/>
        <v>0</v>
      </c>
      <c r="N16" s="25">
        <v>45811</v>
      </c>
      <c r="O16" s="26">
        <v>0.73561342592592593</v>
      </c>
      <c r="P16" s="50" t="s">
        <v>1020</v>
      </c>
      <c r="Q16" s="50" t="s">
        <v>1029</v>
      </c>
      <c r="R16" s="50" t="s">
        <v>1070</v>
      </c>
      <c r="S16" s="50" t="s">
        <v>1479</v>
      </c>
      <c r="T16" s="50">
        <v>-7000</v>
      </c>
      <c r="U16" s="50" t="s">
        <v>1024</v>
      </c>
      <c r="V16" s="50" t="s">
        <v>1099</v>
      </c>
      <c r="W16" s="50"/>
      <c r="X16" s="86"/>
      <c r="Y16" s="6"/>
    </row>
    <row r="17" spans="1:25" x14ac:dyDescent="0.4">
      <c r="A17" s="4">
        <f t="shared" si="0"/>
        <v>202506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45812</v>
      </c>
      <c r="O17" s="26">
        <v>0.23849537037037041</v>
      </c>
      <c r="P17" s="50" t="s">
        <v>1073</v>
      </c>
      <c r="Q17" s="50" t="s">
        <v>1218</v>
      </c>
      <c r="R17" s="50" t="s">
        <v>1054</v>
      </c>
      <c r="S17" s="50" t="s">
        <v>1219</v>
      </c>
      <c r="T17" s="50">
        <v>1345</v>
      </c>
      <c r="U17" s="50" t="s">
        <v>1024</v>
      </c>
      <c r="V17" s="50" t="s">
        <v>1216</v>
      </c>
      <c r="W17" s="50"/>
      <c r="X17" s="86"/>
      <c r="Y17" s="6"/>
    </row>
    <row r="18" spans="1:25" x14ac:dyDescent="0.4">
      <c r="A18" s="4">
        <f t="shared" si="0"/>
        <v>202506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1139600</v>
      </c>
      <c r="G18" s="18">
        <f t="shared" si="1"/>
        <v>1489600</v>
      </c>
      <c r="H18" s="41">
        <f t="shared" ca="1" si="2"/>
        <v>-361449</v>
      </c>
      <c r="I18" s="41">
        <f t="shared" ca="1" si="7"/>
        <v>-778151</v>
      </c>
      <c r="J18" s="44">
        <f t="shared" si="8"/>
        <v>-1139600</v>
      </c>
      <c r="K18" s="44">
        <f t="shared" si="4"/>
        <v>350000</v>
      </c>
      <c r="L18" s="19">
        <f t="shared" si="5"/>
        <v>0.76503759398496241</v>
      </c>
      <c r="N18" s="25">
        <v>45812</v>
      </c>
      <c r="O18" s="26">
        <v>0.89596064814814813</v>
      </c>
      <c r="P18" s="50" t="s">
        <v>1020</v>
      </c>
      <c r="Q18" s="50" t="s">
        <v>1029</v>
      </c>
      <c r="R18" s="50" t="s">
        <v>1030</v>
      </c>
      <c r="S18" s="50" t="s">
        <v>1051</v>
      </c>
      <c r="T18" s="50">
        <v>-37000</v>
      </c>
      <c r="U18" s="50" t="s">
        <v>1024</v>
      </c>
      <c r="V18" s="50" t="s">
        <v>1036</v>
      </c>
      <c r="W18" s="50" t="s">
        <v>1480</v>
      </c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1672400</v>
      </c>
      <c r="G19" s="20">
        <f t="shared" si="9"/>
        <v>4497400</v>
      </c>
      <c r="H19" s="42">
        <f t="shared" ca="1" si="9"/>
        <v>-3467652</v>
      </c>
      <c r="I19" s="42">
        <f t="shared" ca="1" si="9"/>
        <v>-1092066</v>
      </c>
      <c r="J19" s="45">
        <f t="shared" si="9"/>
        <v>-4559718</v>
      </c>
      <c r="K19" s="45">
        <f t="shared" si="9"/>
        <v>-62318</v>
      </c>
      <c r="L19" s="21">
        <f>IF(G19=0,0,-J19/G19)</f>
        <v>1.0138564503935608</v>
      </c>
      <c r="N19" s="25">
        <v>45813</v>
      </c>
      <c r="O19" s="26">
        <v>0.2257291666666667</v>
      </c>
      <c r="P19" s="50" t="s">
        <v>1073</v>
      </c>
      <c r="Q19" s="50" t="s">
        <v>1218</v>
      </c>
      <c r="R19" s="50" t="s">
        <v>1054</v>
      </c>
      <c r="S19" s="50" t="s">
        <v>1219</v>
      </c>
      <c r="T19" s="50">
        <v>1346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-1734718</v>
      </c>
      <c r="L20" s="22">
        <f>IF(E19=0,0,-J19/E19)</f>
        <v>1.6140594690265486</v>
      </c>
      <c r="N20" s="25">
        <v>45813</v>
      </c>
      <c r="O20" s="26">
        <v>0.79380787037037037</v>
      </c>
      <c r="P20" s="50" t="s">
        <v>1020</v>
      </c>
      <c r="Q20" s="50" t="s">
        <v>1029</v>
      </c>
      <c r="R20" s="50" t="s">
        <v>1030</v>
      </c>
      <c r="S20" s="50" t="s">
        <v>1481</v>
      </c>
      <c r="T20" s="50">
        <v>-5400</v>
      </c>
      <c r="U20" s="50" t="s">
        <v>1024</v>
      </c>
      <c r="V20" s="50" t="s">
        <v>1099</v>
      </c>
      <c r="W20" s="50" t="s">
        <v>1482</v>
      </c>
      <c r="X20" s="86"/>
      <c r="Y20" s="6"/>
    </row>
    <row r="21" spans="1:25" x14ac:dyDescent="0.4">
      <c r="N21" s="25">
        <v>45813</v>
      </c>
      <c r="O21" s="26">
        <v>0.81981481481481477</v>
      </c>
      <c r="P21" s="50" t="s">
        <v>1020</v>
      </c>
      <c r="Q21" s="50" t="s">
        <v>1029</v>
      </c>
      <c r="R21" s="50" t="s">
        <v>1070</v>
      </c>
      <c r="S21" s="50" t="s">
        <v>1483</v>
      </c>
      <c r="T21" s="50">
        <v>-12000</v>
      </c>
      <c r="U21" s="50" t="s">
        <v>1024</v>
      </c>
      <c r="V21" s="50" t="s">
        <v>1099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45813</v>
      </c>
      <c r="O22" s="26">
        <v>0.83671296296296294</v>
      </c>
      <c r="P22" s="50" t="s">
        <v>1020</v>
      </c>
      <c r="Q22" s="50" t="s">
        <v>1047</v>
      </c>
      <c r="R22" s="50" t="s">
        <v>1177</v>
      </c>
      <c r="S22" s="50" t="s">
        <v>1475</v>
      </c>
      <c r="T22" s="50">
        <v>-368700</v>
      </c>
      <c r="U22" s="50" t="s">
        <v>1024</v>
      </c>
      <c r="V22" s="50" t="s">
        <v>1025</v>
      </c>
      <c r="W22" s="50"/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SUMIFS($T$3:$T$234,$P$3:$P$234,"지출",$Q$3:$Q$234,C23,$R$3:$R$234,D23)</f>
        <v>-339470</v>
      </c>
      <c r="N23" s="25">
        <v>45813</v>
      </c>
      <c r="O23" s="26">
        <v>0.84835648148148146</v>
      </c>
      <c r="P23" s="50" t="s">
        <v>1020</v>
      </c>
      <c r="Q23" s="50" t="s">
        <v>1047</v>
      </c>
      <c r="R23" s="50" t="s">
        <v>1177</v>
      </c>
      <c r="S23" s="50" t="s">
        <v>1475</v>
      </c>
      <c r="T23" s="50">
        <v>-69600</v>
      </c>
      <c r="U23" s="50" t="s">
        <v>1024</v>
      </c>
      <c r="V23" s="50" t="s">
        <v>1025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SUMIFS($T$3:$T$234,$P$3:$P$234,"지출",$Q$3:$Q$234,C24,$R$3:$R$234,D24)</f>
        <v>-257500</v>
      </c>
      <c r="N24" s="25">
        <v>45814</v>
      </c>
      <c r="O24" s="26">
        <v>0.15997685185185179</v>
      </c>
      <c r="P24" s="50" t="s">
        <v>1073</v>
      </c>
      <c r="Q24" s="50" t="s">
        <v>1218</v>
      </c>
      <c r="R24" s="50" t="s">
        <v>1054</v>
      </c>
      <c r="S24" s="50" t="s">
        <v>1219</v>
      </c>
      <c r="T24" s="50">
        <v>1346</v>
      </c>
      <c r="U24" s="50" t="s">
        <v>1024</v>
      </c>
      <c r="V24" s="50" t="s">
        <v>1216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SUMIFS($T$3:$T$234,$P$3:$P$234,"지출",$Q$3:$Q$234,C25,$R$3:$R$234,D25)</f>
        <v>-128210</v>
      </c>
      <c r="N25" s="25">
        <v>45814</v>
      </c>
      <c r="O25" s="26">
        <v>0.79057870370370376</v>
      </c>
      <c r="P25" s="50" t="s">
        <v>1020</v>
      </c>
      <c r="Q25" s="50" t="s">
        <v>1029</v>
      </c>
      <c r="R25" s="50" t="s">
        <v>1070</v>
      </c>
      <c r="S25" s="50" t="s">
        <v>1484</v>
      </c>
      <c r="T25" s="50">
        <v>-27000</v>
      </c>
      <c r="U25" s="50" t="s">
        <v>1024</v>
      </c>
      <c r="V25" s="50" t="s">
        <v>1166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SUMIFS($T$3:$T$234,$P$3:$P$234,"지출",$Q$3:$Q$234,C26,$R$3:$R$234,D26)</f>
        <v>0</v>
      </c>
      <c r="N26" s="25">
        <v>45814</v>
      </c>
      <c r="O26" s="26">
        <v>0.7993865740740741</v>
      </c>
      <c r="P26" s="50" t="s">
        <v>1020</v>
      </c>
      <c r="Q26" s="50" t="s">
        <v>1022</v>
      </c>
      <c r="R26" s="50" t="s">
        <v>1032</v>
      </c>
      <c r="S26" s="50" t="s">
        <v>1485</v>
      </c>
      <c r="T26" s="50">
        <v>-2500</v>
      </c>
      <c r="U26" s="50" t="s">
        <v>1024</v>
      </c>
      <c r="V26" s="50" t="s">
        <v>1099</v>
      </c>
      <c r="W26" s="50" t="s">
        <v>1486</v>
      </c>
      <c r="X26" s="86"/>
      <c r="Y26" s="6"/>
    </row>
    <row r="27" spans="1:25" x14ac:dyDescent="0.4">
      <c r="C27" s="92" t="s">
        <v>959</v>
      </c>
      <c r="D27" s="68"/>
      <c r="E27" s="49">
        <f>SUM(E21:E26)</f>
        <v>-725180</v>
      </c>
      <c r="N27" s="25">
        <v>45814</v>
      </c>
      <c r="O27" s="26">
        <v>0.83809027777777778</v>
      </c>
      <c r="P27" s="50" t="s">
        <v>1020</v>
      </c>
      <c r="Q27" s="50" t="s">
        <v>1029</v>
      </c>
      <c r="R27" s="50" t="s">
        <v>1045</v>
      </c>
      <c r="S27" s="50" t="s">
        <v>1487</v>
      </c>
      <c r="T27" s="50">
        <v>-10000</v>
      </c>
      <c r="U27" s="50" t="s">
        <v>1024</v>
      </c>
      <c r="V27" s="50" t="s">
        <v>1099</v>
      </c>
      <c r="W27" s="50" t="s">
        <v>1488</v>
      </c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SUMIFS($T$3:$T$234,$P$3:$P$234,"지출",$Q$3:$Q$234,C28,$R$3:$R$234,D28)</f>
        <v>-227500</v>
      </c>
      <c r="N28" s="25">
        <v>45814</v>
      </c>
      <c r="O28" s="26">
        <v>0.84863425925925928</v>
      </c>
      <c r="P28" s="50" t="s">
        <v>1020</v>
      </c>
      <c r="Q28" s="50" t="s">
        <v>1022</v>
      </c>
      <c r="R28" s="50" t="s">
        <v>1032</v>
      </c>
      <c r="S28" s="50" t="s">
        <v>1489</v>
      </c>
      <c r="T28" s="50">
        <v>-8000</v>
      </c>
      <c r="U28" s="50" t="s">
        <v>1024</v>
      </c>
      <c r="V28" s="50" t="s">
        <v>1099</v>
      </c>
      <c r="W28" s="50" t="s">
        <v>1490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SUMIFS($T$3:$T$234,$P$3:$P$234,"지출",$Q$3:$Q$234,C29,$R$3:$R$234,D29)</f>
        <v>0</v>
      </c>
      <c r="N29" s="25">
        <v>45815</v>
      </c>
      <c r="O29" s="26">
        <v>0.16157407407407409</v>
      </c>
      <c r="P29" s="50" t="s">
        <v>1073</v>
      </c>
      <c r="Q29" s="50" t="s">
        <v>1218</v>
      </c>
      <c r="R29" s="50" t="s">
        <v>1054</v>
      </c>
      <c r="S29" s="50" t="s">
        <v>1219</v>
      </c>
      <c r="T29" s="50">
        <v>1346</v>
      </c>
      <c r="U29" s="50" t="s">
        <v>1024</v>
      </c>
      <c r="V29" s="50" t="s">
        <v>1216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SUMIFS($T$3:$T$234,$P$3:$P$234,"지출",$Q$3:$Q$234,C30,$R$3:$R$234,D30)</f>
        <v>0</v>
      </c>
      <c r="N30" s="25">
        <v>45815</v>
      </c>
      <c r="O30" s="26">
        <v>0.95310185185185181</v>
      </c>
      <c r="P30" s="50" t="s">
        <v>1020</v>
      </c>
      <c r="Q30" s="50" t="s">
        <v>1029</v>
      </c>
      <c r="R30" s="50" t="s">
        <v>1030</v>
      </c>
      <c r="S30" s="50" t="s">
        <v>1031</v>
      </c>
      <c r="T30" s="50">
        <v>-34700</v>
      </c>
      <c r="U30" s="50" t="s">
        <v>1024</v>
      </c>
      <c r="V30" s="50" t="s">
        <v>1025</v>
      </c>
      <c r="W30" s="50"/>
      <c r="X30" s="86"/>
      <c r="Y30" s="6"/>
    </row>
    <row r="31" spans="1:25" x14ac:dyDescent="0.4">
      <c r="C31" s="92" t="s">
        <v>960</v>
      </c>
      <c r="D31" s="68"/>
      <c r="E31" s="49">
        <f>SUM(E28:E30)</f>
        <v>-227500</v>
      </c>
      <c r="N31" s="25">
        <v>45816</v>
      </c>
      <c r="O31" s="26">
        <v>0.15912037037037041</v>
      </c>
      <c r="P31" s="50" t="s">
        <v>1073</v>
      </c>
      <c r="Q31" s="50" t="s">
        <v>1218</v>
      </c>
      <c r="R31" s="50" t="s">
        <v>1054</v>
      </c>
      <c r="S31" s="50" t="s">
        <v>1219</v>
      </c>
      <c r="T31" s="50">
        <v>1346</v>
      </c>
      <c r="U31" s="50" t="s">
        <v>1024</v>
      </c>
      <c r="V31" s="50" t="s">
        <v>1216</v>
      </c>
      <c r="W31" s="50"/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SUMIFS($T$3:$T$234,$P$3:$P$234,"지출",$Q$3:$Q$234,C32,$R$3:$R$234,D32)</f>
        <v>0</v>
      </c>
      <c r="N32" s="25">
        <v>45816</v>
      </c>
      <c r="O32" s="26">
        <v>0.68134259259259256</v>
      </c>
      <c r="P32" s="50" t="s">
        <v>1020</v>
      </c>
      <c r="Q32" s="50" t="s">
        <v>1029</v>
      </c>
      <c r="R32" s="50" t="s">
        <v>1070</v>
      </c>
      <c r="S32" s="50" t="s">
        <v>1071</v>
      </c>
      <c r="T32" s="50">
        <v>-32700</v>
      </c>
      <c r="U32" s="50" t="s">
        <v>1024</v>
      </c>
      <c r="V32" s="50" t="s">
        <v>946</v>
      </c>
      <c r="W32" s="50" t="s">
        <v>1491</v>
      </c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0</v>
      </c>
      <c r="N33" s="25">
        <v>45817</v>
      </c>
      <c r="O33" s="26">
        <v>0.15894675925925919</v>
      </c>
      <c r="P33" s="50" t="s">
        <v>1073</v>
      </c>
      <c r="Q33" s="50" t="s">
        <v>1218</v>
      </c>
      <c r="R33" s="50" t="s">
        <v>1054</v>
      </c>
      <c r="S33" s="50" t="s">
        <v>1219</v>
      </c>
      <c r="T33" s="50">
        <v>1346</v>
      </c>
      <c r="U33" s="50" t="s">
        <v>1024</v>
      </c>
      <c r="V33" s="50" t="s">
        <v>1216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-1008600</v>
      </c>
      <c r="N34" s="25">
        <v>45817</v>
      </c>
      <c r="O34" s="26">
        <v>0.68839120370370366</v>
      </c>
      <c r="P34" s="50" t="s">
        <v>1020</v>
      </c>
      <c r="Q34" s="50" t="s">
        <v>1029</v>
      </c>
      <c r="R34" s="50" t="s">
        <v>1070</v>
      </c>
      <c r="S34" s="50" t="s">
        <v>1071</v>
      </c>
      <c r="T34" s="50">
        <v>-17000</v>
      </c>
      <c r="U34" s="50" t="s">
        <v>1024</v>
      </c>
      <c r="V34" s="50" t="s">
        <v>1025</v>
      </c>
      <c r="W34" s="50" t="s">
        <v>1492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0</v>
      </c>
      <c r="N35" s="25">
        <v>45818</v>
      </c>
      <c r="O35" s="26">
        <v>0.19173611111111111</v>
      </c>
      <c r="P35" s="50" t="s">
        <v>1073</v>
      </c>
      <c r="Q35" s="50" t="s">
        <v>1218</v>
      </c>
      <c r="R35" s="50" t="s">
        <v>1054</v>
      </c>
      <c r="S35" s="50" t="s">
        <v>1219</v>
      </c>
      <c r="T35" s="50">
        <v>1346</v>
      </c>
      <c r="U35" s="50" t="s">
        <v>1024</v>
      </c>
      <c r="V35" s="50" t="s">
        <v>1216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-2000</v>
      </c>
      <c r="N36" s="25">
        <v>45819</v>
      </c>
      <c r="O36" s="26">
        <v>0.1797222222222222</v>
      </c>
      <c r="P36" s="50" t="s">
        <v>1073</v>
      </c>
      <c r="Q36" s="50" t="s">
        <v>1218</v>
      </c>
      <c r="R36" s="50" t="s">
        <v>1054</v>
      </c>
      <c r="S36" s="50" t="s">
        <v>1219</v>
      </c>
      <c r="T36" s="50">
        <v>1346</v>
      </c>
      <c r="U36" s="50" t="s">
        <v>1024</v>
      </c>
      <c r="V36" s="50" t="s">
        <v>1216</v>
      </c>
      <c r="W36" s="50"/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-129000</v>
      </c>
      <c r="N37" s="25">
        <v>45820</v>
      </c>
      <c r="O37" s="26">
        <v>0.16373842592592591</v>
      </c>
      <c r="P37" s="50" t="s">
        <v>1073</v>
      </c>
      <c r="Q37" s="50" t="s">
        <v>1218</v>
      </c>
      <c r="R37" s="50" t="s">
        <v>1054</v>
      </c>
      <c r="S37" s="50" t="s">
        <v>1219</v>
      </c>
      <c r="T37" s="50">
        <v>1346</v>
      </c>
      <c r="U37" s="50" t="s">
        <v>1024</v>
      </c>
      <c r="V37" s="50" t="s">
        <v>1216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>
        <v>45820</v>
      </c>
      <c r="O38" s="26">
        <v>0.80857638888888894</v>
      </c>
      <c r="P38" s="50" t="s">
        <v>1053</v>
      </c>
      <c r="Q38" s="50" t="s">
        <v>1066</v>
      </c>
      <c r="R38" s="50" t="s">
        <v>1054</v>
      </c>
      <c r="S38" s="50" t="s">
        <v>1067</v>
      </c>
      <c r="T38" s="50">
        <v>-1070167</v>
      </c>
      <c r="U38" s="50" t="s">
        <v>1024</v>
      </c>
      <c r="V38" s="50" t="s">
        <v>1036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45821</v>
      </c>
      <c r="O39" s="26">
        <v>0.24091435185185189</v>
      </c>
      <c r="P39" s="50" t="s">
        <v>1073</v>
      </c>
      <c r="Q39" s="50" t="s">
        <v>1218</v>
      </c>
      <c r="R39" s="50" t="s">
        <v>1054</v>
      </c>
      <c r="S39" s="50" t="s">
        <v>1219</v>
      </c>
      <c r="T39" s="50">
        <v>1346</v>
      </c>
      <c r="U39" s="50" t="s">
        <v>1024</v>
      </c>
      <c r="V39" s="50" t="s">
        <v>1216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-1139600</v>
      </c>
      <c r="N40" s="25">
        <v>45821</v>
      </c>
      <c r="O40" s="26">
        <v>0.66519675925925925</v>
      </c>
      <c r="P40" s="50" t="s">
        <v>1020</v>
      </c>
      <c r="Q40" s="50" t="s">
        <v>1029</v>
      </c>
      <c r="R40" s="50" t="s">
        <v>1030</v>
      </c>
      <c r="S40" s="50" t="s">
        <v>1236</v>
      </c>
      <c r="T40" s="50">
        <v>-10700</v>
      </c>
      <c r="U40" s="50" t="s">
        <v>1024</v>
      </c>
      <c r="V40" s="50" t="s">
        <v>1099</v>
      </c>
      <c r="W40" s="50" t="s">
        <v>1493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SUMIFS($T$3:$T$234,$P$3:$P$234,"지출",$Q$3:$Q$234,C41,$R$3:$R$234,D41)</f>
        <v>0</v>
      </c>
      <c r="N41" s="25">
        <v>45821</v>
      </c>
      <c r="O41" s="26">
        <v>0.66677083333333331</v>
      </c>
      <c r="P41" s="50" t="s">
        <v>1020</v>
      </c>
      <c r="Q41" s="50" t="s">
        <v>1029</v>
      </c>
      <c r="R41" s="50" t="s">
        <v>1030</v>
      </c>
      <c r="S41" s="50" t="s">
        <v>1494</v>
      </c>
      <c r="T41" s="50">
        <v>-2000</v>
      </c>
      <c r="U41" s="50" t="s">
        <v>1024</v>
      </c>
      <c r="V41" s="50" t="s">
        <v>1099</v>
      </c>
      <c r="W41" s="50" t="s">
        <v>1495</v>
      </c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SUMIFS($T$3:$T$234,$P$3:$P$234,"지출",$Q$3:$Q$234,C42,$R$3:$R$234,D42)</f>
        <v>-30000</v>
      </c>
      <c r="N42" s="25">
        <v>45822</v>
      </c>
      <c r="O42" s="26">
        <v>0.1792013888888889</v>
      </c>
      <c r="P42" s="50" t="s">
        <v>1073</v>
      </c>
      <c r="Q42" s="50" t="s">
        <v>1218</v>
      </c>
      <c r="R42" s="50" t="s">
        <v>1054</v>
      </c>
      <c r="S42" s="50" t="s">
        <v>1219</v>
      </c>
      <c r="T42" s="50">
        <v>1346</v>
      </c>
      <c r="U42" s="50" t="s">
        <v>1024</v>
      </c>
      <c r="V42" s="50" t="s">
        <v>1216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SUMIFS($T$3:$T$234,$P$3:$P$234,"지출",$Q$3:$Q$234,C43,$R$3:$R$234,D43)</f>
        <v>-7200</v>
      </c>
      <c r="N43" s="25">
        <v>45822</v>
      </c>
      <c r="O43" s="26">
        <v>0.29150462962962959</v>
      </c>
      <c r="P43" s="50" t="s">
        <v>1073</v>
      </c>
      <c r="Q43" s="50" t="s">
        <v>1047</v>
      </c>
      <c r="R43" s="50" t="s">
        <v>1054</v>
      </c>
      <c r="S43" s="50" t="s">
        <v>1496</v>
      </c>
      <c r="T43" s="50">
        <v>1</v>
      </c>
      <c r="U43" s="50" t="s">
        <v>1024</v>
      </c>
      <c r="V43" s="50" t="s">
        <v>1036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SUMIFS($T$3:$T$234,$P$3:$P$234,"지출",$Q$3:$Q$234,C44,$R$3:$R$234,D44)</f>
        <v>0</v>
      </c>
      <c r="N44" s="25">
        <v>45822</v>
      </c>
      <c r="O44" s="26">
        <v>0.29299768518518521</v>
      </c>
      <c r="P44" s="50" t="s">
        <v>1053</v>
      </c>
      <c r="Q44" s="50" t="s">
        <v>1053</v>
      </c>
      <c r="R44" s="50" t="s">
        <v>1054</v>
      </c>
      <c r="S44" s="50" t="s">
        <v>1232</v>
      </c>
      <c r="T44" s="50">
        <v>-180000</v>
      </c>
      <c r="U44" s="50" t="s">
        <v>1024</v>
      </c>
      <c r="V44" s="50" t="s">
        <v>1036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-37200</v>
      </c>
      <c r="N45" s="25">
        <v>45822</v>
      </c>
      <c r="O45" s="26">
        <v>0.29300925925925919</v>
      </c>
      <c r="P45" s="50" t="s">
        <v>1020</v>
      </c>
      <c r="Q45" s="50" t="s">
        <v>1047</v>
      </c>
      <c r="R45" s="50" t="s">
        <v>1177</v>
      </c>
      <c r="S45" s="50" t="s">
        <v>1497</v>
      </c>
      <c r="T45" s="50">
        <v>-179100</v>
      </c>
      <c r="U45" s="50" t="s">
        <v>1024</v>
      </c>
      <c r="V45" s="50" t="s">
        <v>1228</v>
      </c>
      <c r="W45" s="50" t="s">
        <v>1498</v>
      </c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SUMIFS($T$3:$T$234,$P$3:$P$234,"지출",$Q$3:$Q$234,C46,$R$3:$R$234,D46)</f>
        <v>0</v>
      </c>
      <c r="N46" s="25">
        <v>45822</v>
      </c>
      <c r="O46" s="26">
        <v>0.29300925925925919</v>
      </c>
      <c r="P46" s="50" t="s">
        <v>1053</v>
      </c>
      <c r="Q46" s="50" t="s">
        <v>1053</v>
      </c>
      <c r="R46" s="50" t="s">
        <v>1054</v>
      </c>
      <c r="S46" s="50" t="s">
        <v>1230</v>
      </c>
      <c r="T46" s="50">
        <v>180000</v>
      </c>
      <c r="U46" s="50" t="s">
        <v>1024</v>
      </c>
      <c r="V46" s="50" t="s">
        <v>1231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SUMIFS($T$3:$T$234,$P$3:$P$234,"지출",$Q$3:$Q$234,C47,$R$3:$R$234,D47)</f>
        <v>0</v>
      </c>
      <c r="N47" s="25">
        <v>45822</v>
      </c>
      <c r="O47" s="26">
        <v>0.33565972222222218</v>
      </c>
      <c r="P47" s="50" t="s">
        <v>1020</v>
      </c>
      <c r="Q47" s="50" t="s">
        <v>1029</v>
      </c>
      <c r="R47" s="50" t="s">
        <v>1030</v>
      </c>
      <c r="S47" s="50" t="s">
        <v>1031</v>
      </c>
      <c r="T47" s="50">
        <v>-26680</v>
      </c>
      <c r="U47" s="50" t="s">
        <v>1024</v>
      </c>
      <c r="V47" s="50" t="s">
        <v>1025</v>
      </c>
      <c r="W47" s="50" t="s">
        <v>1499</v>
      </c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SUMIFS($T$3:$T$234,$P$3:$P$234,"지출",$Q$3:$Q$234,C48,$R$3:$R$234,D48)</f>
        <v>0</v>
      </c>
      <c r="N48" s="25">
        <v>45822</v>
      </c>
      <c r="O48" s="26">
        <v>0.47748842592592589</v>
      </c>
      <c r="P48" s="50" t="s">
        <v>1020</v>
      </c>
      <c r="Q48" s="50" t="s">
        <v>1029</v>
      </c>
      <c r="R48" s="50" t="s">
        <v>1030</v>
      </c>
      <c r="S48" s="50" t="s">
        <v>1147</v>
      </c>
      <c r="T48" s="50">
        <v>-64800</v>
      </c>
      <c r="U48" s="50" t="s">
        <v>1024</v>
      </c>
      <c r="V48" s="50" t="s">
        <v>1025</v>
      </c>
      <c r="W48" s="50" t="s">
        <v>1500</v>
      </c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SUMIFS($T$3:$T$234,$P$3:$P$234,"지출",$Q$3:$Q$234,C49,$R$3:$R$234,D49)</f>
        <v>0</v>
      </c>
      <c r="N49" s="25">
        <v>45822</v>
      </c>
      <c r="O49" s="26">
        <v>0.57895833333333335</v>
      </c>
      <c r="P49" s="50" t="s">
        <v>1020</v>
      </c>
      <c r="Q49" s="50" t="s">
        <v>1029</v>
      </c>
      <c r="R49" s="50" t="s">
        <v>1030</v>
      </c>
      <c r="S49" s="50" t="s">
        <v>1031</v>
      </c>
      <c r="T49" s="50">
        <v>-19490</v>
      </c>
      <c r="U49" s="50" t="s">
        <v>1024</v>
      </c>
      <c r="V49" s="50" t="s">
        <v>1025</v>
      </c>
      <c r="W49" s="50" t="s">
        <v>1501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45823</v>
      </c>
      <c r="O50" s="26">
        <v>0.17844907407407409</v>
      </c>
      <c r="P50" s="50" t="s">
        <v>1073</v>
      </c>
      <c r="Q50" s="50" t="s">
        <v>1218</v>
      </c>
      <c r="R50" s="50" t="s">
        <v>1054</v>
      </c>
      <c r="S50" s="50" t="s">
        <v>1219</v>
      </c>
      <c r="T50" s="50">
        <v>1346</v>
      </c>
      <c r="U50" s="50" t="s">
        <v>1024</v>
      </c>
      <c r="V50" s="50" t="s">
        <v>1216</v>
      </c>
      <c r="W50" s="50"/>
      <c r="X50" s="86"/>
      <c r="Y50" s="6"/>
    </row>
    <row r="51" spans="1:25" ht="18" thickBot="1" x14ac:dyDescent="0.45">
      <c r="J51" s="53"/>
      <c r="K51" s="54"/>
      <c r="N51" s="25">
        <v>45824</v>
      </c>
      <c r="O51" s="26">
        <v>0.17902777777777781</v>
      </c>
      <c r="P51" s="50" t="s">
        <v>1073</v>
      </c>
      <c r="Q51" s="50" t="s">
        <v>1218</v>
      </c>
      <c r="R51" s="50" t="s">
        <v>1054</v>
      </c>
      <c r="S51" s="50" t="s">
        <v>1219</v>
      </c>
      <c r="T51" s="50">
        <v>1346</v>
      </c>
      <c r="U51" s="50" t="s">
        <v>1024</v>
      </c>
      <c r="V51" s="50" t="s">
        <v>1216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125753202</v>
      </c>
      <c r="N52" s="25">
        <v>45825</v>
      </c>
      <c r="O52" s="26">
        <v>0.1774074074074074</v>
      </c>
      <c r="P52" s="50" t="s">
        <v>1073</v>
      </c>
      <c r="Q52" s="50" t="s">
        <v>1218</v>
      </c>
      <c r="R52" s="50" t="s">
        <v>1054</v>
      </c>
      <c r="S52" s="50" t="s">
        <v>1219</v>
      </c>
      <c r="T52" s="50">
        <v>1346</v>
      </c>
      <c r="U52" s="50" t="s">
        <v>1024</v>
      </c>
      <c r="V52" s="50" t="s">
        <v>1216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165077704</v>
      </c>
      <c r="N53" s="25">
        <v>45825</v>
      </c>
      <c r="O53" s="26">
        <v>0.44799768518518518</v>
      </c>
      <c r="P53" s="50" t="s">
        <v>1020</v>
      </c>
      <c r="Q53" s="50" t="s">
        <v>1021</v>
      </c>
      <c r="R53" s="50" t="s">
        <v>1295</v>
      </c>
      <c r="S53" s="50" t="s">
        <v>1502</v>
      </c>
      <c r="T53" s="50">
        <v>-7200</v>
      </c>
      <c r="U53" s="50" t="s">
        <v>1024</v>
      </c>
      <c r="V53" s="50" t="s">
        <v>1025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10140061</v>
      </c>
      <c r="H54" s="98" t="s">
        <v>907</v>
      </c>
      <c r="I54" s="30">
        <f ca="1">I53-I52</f>
        <v>39324502</v>
      </c>
      <c r="J54" s="53"/>
      <c r="K54" s="54"/>
      <c r="N54" s="25">
        <v>45826</v>
      </c>
      <c r="O54" s="26">
        <v>0.17657407407407411</v>
      </c>
      <c r="P54" s="50" t="s">
        <v>1073</v>
      </c>
      <c r="Q54" s="50" t="s">
        <v>1218</v>
      </c>
      <c r="R54" s="50" t="s">
        <v>1054</v>
      </c>
      <c r="S54" s="50" t="s">
        <v>1219</v>
      </c>
      <c r="T54" s="50">
        <v>1346</v>
      </c>
      <c r="U54" s="50" t="s">
        <v>1024</v>
      </c>
      <c r="V54" s="50" t="s">
        <v>1216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36216904</v>
      </c>
      <c r="H55" s="52"/>
      <c r="I55" s="53"/>
      <c r="J55" s="53"/>
      <c r="K55" s="54"/>
      <c r="N55" s="25">
        <v>45826</v>
      </c>
      <c r="O55" s="26">
        <v>0.52043981481481483</v>
      </c>
      <c r="P55" s="50" t="s">
        <v>1020</v>
      </c>
      <c r="Q55" s="50" t="s">
        <v>1021</v>
      </c>
      <c r="R55" s="50" t="s">
        <v>1022</v>
      </c>
      <c r="S55" s="50" t="s">
        <v>1503</v>
      </c>
      <c r="T55" s="50">
        <v>-30000</v>
      </c>
      <c r="U55" s="50" t="s">
        <v>1024</v>
      </c>
      <c r="V55" s="50" t="s">
        <v>1125</v>
      </c>
      <c r="W55" s="50" t="s">
        <v>1504</v>
      </c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45826</v>
      </c>
      <c r="O56" s="26">
        <v>0.67273148148148143</v>
      </c>
      <c r="P56" s="50" t="s">
        <v>1073</v>
      </c>
      <c r="Q56" s="50" t="s">
        <v>1184</v>
      </c>
      <c r="R56" s="50" t="s">
        <v>1054</v>
      </c>
      <c r="S56" s="50" t="s">
        <v>1195</v>
      </c>
      <c r="T56" s="50">
        <v>380000</v>
      </c>
      <c r="U56" s="50" t="s">
        <v>1024</v>
      </c>
      <c r="V56" s="50" t="s">
        <v>1036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45826</v>
      </c>
      <c r="O57" s="26">
        <v>0.80822916666666667</v>
      </c>
      <c r="P57" s="50" t="s">
        <v>1020</v>
      </c>
      <c r="Q57" s="50" t="s">
        <v>1047</v>
      </c>
      <c r="R57" s="50" t="s">
        <v>1177</v>
      </c>
      <c r="S57" s="50" t="s">
        <v>1505</v>
      </c>
      <c r="T57" s="50">
        <v>-23700</v>
      </c>
      <c r="U57" s="50" t="s">
        <v>1024</v>
      </c>
      <c r="V57" s="50" t="s">
        <v>1099</v>
      </c>
      <c r="W57" s="50" t="s">
        <v>1506</v>
      </c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45826</v>
      </c>
      <c r="O58" s="26">
        <v>0.90125</v>
      </c>
      <c r="P58" s="50" t="s">
        <v>1020</v>
      </c>
      <c r="Q58" s="50" t="s">
        <v>1047</v>
      </c>
      <c r="R58" s="50" t="s">
        <v>1507</v>
      </c>
      <c r="S58" s="50" t="s">
        <v>1508</v>
      </c>
      <c r="T58" s="50">
        <v>-2000</v>
      </c>
      <c r="U58" s="50" t="s">
        <v>1024</v>
      </c>
      <c r="V58" s="50" t="s">
        <v>1025</v>
      </c>
      <c r="W58" s="50" t="s">
        <v>1509</v>
      </c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103285</v>
      </c>
      <c r="H59" s="52"/>
      <c r="I59" s="53"/>
      <c r="J59" s="53"/>
      <c r="K59" s="54"/>
      <c r="N59" s="25">
        <v>45827</v>
      </c>
      <c r="O59" s="26">
        <v>0.14785879629629631</v>
      </c>
      <c r="P59" s="50" t="s">
        <v>1073</v>
      </c>
      <c r="Q59" s="50" t="s">
        <v>1218</v>
      </c>
      <c r="R59" s="50" t="s">
        <v>1054</v>
      </c>
      <c r="S59" s="50" t="s">
        <v>1219</v>
      </c>
      <c r="T59" s="50">
        <v>1346</v>
      </c>
      <c r="U59" s="50" t="s">
        <v>1024</v>
      </c>
      <c r="V59" s="50" t="s">
        <v>1216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45827</v>
      </c>
      <c r="O60" s="26">
        <v>0.3712037037037037</v>
      </c>
      <c r="P60" s="50" t="s">
        <v>1020</v>
      </c>
      <c r="Q60" s="50" t="s">
        <v>1026</v>
      </c>
      <c r="R60" s="50" t="s">
        <v>1093</v>
      </c>
      <c r="S60" s="50" t="s">
        <v>1095</v>
      </c>
      <c r="T60" s="50">
        <v>-141890</v>
      </c>
      <c r="U60" s="50" t="s">
        <v>1024</v>
      </c>
      <c r="V60" s="50" t="s">
        <v>1025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20826</v>
      </c>
      <c r="H61" s="52"/>
      <c r="I61" s="53"/>
      <c r="J61" s="53"/>
      <c r="K61" s="54"/>
      <c r="N61" s="25">
        <v>45827</v>
      </c>
      <c r="O61" s="26">
        <v>0.3712037037037037</v>
      </c>
      <c r="P61" s="50" t="s">
        <v>1020</v>
      </c>
      <c r="Q61" s="50" t="s">
        <v>1026</v>
      </c>
      <c r="R61" s="50" t="s">
        <v>1093</v>
      </c>
      <c r="S61" s="50" t="s">
        <v>1094</v>
      </c>
      <c r="T61" s="50">
        <v>-22000</v>
      </c>
      <c r="U61" s="50" t="s">
        <v>1024</v>
      </c>
      <c r="V61" s="50" t="s">
        <v>1025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45827</v>
      </c>
      <c r="O62" s="26">
        <v>0.53049768518518514</v>
      </c>
      <c r="P62" s="50" t="s">
        <v>1073</v>
      </c>
      <c r="Q62" s="50" t="s">
        <v>1184</v>
      </c>
      <c r="R62" s="50" t="s">
        <v>1054</v>
      </c>
      <c r="S62" s="50" t="s">
        <v>1195</v>
      </c>
      <c r="T62" s="50">
        <v>275000</v>
      </c>
      <c r="U62" s="50" t="s">
        <v>1024</v>
      </c>
      <c r="V62" s="50" t="s">
        <v>1036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606300</v>
      </c>
      <c r="H63" s="52"/>
      <c r="I63" s="53"/>
      <c r="J63" s="53"/>
      <c r="K63" s="54"/>
      <c r="N63" s="25">
        <v>45827</v>
      </c>
      <c r="O63" s="26">
        <v>0.59728009259259263</v>
      </c>
      <c r="P63" s="50" t="s">
        <v>1073</v>
      </c>
      <c r="Q63" s="50" t="s">
        <v>1074</v>
      </c>
      <c r="R63" s="50" t="s">
        <v>1054</v>
      </c>
      <c r="S63" s="50" t="s">
        <v>1075</v>
      </c>
      <c r="T63" s="50">
        <v>55199</v>
      </c>
      <c r="U63" s="50" t="s">
        <v>1024</v>
      </c>
      <c r="V63" s="50" t="s">
        <v>1036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45827</v>
      </c>
      <c r="O64" s="26">
        <v>0.78263888888888888</v>
      </c>
      <c r="P64" s="50" t="s">
        <v>1020</v>
      </c>
      <c r="Q64" s="50" t="s">
        <v>1029</v>
      </c>
      <c r="R64" s="50" t="s">
        <v>1045</v>
      </c>
      <c r="S64" s="50" t="s">
        <v>1510</v>
      </c>
      <c r="T64" s="50">
        <v>-37710</v>
      </c>
      <c r="U64" s="50" t="s">
        <v>1024</v>
      </c>
      <c r="V64" s="50" t="s">
        <v>1025</v>
      </c>
      <c r="W64" s="50" t="s">
        <v>1511</v>
      </c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45828</v>
      </c>
      <c r="O65" s="26">
        <v>0.16981481481481481</v>
      </c>
      <c r="P65" s="50" t="s">
        <v>1073</v>
      </c>
      <c r="Q65" s="50" t="s">
        <v>1218</v>
      </c>
      <c r="R65" s="50" t="s">
        <v>1054</v>
      </c>
      <c r="S65" s="50" t="s">
        <v>1219</v>
      </c>
      <c r="T65" s="50">
        <v>1346</v>
      </c>
      <c r="U65" s="50" t="s">
        <v>1024</v>
      </c>
      <c r="V65" s="50" t="s">
        <v>1216</v>
      </c>
      <c r="W65" s="50"/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I66" s="53"/>
      <c r="J66" s="53"/>
      <c r="K66" s="54"/>
      <c r="N66" s="25">
        <v>45828</v>
      </c>
      <c r="O66" s="26">
        <v>0.66688657407407403</v>
      </c>
      <c r="P66" s="50" t="s">
        <v>1020</v>
      </c>
      <c r="Q66" s="50" t="s">
        <v>1042</v>
      </c>
      <c r="R66" s="50" t="s">
        <v>1054</v>
      </c>
      <c r="S66" s="50" t="s">
        <v>1342</v>
      </c>
      <c r="T66" s="50">
        <v>-5300</v>
      </c>
      <c r="U66" s="50" t="s">
        <v>1024</v>
      </c>
      <c r="V66" s="50" t="s">
        <v>1099</v>
      </c>
      <c r="W66" s="50"/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45828</v>
      </c>
      <c r="O67" s="26">
        <v>0.7198148148148148</v>
      </c>
      <c r="P67" s="50" t="s">
        <v>1020</v>
      </c>
      <c r="Q67" s="50" t="s">
        <v>1029</v>
      </c>
      <c r="R67" s="50" t="s">
        <v>1070</v>
      </c>
      <c r="S67" s="50" t="s">
        <v>1512</v>
      </c>
      <c r="T67" s="50">
        <v>-32000</v>
      </c>
      <c r="U67" s="50" t="s">
        <v>1024</v>
      </c>
      <c r="V67" s="50" t="s">
        <v>1099</v>
      </c>
      <c r="W67" s="50"/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45829</v>
      </c>
      <c r="O68" s="26">
        <v>0.1711574074074074</v>
      </c>
      <c r="P68" s="50" t="s">
        <v>1073</v>
      </c>
      <c r="Q68" s="50" t="s">
        <v>1218</v>
      </c>
      <c r="R68" s="50" t="s">
        <v>1054</v>
      </c>
      <c r="S68" s="50" t="s">
        <v>1219</v>
      </c>
      <c r="T68" s="50">
        <v>1346</v>
      </c>
      <c r="U68" s="50" t="s">
        <v>1024</v>
      </c>
      <c r="V68" s="50" t="s">
        <v>1216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45829</v>
      </c>
      <c r="O69" s="26">
        <v>0.40506944444444443</v>
      </c>
      <c r="P69" s="50" t="s">
        <v>1020</v>
      </c>
      <c r="Q69" s="50" t="s">
        <v>1029</v>
      </c>
      <c r="R69" s="50" t="s">
        <v>1030</v>
      </c>
      <c r="S69" s="50" t="s">
        <v>1513</v>
      </c>
      <c r="T69" s="50">
        <v>-6300</v>
      </c>
      <c r="U69" s="50" t="s">
        <v>1024</v>
      </c>
      <c r="V69" s="50" t="s">
        <v>1025</v>
      </c>
      <c r="W69" s="50" t="s">
        <v>1514</v>
      </c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45829</v>
      </c>
      <c r="O70" s="26">
        <v>0.64578703703703699</v>
      </c>
      <c r="P70" s="50" t="s">
        <v>1073</v>
      </c>
      <c r="Q70" s="50" t="s">
        <v>1047</v>
      </c>
      <c r="R70" s="50" t="s">
        <v>1054</v>
      </c>
      <c r="S70" s="50" t="s">
        <v>1515</v>
      </c>
      <c r="T70" s="50">
        <v>1</v>
      </c>
      <c r="U70" s="50" t="s">
        <v>1024</v>
      </c>
      <c r="V70" s="50" t="s">
        <v>1036</v>
      </c>
      <c r="W70" s="50"/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45829</v>
      </c>
      <c r="O71" s="26">
        <v>0.65207175925925931</v>
      </c>
      <c r="P71" s="50" t="s">
        <v>1020</v>
      </c>
      <c r="Q71" s="50" t="s">
        <v>1029</v>
      </c>
      <c r="R71" s="50" t="s">
        <v>1030</v>
      </c>
      <c r="S71" s="50" t="s">
        <v>1031</v>
      </c>
      <c r="T71" s="50">
        <v>-19140</v>
      </c>
      <c r="U71" s="50" t="s">
        <v>1024</v>
      </c>
      <c r="V71" s="50" t="s">
        <v>1025</v>
      </c>
      <c r="W71" s="50" t="s">
        <v>1516</v>
      </c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45830</v>
      </c>
      <c r="O72" s="26">
        <v>0.16939814814814819</v>
      </c>
      <c r="P72" s="50" t="s">
        <v>1073</v>
      </c>
      <c r="Q72" s="50" t="s">
        <v>1218</v>
      </c>
      <c r="R72" s="50" t="s">
        <v>1054</v>
      </c>
      <c r="S72" s="50" t="s">
        <v>1219</v>
      </c>
      <c r="T72" s="50">
        <v>1347</v>
      </c>
      <c r="U72" s="50" t="s">
        <v>1024</v>
      </c>
      <c r="V72" s="50" t="s">
        <v>1216</v>
      </c>
      <c r="W72" s="50"/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45830</v>
      </c>
      <c r="O73" s="26">
        <v>0.4899074074074074</v>
      </c>
      <c r="P73" s="50" t="s">
        <v>1020</v>
      </c>
      <c r="Q73" s="50" t="s">
        <v>1022</v>
      </c>
      <c r="R73" s="50" t="s">
        <v>1032</v>
      </c>
      <c r="S73" s="50" t="s">
        <v>1517</v>
      </c>
      <c r="T73" s="50">
        <v>-43000</v>
      </c>
      <c r="U73" s="50" t="s">
        <v>1024</v>
      </c>
      <c r="V73" s="50" t="s">
        <v>1025</v>
      </c>
      <c r="W73" s="50" t="s">
        <v>1518</v>
      </c>
      <c r="X73" s="86"/>
      <c r="Y73" s="6"/>
    </row>
    <row r="74" spans="1:25" ht="18" thickTop="1" x14ac:dyDescent="0.4">
      <c r="A74" s="7">
        <f>$L$1</f>
        <v>202506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t="shared" ref="F74:F79" ca="1" si="11">INDIRECT($J$1&amp;"!H"&amp;ROW())</f>
        <v>6157428</v>
      </c>
      <c r="G74" s="41">
        <f t="shared" ref="G74:G79" ca="1" si="12">H74-F74</f>
        <v>38605</v>
      </c>
      <c r="H74" s="58">
        <f t="shared" ref="H74:H79" si="13">SUMIFS($T$3:$T$234,$P$3:$P$234,"수입",$Q$3:$Q$234,C74)</f>
        <v>6196033</v>
      </c>
      <c r="I74" s="43">
        <f t="shared" ref="I74:I79" si="14">H74-E74</f>
        <v>653033</v>
      </c>
      <c r="N74" s="25">
        <v>45830</v>
      </c>
      <c r="O74" s="26">
        <v>0.49886574074074069</v>
      </c>
      <c r="P74" s="50" t="s">
        <v>1020</v>
      </c>
      <c r="Q74" s="50" t="s">
        <v>1022</v>
      </c>
      <c r="R74" s="50" t="s">
        <v>1032</v>
      </c>
      <c r="S74" s="50" t="s">
        <v>1519</v>
      </c>
      <c r="T74" s="50">
        <v>-25800</v>
      </c>
      <c r="U74" s="50" t="s">
        <v>1024</v>
      </c>
      <c r="V74" s="50" t="s">
        <v>1025</v>
      </c>
      <c r="W74" s="50" t="s">
        <v>1520</v>
      </c>
      <c r="X74" s="86"/>
      <c r="Y74" s="6"/>
    </row>
    <row r="75" spans="1:25" x14ac:dyDescent="0.4">
      <c r="A75" s="4">
        <f t="shared" ref="A75:A79" si="15">$L$1</f>
        <v>202506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t="shared" ca="1" si="11"/>
        <v>55199</v>
      </c>
      <c r="G75" s="41">
        <f t="shared" ca="1" si="12"/>
        <v>0</v>
      </c>
      <c r="H75" s="58">
        <f t="shared" si="13"/>
        <v>55199</v>
      </c>
      <c r="I75" s="43">
        <f t="shared" si="14"/>
        <v>0</v>
      </c>
      <c r="N75" s="25">
        <v>45830</v>
      </c>
      <c r="O75" s="26">
        <v>0.50380787037037034</v>
      </c>
      <c r="P75" s="50" t="s">
        <v>1020</v>
      </c>
      <c r="Q75" s="50" t="s">
        <v>1022</v>
      </c>
      <c r="R75" s="50" t="s">
        <v>1032</v>
      </c>
      <c r="S75" s="50" t="s">
        <v>1521</v>
      </c>
      <c r="T75" s="50">
        <v>-25800</v>
      </c>
      <c r="U75" s="50" t="s">
        <v>1024</v>
      </c>
      <c r="V75" s="50" t="s">
        <v>1350</v>
      </c>
      <c r="W75" s="50" t="s">
        <v>1520</v>
      </c>
      <c r="X75" s="86"/>
      <c r="Y75" s="6"/>
    </row>
    <row r="76" spans="1:25" x14ac:dyDescent="0.4">
      <c r="A76" s="4">
        <f t="shared" si="15"/>
        <v>202506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t="shared" ca="1" si="11"/>
        <v>0</v>
      </c>
      <c r="G76" s="41">
        <f t="shared" ca="1" si="12"/>
        <v>0</v>
      </c>
      <c r="H76" s="58">
        <f t="shared" si="13"/>
        <v>0</v>
      </c>
      <c r="I76" s="43">
        <f t="shared" si="14"/>
        <v>0</v>
      </c>
      <c r="N76" s="25">
        <v>45830</v>
      </c>
      <c r="O76" s="26">
        <v>0.67586805555555551</v>
      </c>
      <c r="P76" s="50" t="s">
        <v>1020</v>
      </c>
      <c r="Q76" s="50" t="s">
        <v>1184</v>
      </c>
      <c r="R76" s="50" t="s">
        <v>1522</v>
      </c>
      <c r="S76" s="50" t="s">
        <v>1168</v>
      </c>
      <c r="T76" s="50">
        <v>-100000</v>
      </c>
      <c r="U76" s="50" t="s">
        <v>1024</v>
      </c>
      <c r="V76" s="50" t="s">
        <v>1036</v>
      </c>
      <c r="W76" s="50" t="s">
        <v>1523</v>
      </c>
      <c r="X76" s="86"/>
      <c r="Y76" s="6"/>
    </row>
    <row r="77" spans="1:25" x14ac:dyDescent="0.4">
      <c r="A77" s="4">
        <f t="shared" si="15"/>
        <v>202506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44137</v>
      </c>
      <c r="G77" s="41">
        <f t="shared" ca="1" si="12"/>
        <v>-3752</v>
      </c>
      <c r="H77" s="58">
        <f t="shared" si="13"/>
        <v>40385</v>
      </c>
      <c r="I77" s="43">
        <f t="shared" si="14"/>
        <v>40385</v>
      </c>
      <c r="N77" s="25">
        <v>45830</v>
      </c>
      <c r="O77" s="26">
        <v>0.73798611111111112</v>
      </c>
      <c r="P77" s="50" t="s">
        <v>1020</v>
      </c>
      <c r="Q77" s="50" t="s">
        <v>1022</v>
      </c>
      <c r="R77" s="50" t="s">
        <v>1032</v>
      </c>
      <c r="S77" s="50" t="s">
        <v>1524</v>
      </c>
      <c r="T77" s="50">
        <v>-7800</v>
      </c>
      <c r="U77" s="50" t="s">
        <v>1024</v>
      </c>
      <c r="V77" s="50" t="s">
        <v>1099</v>
      </c>
      <c r="W77" s="50"/>
      <c r="X77" s="86"/>
      <c r="Y77" s="6"/>
    </row>
    <row r="78" spans="1:25" x14ac:dyDescent="0.4">
      <c r="A78" s="4">
        <f t="shared" si="15"/>
        <v>202506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3</v>
      </c>
      <c r="G78" s="41">
        <f t="shared" ca="1" si="12"/>
        <v>2</v>
      </c>
      <c r="H78" s="58">
        <f t="shared" si="13"/>
        <v>5</v>
      </c>
      <c r="I78" s="43">
        <f t="shared" si="14"/>
        <v>5</v>
      </c>
      <c r="N78" s="25">
        <v>45830</v>
      </c>
      <c r="O78" s="26">
        <v>0.75883101851851853</v>
      </c>
      <c r="P78" s="50" t="s">
        <v>1020</v>
      </c>
      <c r="Q78" s="50" t="s">
        <v>1022</v>
      </c>
      <c r="R78" s="50" t="s">
        <v>1032</v>
      </c>
      <c r="S78" s="50" t="s">
        <v>1440</v>
      </c>
      <c r="T78" s="50">
        <v>-25000</v>
      </c>
      <c r="U78" s="50" t="s">
        <v>1024</v>
      </c>
      <c r="V78" s="50" t="s">
        <v>1166</v>
      </c>
      <c r="W78" s="50"/>
      <c r="X78" s="86"/>
      <c r="Y78" s="6"/>
    </row>
    <row r="79" spans="1:25" x14ac:dyDescent="0.4">
      <c r="A79" s="4">
        <f t="shared" si="15"/>
        <v>202506</v>
      </c>
      <c r="B79" s="4">
        <f>B78+1</f>
        <v>6</v>
      </c>
      <c r="C79" s="105" t="s">
        <v>2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1645000</v>
      </c>
      <c r="G79" s="41">
        <f t="shared" ca="1" si="12"/>
        <v>-815000</v>
      </c>
      <c r="H79" s="58">
        <f t="shared" si="13"/>
        <v>830000</v>
      </c>
      <c r="I79" s="43">
        <f t="shared" si="14"/>
        <v>830000</v>
      </c>
      <c r="N79" s="25">
        <v>45830</v>
      </c>
      <c r="O79" s="26">
        <v>0.7634143518518518</v>
      </c>
      <c r="P79" s="50" t="s">
        <v>1020</v>
      </c>
      <c r="Q79" s="50" t="s">
        <v>1022</v>
      </c>
      <c r="R79" s="50" t="s">
        <v>1032</v>
      </c>
      <c r="S79" s="50" t="s">
        <v>1525</v>
      </c>
      <c r="T79" s="50">
        <v>-1000</v>
      </c>
      <c r="U79" s="50" t="s">
        <v>1024</v>
      </c>
      <c r="V79" s="50" t="s">
        <v>1036</v>
      </c>
      <c r="W79" s="50" t="s">
        <v>1526</v>
      </c>
      <c r="X79" s="86"/>
      <c r="Y79" s="6"/>
    </row>
    <row r="80" spans="1:25" x14ac:dyDescent="0.4">
      <c r="A80" s="71" t="s">
        <v>14</v>
      </c>
      <c r="B80" s="72"/>
      <c r="C80" s="72"/>
      <c r="D80" s="73"/>
      <c r="E80" s="56">
        <f>SUM(E74:E79)</f>
        <v>5598199</v>
      </c>
      <c r="F80" s="56">
        <f ca="1">SUM(F74:F79)</f>
        <v>7901767</v>
      </c>
      <c r="G80" s="57">
        <f ca="1">SUM(G74:G79)</f>
        <v>-780145</v>
      </c>
      <c r="H80" s="59">
        <f>SUM(H74:H79)</f>
        <v>7121622</v>
      </c>
      <c r="I80" s="43">
        <f>SUM(I74:I79)</f>
        <v>1523423</v>
      </c>
      <c r="N80" s="25">
        <v>45830</v>
      </c>
      <c r="O80" s="26">
        <v>0.76449074074074075</v>
      </c>
      <c r="P80" s="50" t="s">
        <v>1020</v>
      </c>
      <c r="Q80" s="50" t="s">
        <v>1022</v>
      </c>
      <c r="R80" s="50" t="s">
        <v>1032</v>
      </c>
      <c r="S80" s="50" t="s">
        <v>1527</v>
      </c>
      <c r="T80" s="50">
        <v>-1000</v>
      </c>
      <c r="U80" s="50" t="s">
        <v>1024</v>
      </c>
      <c r="V80" s="50" t="s">
        <v>1036</v>
      </c>
      <c r="W80" s="50" t="s">
        <v>1528</v>
      </c>
      <c r="X80" s="86"/>
      <c r="Y80" s="6"/>
    </row>
    <row r="81" spans="14:25" x14ac:dyDescent="0.4">
      <c r="N81" s="25">
        <v>45830</v>
      </c>
      <c r="O81" s="26">
        <v>0.76959490740740744</v>
      </c>
      <c r="P81" s="50" t="s">
        <v>1020</v>
      </c>
      <c r="Q81" s="50" t="s">
        <v>1022</v>
      </c>
      <c r="R81" s="50" t="s">
        <v>1032</v>
      </c>
      <c r="S81" s="50" t="s">
        <v>1529</v>
      </c>
      <c r="T81" s="50">
        <v>-15400</v>
      </c>
      <c r="U81" s="50" t="s">
        <v>1024</v>
      </c>
      <c r="V81" s="50" t="s">
        <v>1036</v>
      </c>
      <c r="W81" s="50" t="s">
        <v>1530</v>
      </c>
      <c r="X81" s="86"/>
      <c r="Y81" s="4"/>
    </row>
    <row r="82" spans="14:25" x14ac:dyDescent="0.4">
      <c r="N82" s="25">
        <v>45830</v>
      </c>
      <c r="O82" s="26">
        <v>0.77035879629629633</v>
      </c>
      <c r="P82" s="50" t="s">
        <v>1020</v>
      </c>
      <c r="Q82" s="50" t="s">
        <v>1022</v>
      </c>
      <c r="R82" s="50" t="s">
        <v>1032</v>
      </c>
      <c r="S82" s="50" t="s">
        <v>1525</v>
      </c>
      <c r="T82" s="50">
        <v>-6000</v>
      </c>
      <c r="U82" s="50" t="s">
        <v>1024</v>
      </c>
      <c r="V82" s="50" t="s">
        <v>1036</v>
      </c>
      <c r="W82" s="50" t="s">
        <v>1526</v>
      </c>
      <c r="X82" s="86"/>
      <c r="Y82" s="4"/>
    </row>
    <row r="83" spans="14:25" x14ac:dyDescent="0.4">
      <c r="N83" s="25">
        <v>45830</v>
      </c>
      <c r="O83" s="26">
        <v>0.78075231481481477</v>
      </c>
      <c r="P83" s="50" t="s">
        <v>1020</v>
      </c>
      <c r="Q83" s="50" t="s">
        <v>1022</v>
      </c>
      <c r="R83" s="50" t="s">
        <v>1032</v>
      </c>
      <c r="S83" s="50" t="s">
        <v>1531</v>
      </c>
      <c r="T83" s="50">
        <v>-4000</v>
      </c>
      <c r="U83" s="50" t="s">
        <v>1024</v>
      </c>
      <c r="V83" s="50" t="s">
        <v>1166</v>
      </c>
      <c r="W83" s="50" t="s">
        <v>1532</v>
      </c>
      <c r="X83" s="86"/>
      <c r="Y83" s="4"/>
    </row>
    <row r="84" spans="14:25" x14ac:dyDescent="0.4">
      <c r="N84" s="25">
        <v>45831</v>
      </c>
      <c r="O84" s="26">
        <v>0.1663773148148148</v>
      </c>
      <c r="P84" s="50" t="s">
        <v>1073</v>
      </c>
      <c r="Q84" s="50" t="s">
        <v>1218</v>
      </c>
      <c r="R84" s="50" t="s">
        <v>1054</v>
      </c>
      <c r="S84" s="50" t="s">
        <v>1219</v>
      </c>
      <c r="T84" s="50">
        <v>1347</v>
      </c>
      <c r="U84" s="50" t="s">
        <v>1024</v>
      </c>
      <c r="V84" s="50" t="s">
        <v>1216</v>
      </c>
      <c r="W84" s="50"/>
      <c r="X84" s="86"/>
      <c r="Y84" s="4"/>
    </row>
    <row r="85" spans="14:25" x14ac:dyDescent="0.4">
      <c r="N85" s="25">
        <v>45831</v>
      </c>
      <c r="O85" s="26">
        <v>0.44481481481481477</v>
      </c>
      <c r="P85" s="50" t="s">
        <v>1020</v>
      </c>
      <c r="Q85" s="50" t="s">
        <v>1029</v>
      </c>
      <c r="R85" s="50" t="s">
        <v>1030</v>
      </c>
      <c r="S85" s="50" t="s">
        <v>1533</v>
      </c>
      <c r="T85" s="50">
        <v>-15000</v>
      </c>
      <c r="U85" s="50" t="s">
        <v>1024</v>
      </c>
      <c r="V85" s="50" t="s">
        <v>1166</v>
      </c>
      <c r="W85" s="50"/>
      <c r="X85" s="86"/>
      <c r="Y85" s="4"/>
    </row>
    <row r="86" spans="14:25" x14ac:dyDescent="0.4">
      <c r="N86" s="25">
        <v>45831</v>
      </c>
      <c r="O86" s="26">
        <v>0.45175925925925919</v>
      </c>
      <c r="P86" s="50" t="s">
        <v>1020</v>
      </c>
      <c r="Q86" s="50" t="s">
        <v>1029</v>
      </c>
      <c r="R86" s="50" t="s">
        <v>1030</v>
      </c>
      <c r="S86" s="50" t="s">
        <v>1533</v>
      </c>
      <c r="T86" s="50">
        <v>-23800</v>
      </c>
      <c r="U86" s="50" t="s">
        <v>1024</v>
      </c>
      <c r="V86" s="50" t="s">
        <v>1166</v>
      </c>
      <c r="W86" s="50"/>
      <c r="X86" s="86"/>
      <c r="Y86" s="4"/>
    </row>
    <row r="87" spans="14:25" x14ac:dyDescent="0.4">
      <c r="N87" s="25">
        <v>45831</v>
      </c>
      <c r="O87" s="26">
        <v>0.46127314814814813</v>
      </c>
      <c r="P87" s="50" t="s">
        <v>1020</v>
      </c>
      <c r="Q87" s="50" t="s">
        <v>1022</v>
      </c>
      <c r="R87" s="50" t="s">
        <v>1032</v>
      </c>
      <c r="S87" s="50" t="s">
        <v>1524</v>
      </c>
      <c r="T87" s="50">
        <v>-8300</v>
      </c>
      <c r="U87" s="50" t="s">
        <v>1024</v>
      </c>
      <c r="V87" s="50" t="s">
        <v>1099</v>
      </c>
      <c r="W87" s="50"/>
      <c r="X87" s="86"/>
      <c r="Y87" s="4"/>
    </row>
    <row r="88" spans="14:25" x14ac:dyDescent="0.4">
      <c r="N88" s="25">
        <v>45831</v>
      </c>
      <c r="O88" s="26">
        <v>0.53710648148148143</v>
      </c>
      <c r="P88" s="50" t="s">
        <v>1020</v>
      </c>
      <c r="Q88" s="50" t="s">
        <v>1022</v>
      </c>
      <c r="R88" s="50" t="s">
        <v>1032</v>
      </c>
      <c r="S88" s="50" t="s">
        <v>1534</v>
      </c>
      <c r="T88" s="50">
        <v>-8700</v>
      </c>
      <c r="U88" s="50" t="s">
        <v>1024</v>
      </c>
      <c r="V88" s="50" t="s">
        <v>1025</v>
      </c>
      <c r="W88" s="50"/>
      <c r="X88" s="86"/>
      <c r="Y88" s="4"/>
    </row>
    <row r="89" spans="14:25" x14ac:dyDescent="0.4">
      <c r="N89" s="25">
        <v>45831</v>
      </c>
      <c r="O89" s="26">
        <v>0.54162037037037036</v>
      </c>
      <c r="P89" s="50" t="s">
        <v>1020</v>
      </c>
      <c r="Q89" s="50" t="s">
        <v>1029</v>
      </c>
      <c r="R89" s="50" t="s">
        <v>1045</v>
      </c>
      <c r="S89" s="50" t="s">
        <v>1535</v>
      </c>
      <c r="T89" s="50">
        <v>-25700</v>
      </c>
      <c r="U89" s="50" t="s">
        <v>1024</v>
      </c>
      <c r="V89" s="50" t="s">
        <v>1099</v>
      </c>
      <c r="W89" s="50" t="s">
        <v>1536</v>
      </c>
      <c r="X89" s="86"/>
      <c r="Y89" s="4"/>
    </row>
    <row r="90" spans="14:25" x14ac:dyDescent="0.4">
      <c r="N90" s="25">
        <v>45831</v>
      </c>
      <c r="O90" s="26">
        <v>0.56706018518518519</v>
      </c>
      <c r="P90" s="50" t="s">
        <v>1020</v>
      </c>
      <c r="Q90" s="50" t="s">
        <v>1022</v>
      </c>
      <c r="R90" s="50" t="s">
        <v>1032</v>
      </c>
      <c r="S90" s="50" t="s">
        <v>1537</v>
      </c>
      <c r="T90" s="50">
        <v>-27000</v>
      </c>
      <c r="U90" s="50" t="s">
        <v>1024</v>
      </c>
      <c r="V90" s="50" t="s">
        <v>1099</v>
      </c>
      <c r="W90" s="50"/>
      <c r="X90" s="86"/>
      <c r="Y90" s="6"/>
    </row>
    <row r="91" spans="14:25" x14ac:dyDescent="0.4">
      <c r="N91" s="25">
        <v>45831</v>
      </c>
      <c r="O91" s="26">
        <v>0.603912037037037</v>
      </c>
      <c r="P91" s="50" t="s">
        <v>1020</v>
      </c>
      <c r="Q91" s="50" t="s">
        <v>1022</v>
      </c>
      <c r="R91" s="50" t="s">
        <v>1032</v>
      </c>
      <c r="S91" s="50" t="s">
        <v>1538</v>
      </c>
      <c r="T91" s="50">
        <v>-10400</v>
      </c>
      <c r="U91" s="50" t="s">
        <v>1024</v>
      </c>
      <c r="V91" s="50" t="s">
        <v>1099</v>
      </c>
      <c r="W91" s="50"/>
      <c r="X91" s="86"/>
      <c r="Y91" s="6"/>
    </row>
    <row r="92" spans="14:25" x14ac:dyDescent="0.4">
      <c r="N92" s="25">
        <v>45831</v>
      </c>
      <c r="O92" s="26">
        <v>0.63851851851851849</v>
      </c>
      <c r="P92" s="50" t="s">
        <v>1073</v>
      </c>
      <c r="Q92" s="50" t="s">
        <v>1047</v>
      </c>
      <c r="R92" s="50" t="s">
        <v>1054</v>
      </c>
      <c r="S92" s="50" t="s">
        <v>1539</v>
      </c>
      <c r="T92" s="50">
        <v>1</v>
      </c>
      <c r="U92" s="50" t="s">
        <v>1024</v>
      </c>
      <c r="V92" s="50" t="s">
        <v>1036</v>
      </c>
      <c r="W92" s="50"/>
      <c r="X92" s="86"/>
      <c r="Y92" s="6"/>
    </row>
    <row r="93" spans="14:25" x14ac:dyDescent="0.4">
      <c r="N93" s="25">
        <v>45831</v>
      </c>
      <c r="O93" s="26">
        <v>0.83751157407407406</v>
      </c>
      <c r="P93" s="50" t="s">
        <v>1020</v>
      </c>
      <c r="Q93" s="50" t="s">
        <v>1026</v>
      </c>
      <c r="R93" s="50" t="s">
        <v>1115</v>
      </c>
      <c r="S93" s="50" t="s">
        <v>1540</v>
      </c>
      <c r="T93" s="50">
        <v>-14232</v>
      </c>
      <c r="U93" s="50" t="s">
        <v>1024</v>
      </c>
      <c r="V93" s="50" t="s">
        <v>1036</v>
      </c>
      <c r="W93" s="50"/>
      <c r="X93" s="86"/>
      <c r="Y93" s="6"/>
    </row>
    <row r="94" spans="14:25" x14ac:dyDescent="0.4">
      <c r="N94" s="25">
        <v>45832</v>
      </c>
      <c r="O94" s="26">
        <v>0.16498842592592591</v>
      </c>
      <c r="P94" s="50" t="s">
        <v>1073</v>
      </c>
      <c r="Q94" s="50" t="s">
        <v>1218</v>
      </c>
      <c r="R94" s="50" t="s">
        <v>1054</v>
      </c>
      <c r="S94" s="50" t="s">
        <v>1219</v>
      </c>
      <c r="T94" s="50">
        <v>1347</v>
      </c>
      <c r="U94" s="50" t="s">
        <v>1024</v>
      </c>
      <c r="V94" s="50" t="s">
        <v>1216</v>
      </c>
      <c r="W94" s="50"/>
      <c r="X94" s="86"/>
      <c r="Y94" s="6"/>
    </row>
    <row r="95" spans="14:25" x14ac:dyDescent="0.4">
      <c r="N95" s="25">
        <v>45832</v>
      </c>
      <c r="O95" s="26">
        <v>0.56530092592592596</v>
      </c>
      <c r="P95" s="50" t="s">
        <v>1020</v>
      </c>
      <c r="Q95" s="50" t="s">
        <v>1026</v>
      </c>
      <c r="R95" s="50" t="s">
        <v>1105</v>
      </c>
      <c r="S95" s="50" t="s">
        <v>1105</v>
      </c>
      <c r="T95" s="50">
        <v>-241360</v>
      </c>
      <c r="U95" s="50" t="s">
        <v>1024</v>
      </c>
      <c r="V95" s="50" t="s">
        <v>1025</v>
      </c>
      <c r="W95" s="50"/>
      <c r="X95" s="86"/>
      <c r="Y95" s="6"/>
    </row>
    <row r="96" spans="14:25" x14ac:dyDescent="0.4">
      <c r="N96" s="25">
        <v>45833</v>
      </c>
      <c r="O96" s="26">
        <v>0.16420138888888891</v>
      </c>
      <c r="P96" s="50" t="s">
        <v>1073</v>
      </c>
      <c r="Q96" s="50" t="s">
        <v>1218</v>
      </c>
      <c r="R96" s="50" t="s">
        <v>1054</v>
      </c>
      <c r="S96" s="50" t="s">
        <v>1219</v>
      </c>
      <c r="T96" s="50">
        <v>1347</v>
      </c>
      <c r="U96" s="50" t="s">
        <v>1024</v>
      </c>
      <c r="V96" s="50" t="s">
        <v>1216</v>
      </c>
      <c r="W96" s="50"/>
      <c r="X96" s="86"/>
      <c r="Y96" s="6"/>
    </row>
    <row r="97" spans="14:25" x14ac:dyDescent="0.4">
      <c r="N97" s="25">
        <v>45833</v>
      </c>
      <c r="O97" s="26">
        <v>0.25363425925925931</v>
      </c>
      <c r="P97" s="50" t="s">
        <v>1073</v>
      </c>
      <c r="Q97" s="50" t="s">
        <v>1117</v>
      </c>
      <c r="R97" s="50" t="s">
        <v>1054</v>
      </c>
      <c r="S97" s="50" t="s">
        <v>1118</v>
      </c>
      <c r="T97" s="50">
        <v>6196033</v>
      </c>
      <c r="U97" s="50" t="s">
        <v>1024</v>
      </c>
      <c r="V97" s="50" t="s">
        <v>1036</v>
      </c>
      <c r="W97" s="50"/>
      <c r="X97" s="86"/>
      <c r="Y97" s="6"/>
    </row>
    <row r="98" spans="14:25" x14ac:dyDescent="0.4">
      <c r="N98" s="25">
        <v>45833</v>
      </c>
      <c r="O98" s="26">
        <v>0.27712962962962961</v>
      </c>
      <c r="P98" s="50" t="s">
        <v>1020</v>
      </c>
      <c r="Q98" s="50" t="s">
        <v>1029</v>
      </c>
      <c r="R98" s="50" t="s">
        <v>1030</v>
      </c>
      <c r="S98" s="50" t="s">
        <v>1031</v>
      </c>
      <c r="T98" s="50">
        <v>-27020</v>
      </c>
      <c r="U98" s="50" t="s">
        <v>1024</v>
      </c>
      <c r="V98" s="50" t="s">
        <v>1025</v>
      </c>
      <c r="W98" s="50"/>
      <c r="X98" s="86"/>
      <c r="Y98" s="6"/>
    </row>
    <row r="99" spans="14:25" x14ac:dyDescent="0.4">
      <c r="N99" s="25">
        <v>45833</v>
      </c>
      <c r="O99" s="26">
        <v>0.40010416666666659</v>
      </c>
      <c r="P99" s="50" t="s">
        <v>1073</v>
      </c>
      <c r="Q99" s="50" t="s">
        <v>1184</v>
      </c>
      <c r="R99" s="50" t="s">
        <v>1054</v>
      </c>
      <c r="S99" s="50" t="s">
        <v>1195</v>
      </c>
      <c r="T99" s="50">
        <v>100000</v>
      </c>
      <c r="U99" s="50" t="s">
        <v>1024</v>
      </c>
      <c r="V99" s="50" t="s">
        <v>1036</v>
      </c>
      <c r="W99" s="50"/>
      <c r="X99" s="86"/>
      <c r="Y99" s="6"/>
    </row>
    <row r="100" spans="14:25" x14ac:dyDescent="0.4">
      <c r="N100" s="25">
        <v>45833</v>
      </c>
      <c r="O100" s="26">
        <v>0.40771990740740738</v>
      </c>
      <c r="P100" s="50" t="s">
        <v>1020</v>
      </c>
      <c r="Q100" s="50" t="s">
        <v>1026</v>
      </c>
      <c r="R100" s="50" t="s">
        <v>1141</v>
      </c>
      <c r="S100" s="50" t="s">
        <v>1142</v>
      </c>
      <c r="T100" s="50">
        <v>-130000</v>
      </c>
      <c r="U100" s="50" t="s">
        <v>1024</v>
      </c>
      <c r="V100" s="50" t="s">
        <v>1036</v>
      </c>
      <c r="W100" s="50"/>
      <c r="X100" s="86"/>
      <c r="Y100" s="6"/>
    </row>
    <row r="101" spans="14:25" x14ac:dyDescent="0.4">
      <c r="N101" s="25">
        <v>45833</v>
      </c>
      <c r="O101" s="26">
        <v>0.40771990740740738</v>
      </c>
      <c r="P101" s="50" t="s">
        <v>1020</v>
      </c>
      <c r="Q101" s="50" t="s">
        <v>1026</v>
      </c>
      <c r="R101" s="50" t="s">
        <v>1139</v>
      </c>
      <c r="S101" s="50" t="s">
        <v>1140</v>
      </c>
      <c r="T101" s="50">
        <v>-100000</v>
      </c>
      <c r="U101" s="50" t="s">
        <v>1024</v>
      </c>
      <c r="V101" s="50" t="s">
        <v>1036</v>
      </c>
      <c r="W101" s="50"/>
      <c r="X101" s="86"/>
      <c r="Y101" s="6"/>
    </row>
    <row r="102" spans="14:25" x14ac:dyDescent="0.4">
      <c r="N102" s="25">
        <v>45833</v>
      </c>
      <c r="O102" s="26">
        <v>0.41991898148148149</v>
      </c>
      <c r="P102" s="50" t="s">
        <v>1020</v>
      </c>
      <c r="Q102" s="50" t="s">
        <v>1026</v>
      </c>
      <c r="R102" s="50" t="s">
        <v>1137</v>
      </c>
      <c r="S102" s="50" t="s">
        <v>1138</v>
      </c>
      <c r="T102" s="50">
        <v>-100000</v>
      </c>
      <c r="U102" s="50" t="s">
        <v>1024</v>
      </c>
      <c r="V102" s="50" t="s">
        <v>1036</v>
      </c>
      <c r="W102" s="50"/>
      <c r="X102" s="86"/>
      <c r="Y102" s="6"/>
    </row>
    <row r="103" spans="14:25" x14ac:dyDescent="0.4">
      <c r="N103" s="25">
        <v>45833</v>
      </c>
      <c r="O103" s="26">
        <v>0.47499999999999998</v>
      </c>
      <c r="P103" s="50" t="s">
        <v>1020</v>
      </c>
      <c r="Q103" s="50" t="s">
        <v>1026</v>
      </c>
      <c r="R103" s="50" t="s">
        <v>1115</v>
      </c>
      <c r="S103" s="50" t="s">
        <v>1136</v>
      </c>
      <c r="T103" s="50">
        <v>-62690</v>
      </c>
      <c r="U103" s="50" t="s">
        <v>1024</v>
      </c>
      <c r="V103" s="50" t="s">
        <v>1025</v>
      </c>
      <c r="W103" s="50"/>
      <c r="X103" s="86"/>
      <c r="Y103" s="6"/>
    </row>
    <row r="104" spans="14:25" x14ac:dyDescent="0.4">
      <c r="N104" s="25">
        <v>45833</v>
      </c>
      <c r="O104" s="26">
        <v>0.49600694444444438</v>
      </c>
      <c r="P104" s="50" t="s">
        <v>1020</v>
      </c>
      <c r="Q104" s="50" t="s">
        <v>1026</v>
      </c>
      <c r="R104" s="50" t="s">
        <v>1027</v>
      </c>
      <c r="S104" s="50" t="s">
        <v>1143</v>
      </c>
      <c r="T104" s="50">
        <v>-13900</v>
      </c>
      <c r="U104" s="50" t="s">
        <v>1024</v>
      </c>
      <c r="V104" s="50" t="s">
        <v>1025</v>
      </c>
      <c r="W104" s="50"/>
      <c r="X104" s="86"/>
      <c r="Y104" s="6"/>
    </row>
    <row r="105" spans="14:25" x14ac:dyDescent="0.4">
      <c r="N105" s="25">
        <v>45833</v>
      </c>
      <c r="O105" s="26">
        <v>0.81373842592592593</v>
      </c>
      <c r="P105" s="50" t="s">
        <v>1020</v>
      </c>
      <c r="Q105" s="50" t="s">
        <v>1026</v>
      </c>
      <c r="R105" s="50" t="s">
        <v>1115</v>
      </c>
      <c r="S105" s="50" t="s">
        <v>1541</v>
      </c>
      <c r="T105" s="50">
        <v>-224943</v>
      </c>
      <c r="U105" s="50" t="s">
        <v>1024</v>
      </c>
      <c r="V105" s="50" t="s">
        <v>1036</v>
      </c>
      <c r="W105" s="50"/>
      <c r="X105" s="86"/>
      <c r="Y105" s="6"/>
    </row>
    <row r="106" spans="14:25" x14ac:dyDescent="0.4">
      <c r="N106" s="25">
        <v>45833</v>
      </c>
      <c r="O106" s="26">
        <v>0.82589120370370372</v>
      </c>
      <c r="P106" s="50" t="s">
        <v>1020</v>
      </c>
      <c r="Q106" s="50" t="s">
        <v>1148</v>
      </c>
      <c r="R106" s="50" t="s">
        <v>1149</v>
      </c>
      <c r="S106" s="50" t="s">
        <v>1150</v>
      </c>
      <c r="T106" s="50">
        <v>-890043</v>
      </c>
      <c r="U106" s="50" t="s">
        <v>1024</v>
      </c>
      <c r="V106" s="50" t="s">
        <v>1036</v>
      </c>
      <c r="W106" s="50"/>
      <c r="X106" s="6"/>
      <c r="Y106" s="6"/>
    </row>
    <row r="107" spans="14:25" x14ac:dyDescent="0.4">
      <c r="N107" s="25">
        <v>45834</v>
      </c>
      <c r="O107" s="26">
        <v>0.16731481481481481</v>
      </c>
      <c r="P107" s="50" t="s">
        <v>1073</v>
      </c>
      <c r="Q107" s="50" t="s">
        <v>1218</v>
      </c>
      <c r="R107" s="50" t="s">
        <v>1054</v>
      </c>
      <c r="S107" s="50" t="s">
        <v>1219</v>
      </c>
      <c r="T107" s="50">
        <v>1347</v>
      </c>
      <c r="U107" s="50" t="s">
        <v>1024</v>
      </c>
      <c r="V107" s="50" t="s">
        <v>1216</v>
      </c>
      <c r="W107" s="50"/>
      <c r="X107" s="6"/>
      <c r="Y107" s="6"/>
    </row>
    <row r="108" spans="14:25" x14ac:dyDescent="0.4">
      <c r="N108" s="25">
        <v>45834</v>
      </c>
      <c r="O108" s="26">
        <v>0.45120370370370372</v>
      </c>
      <c r="P108" s="50" t="s">
        <v>1073</v>
      </c>
      <c r="Q108" s="50" t="s">
        <v>1184</v>
      </c>
      <c r="R108" s="50" t="s">
        <v>1054</v>
      </c>
      <c r="S108" s="50" t="s">
        <v>1195</v>
      </c>
      <c r="T108" s="50">
        <v>75000</v>
      </c>
      <c r="U108" s="50" t="s">
        <v>1024</v>
      </c>
      <c r="V108" s="50" t="s">
        <v>1036</v>
      </c>
      <c r="W108" s="50"/>
      <c r="X108" s="6"/>
      <c r="Y108" s="6"/>
    </row>
    <row r="109" spans="14:25" x14ac:dyDescent="0.4">
      <c r="N109" s="25">
        <v>45835</v>
      </c>
      <c r="O109" s="26">
        <v>0.19961805555555559</v>
      </c>
      <c r="P109" s="50" t="s">
        <v>1073</v>
      </c>
      <c r="Q109" s="50" t="s">
        <v>1218</v>
      </c>
      <c r="R109" s="50" t="s">
        <v>1054</v>
      </c>
      <c r="S109" s="50" t="s">
        <v>1219</v>
      </c>
      <c r="T109" s="50">
        <v>1347</v>
      </c>
      <c r="U109" s="50" t="s">
        <v>1024</v>
      </c>
      <c r="V109" s="50" t="s">
        <v>1216</v>
      </c>
      <c r="W109" s="50"/>
      <c r="X109" s="6"/>
      <c r="Y109" s="6"/>
    </row>
    <row r="110" spans="14:25" x14ac:dyDescent="0.4">
      <c r="N110" s="25">
        <v>45835</v>
      </c>
      <c r="O110" s="26">
        <v>0.67700231481481477</v>
      </c>
      <c r="P110" s="50" t="s">
        <v>1020</v>
      </c>
      <c r="Q110" s="50" t="s">
        <v>1042</v>
      </c>
      <c r="R110" s="50" t="s">
        <v>1054</v>
      </c>
      <c r="S110" s="50" t="s">
        <v>1342</v>
      </c>
      <c r="T110" s="50">
        <v>-300000</v>
      </c>
      <c r="U110" s="50" t="s">
        <v>1024</v>
      </c>
      <c r="V110" s="50" t="s">
        <v>1099</v>
      </c>
      <c r="W110" s="50"/>
      <c r="X110" s="6"/>
      <c r="Y110" s="6"/>
    </row>
    <row r="111" spans="14:25" x14ac:dyDescent="0.4">
      <c r="N111" s="25">
        <v>45835</v>
      </c>
      <c r="O111" s="26">
        <v>0.67986111111111114</v>
      </c>
      <c r="P111" s="50" t="s">
        <v>1020</v>
      </c>
      <c r="Q111" s="50" t="s">
        <v>1029</v>
      </c>
      <c r="R111" s="50" t="s">
        <v>1070</v>
      </c>
      <c r="S111" s="50" t="s">
        <v>1542</v>
      </c>
      <c r="T111" s="50">
        <v>-10400</v>
      </c>
      <c r="U111" s="50" t="s">
        <v>1024</v>
      </c>
      <c r="V111" s="50" t="s">
        <v>1164</v>
      </c>
      <c r="W111" s="50" t="s">
        <v>1543</v>
      </c>
      <c r="X111" s="6"/>
      <c r="Y111" s="6"/>
    </row>
    <row r="112" spans="14:25" x14ac:dyDescent="0.4">
      <c r="N112" s="25">
        <v>45835</v>
      </c>
      <c r="O112" s="26">
        <v>0.74701388888888887</v>
      </c>
      <c r="P112" s="50" t="s">
        <v>1020</v>
      </c>
      <c r="Q112" s="50" t="s">
        <v>1047</v>
      </c>
      <c r="R112" s="50" t="s">
        <v>1047</v>
      </c>
      <c r="S112" s="50" t="s">
        <v>1544</v>
      </c>
      <c r="T112" s="50">
        <v>-129000</v>
      </c>
      <c r="U112" s="50" t="s">
        <v>1024</v>
      </c>
      <c r="V112" s="50" t="s">
        <v>1025</v>
      </c>
      <c r="W112" s="50" t="s">
        <v>1545</v>
      </c>
      <c r="X112" s="6"/>
      <c r="Y112" s="6"/>
    </row>
    <row r="113" spans="14:25" x14ac:dyDescent="0.4">
      <c r="N113" s="25">
        <v>45836</v>
      </c>
      <c r="O113" s="26">
        <v>0.1549189814814815</v>
      </c>
      <c r="P113" s="50" t="s">
        <v>1073</v>
      </c>
      <c r="Q113" s="50" t="s">
        <v>1218</v>
      </c>
      <c r="R113" s="50" t="s">
        <v>1054</v>
      </c>
      <c r="S113" s="50" t="s">
        <v>1219</v>
      </c>
      <c r="T113" s="50">
        <v>1347</v>
      </c>
      <c r="U113" s="50" t="s">
        <v>1024</v>
      </c>
      <c r="V113" s="50" t="s">
        <v>1216</v>
      </c>
      <c r="W113" s="50"/>
      <c r="X113" s="6"/>
      <c r="Y113" s="6"/>
    </row>
    <row r="114" spans="14:25" x14ac:dyDescent="0.4">
      <c r="N114" s="25">
        <v>45836</v>
      </c>
      <c r="O114" s="26">
        <v>0.48679398148148151</v>
      </c>
      <c r="P114" s="50" t="s">
        <v>1020</v>
      </c>
      <c r="Q114" s="50" t="s">
        <v>1029</v>
      </c>
      <c r="R114" s="50" t="s">
        <v>1070</v>
      </c>
      <c r="S114" s="50" t="s">
        <v>1483</v>
      </c>
      <c r="T114" s="50">
        <v>-39000</v>
      </c>
      <c r="U114" s="50" t="s">
        <v>1024</v>
      </c>
      <c r="V114" s="50" t="s">
        <v>1099</v>
      </c>
      <c r="W114" s="50" t="s">
        <v>1546</v>
      </c>
      <c r="X114" s="6"/>
      <c r="Y114" s="6"/>
    </row>
    <row r="115" spans="14:25" x14ac:dyDescent="0.4">
      <c r="N115" s="25">
        <v>45836</v>
      </c>
      <c r="O115" s="26">
        <v>0.5046180555555555</v>
      </c>
      <c r="P115" s="50" t="s">
        <v>1020</v>
      </c>
      <c r="Q115" s="50" t="s">
        <v>1047</v>
      </c>
      <c r="R115" s="50" t="s">
        <v>1177</v>
      </c>
      <c r="S115" s="50" t="s">
        <v>1483</v>
      </c>
      <c r="T115" s="50">
        <v>-139500</v>
      </c>
      <c r="U115" s="50" t="s">
        <v>1024</v>
      </c>
      <c r="V115" s="50" t="s">
        <v>1099</v>
      </c>
      <c r="W115" s="50" t="s">
        <v>1547</v>
      </c>
      <c r="X115" s="6"/>
      <c r="Y115" s="6"/>
    </row>
    <row r="116" spans="14:25" x14ac:dyDescent="0.4">
      <c r="N116" s="25">
        <v>45836</v>
      </c>
      <c r="O116" s="26">
        <v>0.51553240740740736</v>
      </c>
      <c r="P116" s="50" t="s">
        <v>1020</v>
      </c>
      <c r="Q116" s="50" t="s">
        <v>1047</v>
      </c>
      <c r="R116" s="50" t="s">
        <v>1177</v>
      </c>
      <c r="S116" s="50" t="s">
        <v>1483</v>
      </c>
      <c r="T116" s="50">
        <v>-60000</v>
      </c>
      <c r="U116" s="50" t="s">
        <v>1024</v>
      </c>
      <c r="V116" s="50" t="s">
        <v>1099</v>
      </c>
      <c r="W116" s="50" t="s">
        <v>1548</v>
      </c>
      <c r="X116" s="6"/>
      <c r="Y116" s="6"/>
    </row>
    <row r="117" spans="14:25" x14ac:dyDescent="0.4">
      <c r="N117" s="25">
        <v>45836</v>
      </c>
      <c r="O117" s="26">
        <v>0.52324074074074078</v>
      </c>
      <c r="P117" s="50" t="s">
        <v>1020</v>
      </c>
      <c r="Q117" s="50" t="s">
        <v>1029</v>
      </c>
      <c r="R117" s="50" t="s">
        <v>1030</v>
      </c>
      <c r="S117" s="50" t="s">
        <v>1549</v>
      </c>
      <c r="T117" s="50">
        <v>-12700</v>
      </c>
      <c r="U117" s="50" t="s">
        <v>1024</v>
      </c>
      <c r="V117" s="50" t="s">
        <v>1099</v>
      </c>
      <c r="W117" s="50" t="s">
        <v>1550</v>
      </c>
      <c r="X117" s="6"/>
      <c r="Y117" s="6"/>
    </row>
    <row r="118" spans="14:25" x14ac:dyDescent="0.4">
      <c r="N118" s="25">
        <v>45836</v>
      </c>
      <c r="O118" s="26">
        <v>0.54101851851851857</v>
      </c>
      <c r="P118" s="50" t="s">
        <v>1020</v>
      </c>
      <c r="Q118" s="50" t="s">
        <v>1029</v>
      </c>
      <c r="R118" s="50" t="s">
        <v>1045</v>
      </c>
      <c r="S118" s="50" t="s">
        <v>1031</v>
      </c>
      <c r="T118" s="50">
        <v>-31900</v>
      </c>
      <c r="U118" s="50" t="s">
        <v>1024</v>
      </c>
      <c r="V118" s="50" t="s">
        <v>1025</v>
      </c>
      <c r="W118" s="50" t="s">
        <v>1551</v>
      </c>
      <c r="X118" s="6"/>
      <c r="Y118" s="6"/>
    </row>
    <row r="119" spans="14:25" x14ac:dyDescent="0.4">
      <c r="N119" s="25">
        <v>45836</v>
      </c>
      <c r="O119" s="26">
        <v>0.54434027777777783</v>
      </c>
      <c r="P119" s="50" t="s">
        <v>1020</v>
      </c>
      <c r="Q119" s="50" t="s">
        <v>1029</v>
      </c>
      <c r="R119" s="50" t="s">
        <v>1030</v>
      </c>
      <c r="S119" s="50" t="s">
        <v>1031</v>
      </c>
      <c r="T119" s="50">
        <v>-23400</v>
      </c>
      <c r="U119" s="50" t="s">
        <v>1024</v>
      </c>
      <c r="V119" s="50" t="s">
        <v>1025</v>
      </c>
      <c r="W119" s="50" t="s">
        <v>1552</v>
      </c>
      <c r="X119" s="6"/>
      <c r="Y119" s="6"/>
    </row>
    <row r="120" spans="14:25" x14ac:dyDescent="0.4">
      <c r="N120" s="25">
        <v>45837</v>
      </c>
      <c r="O120" s="26">
        <v>0.1554861111111111</v>
      </c>
      <c r="P120" s="50" t="s">
        <v>1073</v>
      </c>
      <c r="Q120" s="50" t="s">
        <v>1218</v>
      </c>
      <c r="R120" s="50" t="s">
        <v>1054</v>
      </c>
      <c r="S120" s="50" t="s">
        <v>1219</v>
      </c>
      <c r="T120" s="50">
        <v>1347</v>
      </c>
      <c r="U120" s="50" t="s">
        <v>1024</v>
      </c>
      <c r="V120" s="50" t="s">
        <v>1216</v>
      </c>
      <c r="W120" s="50"/>
      <c r="X120" s="6"/>
      <c r="Y120" s="6"/>
    </row>
    <row r="121" spans="14:25" x14ac:dyDescent="0.4">
      <c r="N121" s="25">
        <v>45837</v>
      </c>
      <c r="O121" s="26">
        <v>0.42451388888888891</v>
      </c>
      <c r="P121" s="50" t="s">
        <v>1020</v>
      </c>
      <c r="Q121" s="50" t="s">
        <v>1026</v>
      </c>
      <c r="R121" s="50" t="s">
        <v>1151</v>
      </c>
      <c r="S121" s="50" t="s">
        <v>1553</v>
      </c>
      <c r="T121" s="50">
        <v>-75990</v>
      </c>
      <c r="U121" s="50" t="s">
        <v>1024</v>
      </c>
      <c r="V121" s="50" t="s">
        <v>1036</v>
      </c>
      <c r="W121" s="50"/>
      <c r="X121" s="6"/>
      <c r="Y121" s="6"/>
    </row>
    <row r="122" spans="14:25" x14ac:dyDescent="0.4">
      <c r="N122" s="25">
        <v>45837</v>
      </c>
      <c r="O122" s="26">
        <v>0.6701273148148148</v>
      </c>
      <c r="P122" s="50" t="s">
        <v>1073</v>
      </c>
      <c r="Q122" s="50" t="s">
        <v>1047</v>
      </c>
      <c r="R122" s="50" t="s">
        <v>1054</v>
      </c>
      <c r="S122" s="50" t="s">
        <v>1554</v>
      </c>
      <c r="T122" s="50">
        <v>1</v>
      </c>
      <c r="U122" s="50" t="s">
        <v>1024</v>
      </c>
      <c r="V122" s="50" t="s">
        <v>1036</v>
      </c>
      <c r="W122" s="50"/>
      <c r="X122" s="6"/>
      <c r="Y122" s="6"/>
    </row>
    <row r="123" spans="14:25" x14ac:dyDescent="0.4">
      <c r="N123" s="25">
        <v>45838</v>
      </c>
      <c r="O123" s="26">
        <v>0.15381944444444451</v>
      </c>
      <c r="P123" s="50" t="s">
        <v>1073</v>
      </c>
      <c r="Q123" s="50" t="s">
        <v>1218</v>
      </c>
      <c r="R123" s="50" t="s">
        <v>1054</v>
      </c>
      <c r="S123" s="50" t="s">
        <v>1219</v>
      </c>
      <c r="T123" s="50">
        <v>1347</v>
      </c>
      <c r="U123" s="50" t="s">
        <v>1024</v>
      </c>
      <c r="V123" s="50" t="s">
        <v>1216</v>
      </c>
      <c r="W123" s="50"/>
      <c r="X123" s="6"/>
      <c r="Y123" s="6"/>
    </row>
    <row r="124" spans="14:25" x14ac:dyDescent="0.4">
      <c r="N124" s="25">
        <v>45838</v>
      </c>
      <c r="O124" s="26">
        <v>0.6399421296296296</v>
      </c>
      <c r="P124" s="50" t="s">
        <v>1020</v>
      </c>
      <c r="Q124" s="50" t="s">
        <v>1022</v>
      </c>
      <c r="R124" s="50" t="s">
        <v>1032</v>
      </c>
      <c r="S124" s="50" t="s">
        <v>1437</v>
      </c>
      <c r="T124" s="50">
        <v>-7800</v>
      </c>
      <c r="U124" s="50" t="s">
        <v>1024</v>
      </c>
      <c r="V124" s="50" t="s">
        <v>1025</v>
      </c>
      <c r="W124" s="50"/>
      <c r="X124" s="6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</sheetData>
  <autoFilter ref="N2:Y124" xr:uid="{11B47028-C17C-47C6-A882-4705ECF29BE6}"/>
  <mergeCells count="3">
    <mergeCell ref="O1:P1"/>
    <mergeCell ref="A19:D19"/>
    <mergeCell ref="I20:J20"/>
  </mergeCells>
  <phoneticPr fontId="2" type="noConversion"/>
  <conditionalFormatting sqref="G74:G80 I74:I80">
    <cfRule type="cellIs" dxfId="63" priority="1" operator="lessThan">
      <formula>0</formula>
    </cfRule>
    <cfRule type="cellIs" dxfId="62" priority="2" operator="greaterThan">
      <formula>0</formula>
    </cfRule>
  </conditionalFormatting>
  <conditionalFormatting sqref="I3:I18">
    <cfRule type="cellIs" dxfId="61" priority="4" operator="greaterThan">
      <formula>0</formula>
    </cfRule>
    <cfRule type="cellIs" dxfId="60" priority="5" operator="lessThan">
      <formula>0</formula>
    </cfRule>
  </conditionalFormatting>
  <conditionalFormatting sqref="K6:K20">
    <cfRule type="cellIs" dxfId="59" priority="3" operator="lessThan">
      <formula>0</formula>
    </cfRule>
  </conditionalFormatting>
  <conditionalFormatting sqref="L3:L20">
    <cfRule type="cellIs" dxfId="58" priority="6" operator="greaterThan">
      <formula>1</formula>
    </cfRule>
    <cfRule type="cellIs" dxfId="57" priority="7" operator="equal">
      <formula>1</formula>
    </cfRule>
    <cfRule type="cellIs" dxfId="56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B459-29F2-4FA2-8702-4258BA4A281F}">
  <dimension ref="A1:Y218"/>
  <sheetViews>
    <sheetView zoomScale="80" zoomScaleNormal="80" workbookViewId="0">
      <pane ySplit="2" topLeftCell="A3" activePane="bottomLeft" state="frozen"/>
      <selection activeCell="E1" sqref="E1"/>
      <selection pane="bottomLeft" activeCell="J27" sqref="J27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202506</v>
      </c>
      <c r="K1" s="46" t="s">
        <v>923</v>
      </c>
      <c r="L1" s="46">
        <v>202507</v>
      </c>
      <c r="N1" s="27" t="s">
        <v>950</v>
      </c>
      <c r="O1" s="133">
        <f>SUMIF(P3:P234,"지출",T3:T234)</f>
        <v>-8361925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202507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-890043</v>
      </c>
      <c r="I3" s="41">
        <f ca="1">J3-H3</f>
        <v>11954</v>
      </c>
      <c r="J3" s="43">
        <f>VLOOKUP(A3,대출!$B$4:$G$363,3,FALSE)*-1</f>
        <v>-878089</v>
      </c>
      <c r="K3" s="43">
        <f>G3+J3</f>
        <v>21911</v>
      </c>
      <c r="L3" s="24">
        <f>IF(G3=0,0,-J3/G3)</f>
        <v>0.97565444444444449</v>
      </c>
      <c r="N3" s="25">
        <v>45839</v>
      </c>
      <c r="O3" s="26">
        <v>0.1648958333333333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1347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202507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SUMIFS($T$3:$T$234,$P$3:$P$234,"지출",$Q$3:$Q$234,C4,$R$3:$R$234,D4)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45839</v>
      </c>
      <c r="O4" s="26">
        <v>0.84380787037037042</v>
      </c>
      <c r="P4" s="50" t="s">
        <v>1020</v>
      </c>
      <c r="Q4" s="50" t="s">
        <v>1029</v>
      </c>
      <c r="R4" s="50" t="s">
        <v>1030</v>
      </c>
      <c r="S4" s="50" t="s">
        <v>1031</v>
      </c>
      <c r="T4" s="50">
        <v>-18780</v>
      </c>
      <c r="U4" s="50" t="s">
        <v>1024</v>
      </c>
      <c r="V4" s="50" t="s">
        <v>1025</v>
      </c>
      <c r="W4" s="50" t="s">
        <v>1555</v>
      </c>
      <c r="X4" s="86"/>
      <c r="Y4" s="4"/>
    </row>
    <row r="5" spans="1:25" x14ac:dyDescent="0.4">
      <c r="A5" s="4">
        <f t="shared" si="0"/>
        <v>202507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-163890</v>
      </c>
      <c r="I5" s="41">
        <f ca="1">J5-H5</f>
        <v>100200</v>
      </c>
      <c r="J5" s="44">
        <f t="shared" si="3"/>
        <v>-63690</v>
      </c>
      <c r="K5" s="44">
        <f t="shared" si="4"/>
        <v>-19690</v>
      </c>
      <c r="L5" s="19">
        <f t="shared" si="5"/>
        <v>1.4475</v>
      </c>
      <c r="N5" s="25">
        <v>45840</v>
      </c>
      <c r="O5" s="26">
        <v>0.1661111111111111</v>
      </c>
      <c r="P5" s="50" t="s">
        <v>1073</v>
      </c>
      <c r="Q5" s="50" t="s">
        <v>1218</v>
      </c>
      <c r="R5" s="50" t="s">
        <v>1054</v>
      </c>
      <c r="S5" s="50" t="s">
        <v>1219</v>
      </c>
      <c r="T5" s="50">
        <v>1347</v>
      </c>
      <c r="U5" s="50" t="s">
        <v>1024</v>
      </c>
      <c r="V5" s="50" t="s">
        <v>1216</v>
      </c>
      <c r="W5" s="50"/>
      <c r="X5" s="86"/>
      <c r="Y5" s="6"/>
    </row>
    <row r="6" spans="1:25" x14ac:dyDescent="0.4">
      <c r="A6" s="4">
        <f t="shared" si="0"/>
        <v>202507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-241360</v>
      </c>
      <c r="I6" s="41">
        <f t="shared" ref="I6:I18" ca="1" si="7">J6-H6</f>
        <v>-15470</v>
      </c>
      <c r="J6" s="44">
        <f t="shared" si="3"/>
        <v>-256830</v>
      </c>
      <c r="K6" s="44">
        <f t="shared" si="4"/>
        <v>73170</v>
      </c>
      <c r="L6" s="19">
        <f t="shared" si="5"/>
        <v>0.77827272727272723</v>
      </c>
      <c r="N6" s="25">
        <v>45841</v>
      </c>
      <c r="O6" s="26">
        <v>0.16627314814814809</v>
      </c>
      <c r="P6" s="50" t="s">
        <v>1073</v>
      </c>
      <c r="Q6" s="50" t="s">
        <v>1218</v>
      </c>
      <c r="R6" s="50" t="s">
        <v>1054</v>
      </c>
      <c r="S6" s="50" t="s">
        <v>1219</v>
      </c>
      <c r="T6" s="50">
        <v>1347</v>
      </c>
      <c r="U6" s="50" t="s">
        <v>1024</v>
      </c>
      <c r="V6" s="50" t="s">
        <v>1216</v>
      </c>
      <c r="W6" s="50"/>
      <c r="X6" s="86"/>
      <c r="Y6" s="6"/>
    </row>
    <row r="7" spans="1:25" x14ac:dyDescent="0.4">
      <c r="A7" s="4">
        <f t="shared" si="0"/>
        <v>202507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45841</v>
      </c>
      <c r="O7" s="26">
        <v>0.40195601851851848</v>
      </c>
      <c r="P7" s="50" t="s">
        <v>1020</v>
      </c>
      <c r="Q7" s="50" t="s">
        <v>1026</v>
      </c>
      <c r="R7" s="50" t="s">
        <v>1027</v>
      </c>
      <c r="S7" s="50" t="s">
        <v>1028</v>
      </c>
      <c r="T7" s="50">
        <v>-7890</v>
      </c>
      <c r="U7" s="50" t="s">
        <v>1024</v>
      </c>
      <c r="V7" s="50" t="s">
        <v>1025</v>
      </c>
      <c r="W7" s="50"/>
      <c r="X7" s="86"/>
      <c r="Y7" s="6"/>
    </row>
    <row r="8" spans="1:25" x14ac:dyDescent="0.4">
      <c r="A8" s="4">
        <f>$L$1</f>
        <v>202507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45841</v>
      </c>
      <c r="O8" s="26">
        <v>0.57298611111111108</v>
      </c>
      <c r="P8" s="50" t="s">
        <v>1073</v>
      </c>
      <c r="Q8" s="50" t="s">
        <v>1047</v>
      </c>
      <c r="R8" s="50" t="s">
        <v>1054</v>
      </c>
      <c r="S8" s="50" t="s">
        <v>1556</v>
      </c>
      <c r="T8" s="50">
        <v>1</v>
      </c>
      <c r="U8" s="50" t="s">
        <v>1024</v>
      </c>
      <c r="V8" s="50" t="s">
        <v>1036</v>
      </c>
      <c r="W8" s="50"/>
      <c r="X8" s="86"/>
      <c r="Y8" s="6"/>
    </row>
    <row r="9" spans="1:25" x14ac:dyDescent="0.4">
      <c r="A9" s="4">
        <f t="shared" si="0"/>
        <v>202507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45841</v>
      </c>
      <c r="O9" s="26">
        <v>0.57496527777777773</v>
      </c>
      <c r="P9" s="50" t="s">
        <v>1020</v>
      </c>
      <c r="Q9" s="50" t="s">
        <v>1029</v>
      </c>
      <c r="R9" s="50" t="s">
        <v>1030</v>
      </c>
      <c r="S9" s="50" t="s">
        <v>1557</v>
      </c>
      <c r="T9" s="50">
        <v>-5029</v>
      </c>
      <c r="U9" s="50" t="s">
        <v>1024</v>
      </c>
      <c r="V9" s="50" t="s">
        <v>1228</v>
      </c>
      <c r="W9" s="50" t="s">
        <v>1558</v>
      </c>
      <c r="X9" s="86"/>
      <c r="Y9" s="6"/>
    </row>
    <row r="10" spans="1:25" x14ac:dyDescent="0.4">
      <c r="A10" s="4">
        <f t="shared" si="0"/>
        <v>202507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-75990</v>
      </c>
      <c r="I10" s="41">
        <f t="shared" ca="1" si="7"/>
        <v>-29640</v>
      </c>
      <c r="J10" s="44">
        <f t="shared" si="3"/>
        <v>-105630</v>
      </c>
      <c r="K10" s="44">
        <f t="shared" si="4"/>
        <v>54370</v>
      </c>
      <c r="L10" s="19">
        <f t="shared" si="5"/>
        <v>0.66018750000000004</v>
      </c>
      <c r="N10" s="25">
        <v>45841</v>
      </c>
      <c r="O10" s="26">
        <v>0.57496527777777773</v>
      </c>
      <c r="P10" s="50" t="s">
        <v>1020</v>
      </c>
      <c r="Q10" s="50" t="s">
        <v>1029</v>
      </c>
      <c r="R10" s="50" t="s">
        <v>1030</v>
      </c>
      <c r="S10" s="50" t="s">
        <v>1557</v>
      </c>
      <c r="T10" s="50">
        <v>-7271</v>
      </c>
      <c r="U10" s="50" t="s">
        <v>1024</v>
      </c>
      <c r="V10" s="50" t="s">
        <v>1297</v>
      </c>
      <c r="W10" s="50" t="s">
        <v>1558</v>
      </c>
      <c r="X10" s="86"/>
      <c r="Y10" s="6"/>
    </row>
    <row r="11" spans="1:25" x14ac:dyDescent="0.4">
      <c r="A11" s="4">
        <f t="shared" si="0"/>
        <v>202507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45841</v>
      </c>
      <c r="O11" s="26">
        <v>0.57909722222222226</v>
      </c>
      <c r="P11" s="50" t="s">
        <v>1020</v>
      </c>
      <c r="Q11" s="50" t="s">
        <v>1047</v>
      </c>
      <c r="R11" s="50" t="s">
        <v>1048</v>
      </c>
      <c r="S11" s="50" t="s">
        <v>1557</v>
      </c>
      <c r="T11" s="50">
        <v>-12300</v>
      </c>
      <c r="U11" s="50" t="s">
        <v>1024</v>
      </c>
      <c r="V11" s="50" t="s">
        <v>1228</v>
      </c>
      <c r="W11" s="50" t="s">
        <v>1559</v>
      </c>
      <c r="X11" s="86"/>
      <c r="Y11" s="6"/>
    </row>
    <row r="12" spans="1:25" x14ac:dyDescent="0.4">
      <c r="A12" s="4">
        <f t="shared" si="0"/>
        <v>202507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-725180</v>
      </c>
      <c r="I12" s="41">
        <f t="shared" ca="1" si="7"/>
        <v>-1378101</v>
      </c>
      <c r="J12" s="44">
        <f t="shared" ref="J12:J18" si="8">SUMIFS($T$3:$T$234,$P$3:$P$234,"지출",$Q$3:$Q$234,C12)</f>
        <v>-2103281</v>
      </c>
      <c r="K12" s="45">
        <f t="shared" si="4"/>
        <v>-1753281</v>
      </c>
      <c r="L12" s="19">
        <f t="shared" si="5"/>
        <v>6.0093742857142853</v>
      </c>
      <c r="N12" s="25">
        <v>45841</v>
      </c>
      <c r="O12" s="26">
        <v>0.63849537037037041</v>
      </c>
      <c r="P12" s="50" t="s">
        <v>1020</v>
      </c>
      <c r="Q12" s="50" t="s">
        <v>1029</v>
      </c>
      <c r="R12" s="50" t="s">
        <v>1070</v>
      </c>
      <c r="S12" s="50" t="s">
        <v>1560</v>
      </c>
      <c r="T12" s="50">
        <v>-45000</v>
      </c>
      <c r="U12" s="50" t="s">
        <v>1024</v>
      </c>
      <c r="V12" s="50" t="s">
        <v>1099</v>
      </c>
      <c r="W12" s="50"/>
      <c r="X12" s="86"/>
      <c r="Y12" s="6"/>
    </row>
    <row r="13" spans="1:25" x14ac:dyDescent="0.4">
      <c r="A13" s="4">
        <f t="shared" si="0"/>
        <v>202507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218900</v>
      </c>
      <c r="G13" s="18">
        <f t="shared" si="1"/>
        <v>218900</v>
      </c>
      <c r="H13" s="41">
        <f t="shared" ca="1" si="2"/>
        <v>-305300</v>
      </c>
      <c r="I13" s="41">
        <f t="shared" ca="1" si="7"/>
        <v>86400</v>
      </c>
      <c r="J13" s="44">
        <f t="shared" si="8"/>
        <v>-218900</v>
      </c>
      <c r="K13" s="44">
        <f t="shared" si="4"/>
        <v>0</v>
      </c>
      <c r="L13" s="19">
        <f t="shared" si="5"/>
        <v>1</v>
      </c>
      <c r="N13" s="25">
        <v>45841</v>
      </c>
      <c r="O13" s="26">
        <v>0.69027777777777777</v>
      </c>
      <c r="P13" s="50" t="s">
        <v>1073</v>
      </c>
      <c r="Q13" s="50" t="s">
        <v>1047</v>
      </c>
      <c r="R13" s="50" t="s">
        <v>1054</v>
      </c>
      <c r="S13" s="50" t="s">
        <v>1055</v>
      </c>
      <c r="T13" s="50">
        <v>4000</v>
      </c>
      <c r="U13" s="50" t="s">
        <v>1024</v>
      </c>
      <c r="V13" s="50" t="s">
        <v>1166</v>
      </c>
      <c r="W13" s="50"/>
      <c r="X13" s="86"/>
      <c r="Y13" s="6"/>
    </row>
    <row r="14" spans="1:25" x14ac:dyDescent="0.4">
      <c r="A14" s="4">
        <f t="shared" si="0"/>
        <v>202507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0</v>
      </c>
      <c r="G14" s="18">
        <f t="shared" si="1"/>
        <v>0</v>
      </c>
      <c r="H14" s="41">
        <f ca="1">INDIRECT($J$1&amp;"!J"&amp;ROW())</f>
        <v>-227500</v>
      </c>
      <c r="I14" s="41">
        <f t="shared" ca="1" si="7"/>
        <v>227500</v>
      </c>
      <c r="J14" s="44">
        <f t="shared" si="8"/>
        <v>0</v>
      </c>
      <c r="K14" s="44">
        <f t="shared" si="4"/>
        <v>0</v>
      </c>
      <c r="L14" s="19">
        <f t="shared" si="5"/>
        <v>0</v>
      </c>
      <c r="N14" s="25">
        <v>45841</v>
      </c>
      <c r="O14" s="26">
        <v>0.86276620370370372</v>
      </c>
      <c r="P14" s="50" t="s">
        <v>1053</v>
      </c>
      <c r="Q14" s="50" t="s">
        <v>1054</v>
      </c>
      <c r="R14" s="50" t="s">
        <v>1054</v>
      </c>
      <c r="S14" s="50" t="s">
        <v>1103</v>
      </c>
      <c r="T14" s="50">
        <v>7000000</v>
      </c>
      <c r="U14" s="50" t="s">
        <v>1024</v>
      </c>
      <c r="V14" s="50" t="s">
        <v>1214</v>
      </c>
      <c r="W14" s="50"/>
      <c r="X14" s="86"/>
      <c r="Y14" s="6"/>
    </row>
    <row r="15" spans="1:25" x14ac:dyDescent="0.4">
      <c r="A15" s="4">
        <f t="shared" si="0"/>
        <v>202507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-37200</v>
      </c>
      <c r="I15" s="41">
        <f t="shared" ca="1" si="7"/>
        <v>-186400</v>
      </c>
      <c r="J15" s="44">
        <f t="shared" si="8"/>
        <v>-223600</v>
      </c>
      <c r="K15" s="44">
        <f t="shared" si="4"/>
        <v>-223600</v>
      </c>
      <c r="L15" s="19">
        <f t="shared" si="5"/>
        <v>0</v>
      </c>
      <c r="N15" s="25">
        <v>45841</v>
      </c>
      <c r="O15" s="26">
        <v>0.86276620370370372</v>
      </c>
      <c r="P15" s="50" t="s">
        <v>1053</v>
      </c>
      <c r="Q15" s="50" t="s">
        <v>1054</v>
      </c>
      <c r="R15" s="50" t="s">
        <v>1054</v>
      </c>
      <c r="S15" s="50" t="s">
        <v>1103</v>
      </c>
      <c r="T15" s="50">
        <v>-7000000</v>
      </c>
      <c r="U15" s="50" t="s">
        <v>1024</v>
      </c>
      <c r="V15" s="50" t="s">
        <v>1036</v>
      </c>
      <c r="W15" s="50"/>
      <c r="X15" s="86"/>
      <c r="Y15" s="6"/>
    </row>
    <row r="16" spans="1:25" x14ac:dyDescent="0.4">
      <c r="A16" s="4">
        <f t="shared" si="0"/>
        <v>202507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-100000</v>
      </c>
      <c r="I16" s="41">
        <f t="shared" ca="1" si="7"/>
        <v>100000</v>
      </c>
      <c r="J16" s="44">
        <f t="shared" si="8"/>
        <v>0</v>
      </c>
      <c r="K16" s="44">
        <f t="shared" si="4"/>
        <v>0</v>
      </c>
      <c r="L16" s="19">
        <f t="shared" si="5"/>
        <v>0</v>
      </c>
      <c r="N16" s="25">
        <v>45841</v>
      </c>
      <c r="O16" s="26">
        <v>0.86300925925925931</v>
      </c>
      <c r="P16" s="50" t="s">
        <v>1053</v>
      </c>
      <c r="Q16" s="50" t="s">
        <v>1054</v>
      </c>
      <c r="R16" s="50" t="s">
        <v>1054</v>
      </c>
      <c r="S16" s="50" t="s">
        <v>1217</v>
      </c>
      <c r="T16" s="50">
        <v>-7000000</v>
      </c>
      <c r="U16" s="50" t="s">
        <v>1024</v>
      </c>
      <c r="V16" s="50" t="s">
        <v>1214</v>
      </c>
      <c r="W16" s="50"/>
      <c r="X16" s="86"/>
      <c r="Y16" s="6"/>
    </row>
    <row r="17" spans="1:25" x14ac:dyDescent="0.4">
      <c r="A17" s="4">
        <f t="shared" si="0"/>
        <v>202507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-314550</v>
      </c>
      <c r="J17" s="44">
        <f t="shared" si="8"/>
        <v>-314550</v>
      </c>
      <c r="K17" s="44">
        <f t="shared" si="4"/>
        <v>-314550</v>
      </c>
      <c r="L17" s="19">
        <f t="shared" si="5"/>
        <v>0</v>
      </c>
      <c r="N17" s="25">
        <v>45841</v>
      </c>
      <c r="O17" s="26">
        <v>0.86300925925925931</v>
      </c>
      <c r="P17" s="50" t="s">
        <v>1053</v>
      </c>
      <c r="Q17" s="50" t="s">
        <v>1054</v>
      </c>
      <c r="R17" s="50" t="s">
        <v>1054</v>
      </c>
      <c r="S17" s="50" t="s">
        <v>1215</v>
      </c>
      <c r="T17" s="50">
        <v>7000000</v>
      </c>
      <c r="U17" s="50" t="s">
        <v>1024</v>
      </c>
      <c r="V17" s="50" t="s">
        <v>1216</v>
      </c>
      <c r="W17" s="50"/>
      <c r="X17" s="86"/>
      <c r="Y17" s="6"/>
    </row>
    <row r="18" spans="1:25" x14ac:dyDescent="0.4">
      <c r="A18" s="4">
        <f t="shared" si="0"/>
        <v>202507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3543700</v>
      </c>
      <c r="G18" s="18">
        <f t="shared" si="1"/>
        <v>3893700</v>
      </c>
      <c r="H18" s="41">
        <f t="shared" ca="1" si="2"/>
        <v>-1139600</v>
      </c>
      <c r="I18" s="41">
        <f t="shared" ca="1" si="7"/>
        <v>-2404100</v>
      </c>
      <c r="J18" s="44">
        <f t="shared" si="8"/>
        <v>-3543700</v>
      </c>
      <c r="K18" s="44">
        <f t="shared" si="4"/>
        <v>350000</v>
      </c>
      <c r="L18" s="19">
        <f t="shared" si="5"/>
        <v>0.91011120528032463</v>
      </c>
      <c r="N18" s="25">
        <v>45841</v>
      </c>
      <c r="O18" s="26">
        <v>0.92173611111111109</v>
      </c>
      <c r="P18" s="50" t="s">
        <v>1020</v>
      </c>
      <c r="Q18" s="50" t="s">
        <v>1029</v>
      </c>
      <c r="R18" s="50" t="s">
        <v>1030</v>
      </c>
      <c r="S18" s="50" t="s">
        <v>1561</v>
      </c>
      <c r="T18" s="50">
        <v>-28660</v>
      </c>
      <c r="U18" s="50" t="s">
        <v>1024</v>
      </c>
      <c r="V18" s="50" t="s">
        <v>1025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3762600</v>
      </c>
      <c r="G19" s="20">
        <f t="shared" si="9"/>
        <v>6587600</v>
      </c>
      <c r="H19" s="42">
        <f t="shared" ca="1" si="9"/>
        <v>-4559718</v>
      </c>
      <c r="I19" s="42">
        <f t="shared" ca="1" si="9"/>
        <v>-3802207</v>
      </c>
      <c r="J19" s="45">
        <f t="shared" si="9"/>
        <v>-8361925</v>
      </c>
      <c r="K19" s="45">
        <f t="shared" si="9"/>
        <v>-1774325</v>
      </c>
      <c r="L19" s="21">
        <f>IF(G19=0,0,-J19/G19)</f>
        <v>1.2693431598761309</v>
      </c>
      <c r="N19" s="25">
        <v>45842</v>
      </c>
      <c r="O19" s="26">
        <v>0.21504629629629629</v>
      </c>
      <c r="P19" s="50" t="s">
        <v>1073</v>
      </c>
      <c r="Q19" s="50" t="s">
        <v>1218</v>
      </c>
      <c r="R19" s="50" t="s">
        <v>1054</v>
      </c>
      <c r="S19" s="50" t="s">
        <v>1219</v>
      </c>
      <c r="T19" s="50">
        <v>1614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-5536925</v>
      </c>
      <c r="L20" s="22">
        <f>IF(E19=0,0,-J19/E19)</f>
        <v>2.9599734513274338</v>
      </c>
      <c r="N20" s="25">
        <v>45842</v>
      </c>
      <c r="O20" s="26">
        <v>0.47464120370370372</v>
      </c>
      <c r="P20" s="50" t="s">
        <v>1020</v>
      </c>
      <c r="Q20" s="50" t="s">
        <v>1021</v>
      </c>
      <c r="R20" s="50" t="s">
        <v>1047</v>
      </c>
      <c r="S20" s="50" t="s">
        <v>1562</v>
      </c>
      <c r="T20" s="50">
        <v>-15500</v>
      </c>
      <c r="U20" s="50" t="s">
        <v>1024</v>
      </c>
      <c r="V20" s="50" t="s">
        <v>1036</v>
      </c>
      <c r="W20" s="50" t="s">
        <v>1563</v>
      </c>
      <c r="X20" s="86"/>
      <c r="Y20" s="6"/>
    </row>
    <row r="21" spans="1:25" x14ac:dyDescent="0.4">
      <c r="N21" s="25">
        <v>45842</v>
      </c>
      <c r="O21" s="26">
        <v>0.70005787037037037</v>
      </c>
      <c r="P21" s="50" t="s">
        <v>1020</v>
      </c>
      <c r="Q21" s="50" t="s">
        <v>1029</v>
      </c>
      <c r="R21" s="50" t="s">
        <v>1070</v>
      </c>
      <c r="S21" s="50" t="s">
        <v>1564</v>
      </c>
      <c r="T21" s="50">
        <v>-17000</v>
      </c>
      <c r="U21" s="50" t="s">
        <v>1024</v>
      </c>
      <c r="V21" s="50" t="s">
        <v>1025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45842</v>
      </c>
      <c r="O22" s="26">
        <v>0.88032407407407409</v>
      </c>
      <c r="P22" s="50" t="s">
        <v>1020</v>
      </c>
      <c r="Q22" s="50" t="s">
        <v>1021</v>
      </c>
      <c r="R22" s="50" t="s">
        <v>1022</v>
      </c>
      <c r="S22" s="50" t="s">
        <v>1565</v>
      </c>
      <c r="T22" s="50">
        <v>-46000</v>
      </c>
      <c r="U22" s="50" t="s">
        <v>1024</v>
      </c>
      <c r="V22" s="50" t="s">
        <v>1025</v>
      </c>
      <c r="W22" s="50"/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SUMIFS($T$3:$T$234,$P$3:$P$234,"지출",$Q$3:$Q$234,C23,$R$3:$R$234,D23)</f>
        <v>-922960</v>
      </c>
      <c r="N23" s="25">
        <v>45843</v>
      </c>
      <c r="O23" s="26">
        <v>9.329861111111111E-2</v>
      </c>
      <c r="P23" s="50" t="s">
        <v>1020</v>
      </c>
      <c r="Q23" s="50" t="s">
        <v>1021</v>
      </c>
      <c r="R23" s="50" t="s">
        <v>1566</v>
      </c>
      <c r="S23" s="50" t="s">
        <v>1437</v>
      </c>
      <c r="T23" s="50">
        <v>-1500</v>
      </c>
      <c r="U23" s="50" t="s">
        <v>1024</v>
      </c>
      <c r="V23" s="50" t="s">
        <v>1025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SUMIFS($T$3:$T$234,$P$3:$P$234,"지출",$Q$3:$Q$234,C24,$R$3:$R$234,D24)</f>
        <v>-300800</v>
      </c>
      <c r="N24" s="25">
        <v>45843</v>
      </c>
      <c r="O24" s="26">
        <v>9.3321759259259257E-2</v>
      </c>
      <c r="P24" s="50" t="s">
        <v>1020</v>
      </c>
      <c r="Q24" s="50" t="s">
        <v>1021</v>
      </c>
      <c r="R24" s="50" t="s">
        <v>1566</v>
      </c>
      <c r="S24" s="50" t="s">
        <v>1435</v>
      </c>
      <c r="T24" s="50">
        <v>-12400</v>
      </c>
      <c r="U24" s="50" t="s">
        <v>1024</v>
      </c>
      <c r="V24" s="50" t="s">
        <v>1025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SUMIFS($T$3:$T$234,$P$3:$P$234,"지출",$Q$3:$Q$234,C25,$R$3:$R$234,D25)</f>
        <v>-858864</v>
      </c>
      <c r="N25" s="25">
        <v>45843</v>
      </c>
      <c r="O25" s="26">
        <v>0.17964120370370371</v>
      </c>
      <c r="P25" s="50" t="s">
        <v>1073</v>
      </c>
      <c r="Q25" s="50" t="s">
        <v>1218</v>
      </c>
      <c r="R25" s="50" t="s">
        <v>1054</v>
      </c>
      <c r="S25" s="50" t="s">
        <v>1219</v>
      </c>
      <c r="T25" s="50">
        <v>1614</v>
      </c>
      <c r="U25" s="50" t="s">
        <v>1024</v>
      </c>
      <c r="V25" s="50" t="s">
        <v>1216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SUMIFS($T$3:$T$234,$P$3:$P$234,"지출",$Q$3:$Q$234,C26,$R$3:$R$234,D26)</f>
        <v>-20657</v>
      </c>
      <c r="N26" s="25">
        <v>45843</v>
      </c>
      <c r="O26" s="26">
        <v>0.42090277777777779</v>
      </c>
      <c r="P26" s="50" t="s">
        <v>1020</v>
      </c>
      <c r="Q26" s="50" t="s">
        <v>1029</v>
      </c>
      <c r="R26" s="50" t="s">
        <v>1070</v>
      </c>
      <c r="S26" s="50" t="s">
        <v>1567</v>
      </c>
      <c r="T26" s="50">
        <v>-24100</v>
      </c>
      <c r="U26" s="50" t="s">
        <v>1024</v>
      </c>
      <c r="V26" s="50" t="s">
        <v>1099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-2103281</v>
      </c>
      <c r="N27" s="25">
        <v>45843</v>
      </c>
      <c r="O27" s="26">
        <v>0.51896990740740745</v>
      </c>
      <c r="P27" s="50" t="s">
        <v>1020</v>
      </c>
      <c r="Q27" s="50" t="s">
        <v>1029</v>
      </c>
      <c r="R27" s="50" t="s">
        <v>1045</v>
      </c>
      <c r="S27" s="50" t="s">
        <v>1031</v>
      </c>
      <c r="T27" s="50">
        <v>-15900</v>
      </c>
      <c r="U27" s="50" t="s">
        <v>1024</v>
      </c>
      <c r="V27" s="50" t="s">
        <v>1025</v>
      </c>
      <c r="W27" s="50" t="s">
        <v>1568</v>
      </c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SUMIFS($T$3:$T$234,$P$3:$P$234,"지출",$Q$3:$Q$234,C28,$R$3:$R$234,D28)</f>
        <v>0</v>
      </c>
      <c r="N28" s="25">
        <v>45843</v>
      </c>
      <c r="O28" s="26">
        <v>0.53517361111111106</v>
      </c>
      <c r="P28" s="50" t="s">
        <v>1020</v>
      </c>
      <c r="Q28" s="50" t="s">
        <v>1047</v>
      </c>
      <c r="R28" s="50" t="s">
        <v>1063</v>
      </c>
      <c r="S28" s="50" t="s">
        <v>1569</v>
      </c>
      <c r="T28" s="50">
        <v>-200000</v>
      </c>
      <c r="U28" s="50" t="s">
        <v>1024</v>
      </c>
      <c r="V28" s="50" t="s">
        <v>1025</v>
      </c>
      <c r="W28" s="50" t="s">
        <v>1570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SUMIFS($T$3:$T$234,$P$3:$P$234,"지출",$Q$3:$Q$234,C29,$R$3:$R$234,D29)</f>
        <v>0</v>
      </c>
      <c r="N29" s="25">
        <v>45843</v>
      </c>
      <c r="O29" s="26">
        <v>0.57924768518518521</v>
      </c>
      <c r="P29" s="50" t="s">
        <v>1020</v>
      </c>
      <c r="Q29" s="50" t="s">
        <v>1029</v>
      </c>
      <c r="R29" s="50" t="s">
        <v>1045</v>
      </c>
      <c r="S29" s="50" t="s">
        <v>1571</v>
      </c>
      <c r="T29" s="50">
        <v>-106200</v>
      </c>
      <c r="U29" s="50" t="s">
        <v>1024</v>
      </c>
      <c r="V29" s="50" t="s">
        <v>1099</v>
      </c>
      <c r="W29" s="50" t="s">
        <v>1572</v>
      </c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SUMIFS($T$3:$T$234,$P$3:$P$234,"지출",$Q$3:$Q$234,C30,$R$3:$R$234,D30)</f>
        <v>0</v>
      </c>
      <c r="N30" s="25">
        <v>45843</v>
      </c>
      <c r="O30" s="26">
        <v>0.59513888888888888</v>
      </c>
      <c r="P30" s="50" t="s">
        <v>1020</v>
      </c>
      <c r="Q30" s="50" t="s">
        <v>1029</v>
      </c>
      <c r="R30" s="50" t="s">
        <v>1045</v>
      </c>
      <c r="S30" s="50" t="s">
        <v>1573</v>
      </c>
      <c r="T30" s="50">
        <v>-55800</v>
      </c>
      <c r="U30" s="50" t="s">
        <v>1024</v>
      </c>
      <c r="V30" s="50" t="s">
        <v>1228</v>
      </c>
      <c r="W30" s="50" t="s">
        <v>1574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0</v>
      </c>
      <c r="N31" s="25">
        <v>45843</v>
      </c>
      <c r="O31" s="26">
        <v>0.59682870370370367</v>
      </c>
      <c r="P31" s="50" t="s">
        <v>1020</v>
      </c>
      <c r="Q31" s="50" t="s">
        <v>1029</v>
      </c>
      <c r="R31" s="50" t="s">
        <v>1045</v>
      </c>
      <c r="S31" s="50" t="s">
        <v>1147</v>
      </c>
      <c r="T31" s="50">
        <v>-14900</v>
      </c>
      <c r="U31" s="50" t="s">
        <v>1024</v>
      </c>
      <c r="V31" s="50" t="s">
        <v>1025</v>
      </c>
      <c r="W31" s="50" t="s">
        <v>1575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SUMIFS($T$3:$T$234,$P$3:$P$234,"지출",$Q$3:$Q$234,C32,$R$3:$R$234,D32)</f>
        <v>-347400</v>
      </c>
      <c r="N32" s="25">
        <v>45843</v>
      </c>
      <c r="O32" s="26">
        <v>0.74950231481481477</v>
      </c>
      <c r="P32" s="50" t="s">
        <v>1020</v>
      </c>
      <c r="Q32" s="50" t="s">
        <v>1029</v>
      </c>
      <c r="R32" s="50" t="s">
        <v>1030</v>
      </c>
      <c r="S32" s="50" t="s">
        <v>1031</v>
      </c>
      <c r="T32" s="50">
        <v>-6090</v>
      </c>
      <c r="U32" s="50" t="s">
        <v>1024</v>
      </c>
      <c r="V32" s="50" t="s">
        <v>1025</v>
      </c>
      <c r="W32" s="50" t="s">
        <v>1576</v>
      </c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-2888000</v>
      </c>
      <c r="N33" s="25">
        <v>45844</v>
      </c>
      <c r="O33" s="26">
        <v>0.17966435185185181</v>
      </c>
      <c r="P33" s="50" t="s">
        <v>1073</v>
      </c>
      <c r="Q33" s="50" t="s">
        <v>1218</v>
      </c>
      <c r="R33" s="50" t="s">
        <v>1054</v>
      </c>
      <c r="S33" s="50" t="s">
        <v>1219</v>
      </c>
      <c r="T33" s="50">
        <v>1614</v>
      </c>
      <c r="U33" s="50" t="s">
        <v>1024</v>
      </c>
      <c r="V33" s="50" t="s">
        <v>1216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-99900</v>
      </c>
      <c r="N34" s="25">
        <v>45845</v>
      </c>
      <c r="O34" s="26">
        <v>0.17850694444444451</v>
      </c>
      <c r="P34" s="50" t="s">
        <v>1073</v>
      </c>
      <c r="Q34" s="50" t="s">
        <v>1218</v>
      </c>
      <c r="R34" s="50" t="s">
        <v>1054</v>
      </c>
      <c r="S34" s="50" t="s">
        <v>1219</v>
      </c>
      <c r="T34" s="50">
        <v>1614</v>
      </c>
      <c r="U34" s="50" t="s">
        <v>1024</v>
      </c>
      <c r="V34" s="50" t="s">
        <v>1216</v>
      </c>
      <c r="W34" s="50"/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-188400</v>
      </c>
      <c r="N35" s="25">
        <v>45845</v>
      </c>
      <c r="O35" s="26">
        <v>0.36827546296296299</v>
      </c>
      <c r="P35" s="50" t="s">
        <v>1073</v>
      </c>
      <c r="Q35" s="50" t="s">
        <v>1218</v>
      </c>
      <c r="R35" s="50" t="s">
        <v>1054</v>
      </c>
      <c r="S35" s="50" t="s">
        <v>1577</v>
      </c>
      <c r="T35" s="50">
        <v>2000</v>
      </c>
      <c r="U35" s="50" t="s">
        <v>1024</v>
      </c>
      <c r="V35" s="50" t="s">
        <v>1036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45845</v>
      </c>
      <c r="O36" s="26">
        <v>0.76356481481481486</v>
      </c>
      <c r="P36" s="50" t="s">
        <v>1020</v>
      </c>
      <c r="Q36" s="50" t="s">
        <v>1029</v>
      </c>
      <c r="R36" s="50" t="s">
        <v>1045</v>
      </c>
      <c r="S36" s="50" t="s">
        <v>1578</v>
      </c>
      <c r="T36" s="50">
        <v>-49674</v>
      </c>
      <c r="U36" s="50" t="s">
        <v>1024</v>
      </c>
      <c r="V36" s="50" t="s">
        <v>1099</v>
      </c>
      <c r="W36" s="50" t="s">
        <v>1579</v>
      </c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>
        <v>45845</v>
      </c>
      <c r="O37" s="26">
        <v>0.77431712962962962</v>
      </c>
      <c r="P37" s="50" t="s">
        <v>1020</v>
      </c>
      <c r="Q37" s="50" t="s">
        <v>1029</v>
      </c>
      <c r="R37" s="50" t="s">
        <v>1030</v>
      </c>
      <c r="S37" s="50" t="s">
        <v>1069</v>
      </c>
      <c r="T37" s="50">
        <v>-9900</v>
      </c>
      <c r="U37" s="50" t="s">
        <v>1024</v>
      </c>
      <c r="V37" s="50" t="s">
        <v>1025</v>
      </c>
      <c r="W37" s="50" t="s">
        <v>1580</v>
      </c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>
        <v>45846</v>
      </c>
      <c r="O38" s="26">
        <v>0.1796875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1614</v>
      </c>
      <c r="U38" s="50" t="s">
        <v>1024</v>
      </c>
      <c r="V38" s="50" t="s">
        <v>1216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-20000</v>
      </c>
      <c r="N39" s="25">
        <v>45847</v>
      </c>
      <c r="O39" s="26">
        <v>0.17929398148148151</v>
      </c>
      <c r="P39" s="50" t="s">
        <v>1073</v>
      </c>
      <c r="Q39" s="50" t="s">
        <v>1218</v>
      </c>
      <c r="R39" s="50" t="s">
        <v>1054</v>
      </c>
      <c r="S39" s="50" t="s">
        <v>1219</v>
      </c>
      <c r="T39" s="50">
        <v>1614</v>
      </c>
      <c r="U39" s="50" t="s">
        <v>1024</v>
      </c>
      <c r="V39" s="50" t="s">
        <v>1216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-3543700</v>
      </c>
      <c r="N40" s="25">
        <v>45848</v>
      </c>
      <c r="O40" s="26">
        <v>0.1822337962962963</v>
      </c>
      <c r="P40" s="50" t="s">
        <v>1073</v>
      </c>
      <c r="Q40" s="50" t="s">
        <v>1218</v>
      </c>
      <c r="R40" s="50" t="s">
        <v>1054</v>
      </c>
      <c r="S40" s="50" t="s">
        <v>1219</v>
      </c>
      <c r="T40" s="50">
        <v>1615</v>
      </c>
      <c r="U40" s="50" t="s">
        <v>1024</v>
      </c>
      <c r="V40" s="50" t="s">
        <v>1216</v>
      </c>
      <c r="W40" s="50"/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SUMIFS($T$3:$T$234,$P$3:$P$234,"지출",$Q$3:$Q$234,C41,$R$3:$R$234,D41)</f>
        <v>-102100</v>
      </c>
      <c r="N41" s="25">
        <v>45848</v>
      </c>
      <c r="O41" s="26">
        <v>0.27481481481481479</v>
      </c>
      <c r="P41" s="50" t="s">
        <v>1020</v>
      </c>
      <c r="Q41" s="50" t="s">
        <v>1026</v>
      </c>
      <c r="R41" s="50" t="s">
        <v>1151</v>
      </c>
      <c r="S41" s="50" t="s">
        <v>1581</v>
      </c>
      <c r="T41" s="50">
        <v>-8400</v>
      </c>
      <c r="U41" s="50" t="s">
        <v>1024</v>
      </c>
      <c r="V41" s="50" t="s">
        <v>1025</v>
      </c>
      <c r="W41" s="50" t="s">
        <v>1582</v>
      </c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SUMIFS($T$3:$T$234,$P$3:$P$234,"지출",$Q$3:$Q$234,C42,$R$3:$R$234,D42)</f>
        <v>-106000</v>
      </c>
      <c r="N42" s="25">
        <v>45848</v>
      </c>
      <c r="O42" s="26">
        <v>0.50557870370370372</v>
      </c>
      <c r="P42" s="50" t="s">
        <v>1020</v>
      </c>
      <c r="Q42" s="50" t="s">
        <v>1029</v>
      </c>
      <c r="R42" s="50" t="s">
        <v>1030</v>
      </c>
      <c r="S42" s="50" t="s">
        <v>1031</v>
      </c>
      <c r="T42" s="50">
        <v>-93900</v>
      </c>
      <c r="U42" s="50" t="s">
        <v>1024</v>
      </c>
      <c r="V42" s="50" t="s">
        <v>1025</v>
      </c>
      <c r="W42" s="50" t="s">
        <v>1583</v>
      </c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SUMIFS($T$3:$T$234,$P$3:$P$234,"지출",$Q$3:$Q$234,C43,$R$3:$R$234,D43)</f>
        <v>0</v>
      </c>
      <c r="N43" s="25">
        <v>45848</v>
      </c>
      <c r="O43" s="26">
        <v>0.72062499999999996</v>
      </c>
      <c r="P43" s="50" t="s">
        <v>1073</v>
      </c>
      <c r="Q43" s="50" t="s">
        <v>1047</v>
      </c>
      <c r="R43" s="50" t="s">
        <v>1054</v>
      </c>
      <c r="S43" s="50" t="s">
        <v>1584</v>
      </c>
      <c r="T43" s="50">
        <v>1</v>
      </c>
      <c r="U43" s="50" t="s">
        <v>1024</v>
      </c>
      <c r="V43" s="50" t="s">
        <v>1036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SUMIFS($T$3:$T$234,$P$3:$P$234,"지출",$Q$3:$Q$234,C44,$R$3:$R$234,D44)</f>
        <v>-15500</v>
      </c>
      <c r="N44" s="25">
        <v>45848</v>
      </c>
      <c r="O44" s="26">
        <v>0.72201388888888884</v>
      </c>
      <c r="P44" s="50" t="s">
        <v>1020</v>
      </c>
      <c r="Q44" s="50" t="s">
        <v>1042</v>
      </c>
      <c r="R44" s="50" t="s">
        <v>1054</v>
      </c>
      <c r="S44" s="50" t="s">
        <v>1585</v>
      </c>
      <c r="T44" s="50">
        <v>-164100</v>
      </c>
      <c r="U44" s="50" t="s">
        <v>1024</v>
      </c>
      <c r="V44" s="50" t="s">
        <v>1228</v>
      </c>
      <c r="W44" s="50" t="s">
        <v>1586</v>
      </c>
      <c r="X44" s="86"/>
      <c r="Y44" s="6"/>
    </row>
    <row r="45" spans="3:25" x14ac:dyDescent="0.4">
      <c r="C45" s="94" t="s">
        <v>1016</v>
      </c>
      <c r="D45" s="93"/>
      <c r="E45" s="20">
        <f>SUM(E41:E44)</f>
        <v>-223600</v>
      </c>
      <c r="N45" s="25">
        <v>45848</v>
      </c>
      <c r="O45" s="26">
        <v>0.72204861111111107</v>
      </c>
      <c r="P45" s="50" t="s">
        <v>1053</v>
      </c>
      <c r="Q45" s="50" t="s">
        <v>1053</v>
      </c>
      <c r="R45" s="50" t="s">
        <v>1054</v>
      </c>
      <c r="S45" s="50" t="s">
        <v>1232</v>
      </c>
      <c r="T45" s="50">
        <v>-120000</v>
      </c>
      <c r="U45" s="50" t="s">
        <v>1024</v>
      </c>
      <c r="V45" s="50" t="s">
        <v>1036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SUMIFS($T$3:$T$234,$P$3:$P$234,"지출",$Q$3:$Q$234,C46,$R$3:$R$234,D46)</f>
        <v>0</v>
      </c>
      <c r="N46" s="25">
        <v>45848</v>
      </c>
      <c r="O46" s="26">
        <v>0.72206018518518522</v>
      </c>
      <c r="P46" s="50" t="s">
        <v>1053</v>
      </c>
      <c r="Q46" s="50" t="s">
        <v>1053</v>
      </c>
      <c r="R46" s="50" t="s">
        <v>1054</v>
      </c>
      <c r="S46" s="50" t="s">
        <v>1230</v>
      </c>
      <c r="T46" s="50">
        <v>120000</v>
      </c>
      <c r="U46" s="50" t="s">
        <v>1024</v>
      </c>
      <c r="V46" s="50" t="s">
        <v>1231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SUMIFS($T$3:$T$234,$P$3:$P$234,"지출",$Q$3:$Q$234,C47,$R$3:$R$234,D47)</f>
        <v>0</v>
      </c>
      <c r="N47" s="25">
        <v>45848</v>
      </c>
      <c r="O47" s="26">
        <v>0.73546296296296299</v>
      </c>
      <c r="P47" s="50" t="s">
        <v>1073</v>
      </c>
      <c r="Q47" s="50" t="s">
        <v>1184</v>
      </c>
      <c r="R47" s="50" t="s">
        <v>1054</v>
      </c>
      <c r="S47" s="50" t="s">
        <v>1195</v>
      </c>
      <c r="T47" s="50">
        <v>25000</v>
      </c>
      <c r="U47" s="50" t="s">
        <v>1024</v>
      </c>
      <c r="V47" s="50" t="s">
        <v>1036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SUMIFS($T$3:$T$234,$P$3:$P$234,"지출",$Q$3:$Q$234,C48,$R$3:$R$234,D48)</f>
        <v>0</v>
      </c>
      <c r="N48" s="25">
        <v>45848</v>
      </c>
      <c r="O48" s="26">
        <v>0.7443981481481482</v>
      </c>
      <c r="P48" s="50" t="s">
        <v>1020</v>
      </c>
      <c r="Q48" s="50" t="s">
        <v>1029</v>
      </c>
      <c r="R48" s="50" t="s">
        <v>1030</v>
      </c>
      <c r="S48" s="50" t="s">
        <v>1069</v>
      </c>
      <c r="T48" s="50">
        <v>-9800</v>
      </c>
      <c r="U48" s="50" t="s">
        <v>1024</v>
      </c>
      <c r="V48" s="50" t="s">
        <v>1025</v>
      </c>
      <c r="W48" s="50" t="s">
        <v>1587</v>
      </c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SUMIFS($T$3:$T$234,$P$3:$P$234,"지출",$Q$3:$Q$234,C49,$R$3:$R$234,D49)</f>
        <v>0</v>
      </c>
      <c r="N49" s="25">
        <v>45848</v>
      </c>
      <c r="O49" s="26">
        <v>0.83261574074074074</v>
      </c>
      <c r="P49" s="50" t="s">
        <v>1020</v>
      </c>
      <c r="Q49" s="50" t="s">
        <v>1029</v>
      </c>
      <c r="R49" s="50" t="s">
        <v>1045</v>
      </c>
      <c r="S49" s="50" t="s">
        <v>1588</v>
      </c>
      <c r="T49" s="50">
        <v>-99000</v>
      </c>
      <c r="U49" s="50" t="s">
        <v>1024</v>
      </c>
      <c r="V49" s="50" t="s">
        <v>1228</v>
      </c>
      <c r="W49" s="50" t="s">
        <v>1589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45848</v>
      </c>
      <c r="O50" s="26">
        <v>0.83269675925925923</v>
      </c>
      <c r="P50" s="50" t="s">
        <v>1053</v>
      </c>
      <c r="Q50" s="50" t="s">
        <v>1053</v>
      </c>
      <c r="R50" s="50" t="s">
        <v>1054</v>
      </c>
      <c r="S50" s="50" t="s">
        <v>1230</v>
      </c>
      <c r="T50" s="50">
        <v>100000</v>
      </c>
      <c r="U50" s="50" t="s">
        <v>1024</v>
      </c>
      <c r="V50" s="50" t="s">
        <v>1231</v>
      </c>
      <c r="W50" s="50"/>
      <c r="X50" s="86"/>
      <c r="Y50" s="6"/>
    </row>
    <row r="51" spans="1:25" ht="18" thickBot="1" x14ac:dyDescent="0.45">
      <c r="J51" s="53"/>
      <c r="K51" s="54"/>
      <c r="N51" s="25">
        <v>45848</v>
      </c>
      <c r="O51" s="26">
        <v>0.83269675925925923</v>
      </c>
      <c r="P51" s="50" t="s">
        <v>1053</v>
      </c>
      <c r="Q51" s="50" t="s">
        <v>1053</v>
      </c>
      <c r="R51" s="50" t="s">
        <v>1054</v>
      </c>
      <c r="S51" s="50" t="s">
        <v>1232</v>
      </c>
      <c r="T51" s="50">
        <v>-100000</v>
      </c>
      <c r="U51" s="50" t="s">
        <v>1024</v>
      </c>
      <c r="V51" s="50" t="s">
        <v>1036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165077704</v>
      </c>
      <c r="N52" s="25">
        <v>45849</v>
      </c>
      <c r="O52" s="26">
        <v>0.18204861111111109</v>
      </c>
      <c r="P52" s="50" t="s">
        <v>1073</v>
      </c>
      <c r="Q52" s="50" t="s">
        <v>1218</v>
      </c>
      <c r="R52" s="50" t="s">
        <v>1054</v>
      </c>
      <c r="S52" s="50" t="s">
        <v>1219</v>
      </c>
      <c r="T52" s="50">
        <v>1615</v>
      </c>
      <c r="U52" s="50" t="s">
        <v>1024</v>
      </c>
      <c r="V52" s="50" t="s">
        <v>1216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127123801</v>
      </c>
      <c r="N53" s="25">
        <v>45849</v>
      </c>
      <c r="O53" s="26">
        <v>0.35047453703703701</v>
      </c>
      <c r="P53" s="50" t="s">
        <v>1020</v>
      </c>
      <c r="Q53" s="50" t="s">
        <v>1047</v>
      </c>
      <c r="R53" s="50" t="s">
        <v>1048</v>
      </c>
      <c r="S53" s="50" t="s">
        <v>1557</v>
      </c>
      <c r="T53" s="50">
        <v>-12300</v>
      </c>
      <c r="U53" s="50" t="s">
        <v>1024</v>
      </c>
      <c r="V53" s="50" t="s">
        <v>1228</v>
      </c>
      <c r="W53" s="50" t="s">
        <v>1590</v>
      </c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5715790</v>
      </c>
      <c r="H54" s="98" t="s">
        <v>907</v>
      </c>
      <c r="I54" s="30">
        <f ca="1">I53-I52</f>
        <v>-37953903</v>
      </c>
      <c r="J54" s="53"/>
      <c r="K54" s="54"/>
      <c r="N54" s="25">
        <v>45849</v>
      </c>
      <c r="O54" s="26">
        <v>0.3504976851851852</v>
      </c>
      <c r="P54" s="50" t="s">
        <v>1053</v>
      </c>
      <c r="Q54" s="50" t="s">
        <v>1053</v>
      </c>
      <c r="R54" s="50" t="s">
        <v>1054</v>
      </c>
      <c r="S54" s="50" t="s">
        <v>1230</v>
      </c>
      <c r="T54" s="50">
        <v>10000</v>
      </c>
      <c r="U54" s="50" t="s">
        <v>1024</v>
      </c>
      <c r="V54" s="50" t="s">
        <v>1231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2693272</v>
      </c>
      <c r="H55" s="52"/>
      <c r="I55" s="53"/>
      <c r="J55" s="53"/>
      <c r="K55" s="54"/>
      <c r="N55" s="25">
        <v>45849</v>
      </c>
      <c r="O55" s="26">
        <v>0.3504976851851852</v>
      </c>
      <c r="P55" s="50" t="s">
        <v>1053</v>
      </c>
      <c r="Q55" s="50" t="s">
        <v>1053</v>
      </c>
      <c r="R55" s="50" t="s">
        <v>1054</v>
      </c>
      <c r="S55" s="50" t="s">
        <v>1232</v>
      </c>
      <c r="T55" s="50">
        <v>-10000</v>
      </c>
      <c r="U55" s="50" t="s">
        <v>1024</v>
      </c>
      <c r="V55" s="50" t="s">
        <v>1036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45849</v>
      </c>
      <c r="O56" s="26">
        <v>0.40284722222222219</v>
      </c>
      <c r="P56" s="50" t="s">
        <v>1020</v>
      </c>
      <c r="Q56" s="50" t="s">
        <v>1029</v>
      </c>
      <c r="R56" s="50" t="s">
        <v>1070</v>
      </c>
      <c r="S56" s="50" t="s">
        <v>1071</v>
      </c>
      <c r="T56" s="50">
        <v>-24400</v>
      </c>
      <c r="U56" s="50" t="s">
        <v>1024</v>
      </c>
      <c r="V56" s="50" t="s">
        <v>1025</v>
      </c>
      <c r="W56" s="50" t="s">
        <v>1591</v>
      </c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45849</v>
      </c>
      <c r="O57" s="26">
        <v>0.41896990740740742</v>
      </c>
      <c r="P57" s="50" t="s">
        <v>1020</v>
      </c>
      <c r="Q57" s="50" t="s">
        <v>1029</v>
      </c>
      <c r="R57" s="50" t="s">
        <v>1030</v>
      </c>
      <c r="S57" s="50" t="s">
        <v>1031</v>
      </c>
      <c r="T57" s="50">
        <v>-3900</v>
      </c>
      <c r="U57" s="50" t="s">
        <v>1024</v>
      </c>
      <c r="V57" s="50" t="s">
        <v>1025</v>
      </c>
      <c r="W57" s="50" t="s">
        <v>1592</v>
      </c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45849</v>
      </c>
      <c r="O58" s="26">
        <v>0.64451388888888894</v>
      </c>
      <c r="P58" s="50" t="s">
        <v>1020</v>
      </c>
      <c r="Q58" s="50" t="s">
        <v>1029</v>
      </c>
      <c r="R58" s="50" t="s">
        <v>1045</v>
      </c>
      <c r="S58" s="50" t="s">
        <v>1588</v>
      </c>
      <c r="T58" s="50">
        <v>-99000</v>
      </c>
      <c r="U58" s="50" t="s">
        <v>1024</v>
      </c>
      <c r="V58" s="50" t="s">
        <v>1228</v>
      </c>
      <c r="W58" s="50" t="s">
        <v>1589</v>
      </c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93285</v>
      </c>
      <c r="H59" s="52"/>
      <c r="I59" s="53"/>
      <c r="J59" s="53"/>
      <c r="K59" s="54"/>
      <c r="N59" s="25">
        <v>45849</v>
      </c>
      <c r="O59" s="26">
        <v>0.64459490740740744</v>
      </c>
      <c r="P59" s="50" t="s">
        <v>1053</v>
      </c>
      <c r="Q59" s="50" t="s">
        <v>1053</v>
      </c>
      <c r="R59" s="50" t="s">
        <v>1054</v>
      </c>
      <c r="S59" s="50" t="s">
        <v>1230</v>
      </c>
      <c r="T59" s="50">
        <v>100000</v>
      </c>
      <c r="U59" s="50" t="s">
        <v>1024</v>
      </c>
      <c r="V59" s="50" t="s">
        <v>1231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45849</v>
      </c>
      <c r="O60" s="26">
        <v>0.64459490740740744</v>
      </c>
      <c r="P60" s="50" t="s">
        <v>1053</v>
      </c>
      <c r="Q60" s="50" t="s">
        <v>1053</v>
      </c>
      <c r="R60" s="50" t="s">
        <v>1054</v>
      </c>
      <c r="S60" s="50" t="s">
        <v>1232</v>
      </c>
      <c r="T60" s="50">
        <v>-100000</v>
      </c>
      <c r="U60" s="50" t="s">
        <v>1024</v>
      </c>
      <c r="V60" s="50" t="s">
        <v>1036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20826</v>
      </c>
      <c r="H61" s="52"/>
      <c r="I61" s="53"/>
      <c r="J61" s="53"/>
      <c r="K61" s="54"/>
      <c r="N61" s="25">
        <v>45849</v>
      </c>
      <c r="O61" s="26">
        <v>0.68421296296296297</v>
      </c>
      <c r="P61" s="50" t="s">
        <v>1020</v>
      </c>
      <c r="Q61" s="50" t="s">
        <v>1029</v>
      </c>
      <c r="R61" s="50" t="s">
        <v>1030</v>
      </c>
      <c r="S61" s="50" t="s">
        <v>1031</v>
      </c>
      <c r="T61" s="50">
        <v>-47660</v>
      </c>
      <c r="U61" s="50" t="s">
        <v>1024</v>
      </c>
      <c r="V61" s="50" t="s">
        <v>1025</v>
      </c>
      <c r="W61" s="50" t="s">
        <v>1593</v>
      </c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45849</v>
      </c>
      <c r="O62" s="26">
        <v>0.6900694444444444</v>
      </c>
      <c r="P62" s="50" t="s">
        <v>1020</v>
      </c>
      <c r="Q62" s="50" t="s">
        <v>1029</v>
      </c>
      <c r="R62" s="50" t="s">
        <v>1045</v>
      </c>
      <c r="S62" s="50" t="s">
        <v>1031</v>
      </c>
      <c r="T62" s="50">
        <v>-9400</v>
      </c>
      <c r="U62" s="50" t="s">
        <v>1024</v>
      </c>
      <c r="V62" s="50" t="s">
        <v>1025</v>
      </c>
      <c r="W62" s="50" t="s">
        <v>1594</v>
      </c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610300</v>
      </c>
      <c r="H63" s="52"/>
      <c r="I63" s="53"/>
      <c r="J63" s="53"/>
      <c r="K63" s="54"/>
      <c r="N63" s="25">
        <v>45849</v>
      </c>
      <c r="O63" s="26">
        <v>0.72369212962962959</v>
      </c>
      <c r="P63" s="50" t="s">
        <v>1020</v>
      </c>
      <c r="Q63" s="50" t="s">
        <v>1029</v>
      </c>
      <c r="R63" s="50" t="s">
        <v>1045</v>
      </c>
      <c r="S63" s="50" t="s">
        <v>1031</v>
      </c>
      <c r="T63" s="50">
        <v>-44140</v>
      </c>
      <c r="U63" s="50" t="s">
        <v>1024</v>
      </c>
      <c r="V63" s="50" t="s">
        <v>1025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45849</v>
      </c>
      <c r="O64" s="26">
        <v>0.79262731481481485</v>
      </c>
      <c r="P64" s="50" t="s">
        <v>1020</v>
      </c>
      <c r="Q64" s="50" t="s">
        <v>1021</v>
      </c>
      <c r="R64" s="50" t="s">
        <v>1566</v>
      </c>
      <c r="S64" s="50" t="s">
        <v>1435</v>
      </c>
      <c r="T64" s="50">
        <v>-12700</v>
      </c>
      <c r="U64" s="50" t="s">
        <v>1024</v>
      </c>
      <c r="V64" s="50" t="s">
        <v>1025</v>
      </c>
      <c r="W64" s="50"/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45850</v>
      </c>
      <c r="O65" s="26">
        <v>1.747685185185185E-3</v>
      </c>
      <c r="P65" s="50" t="s">
        <v>1020</v>
      </c>
      <c r="Q65" s="50" t="s">
        <v>1021</v>
      </c>
      <c r="R65" s="50" t="s">
        <v>1566</v>
      </c>
      <c r="S65" s="50" t="s">
        <v>1435</v>
      </c>
      <c r="T65" s="50">
        <v>-15700</v>
      </c>
      <c r="U65" s="50" t="s">
        <v>1024</v>
      </c>
      <c r="V65" s="50" t="s">
        <v>1025</v>
      </c>
      <c r="W65" s="50" t="s">
        <v>1595</v>
      </c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I66" s="53"/>
      <c r="J66" s="53"/>
      <c r="K66" s="54"/>
      <c r="N66" s="25">
        <v>45850</v>
      </c>
      <c r="O66" s="26">
        <v>0.18061342592592591</v>
      </c>
      <c r="P66" s="50" t="s">
        <v>1073</v>
      </c>
      <c r="Q66" s="50" t="s">
        <v>1218</v>
      </c>
      <c r="R66" s="50" t="s">
        <v>1054</v>
      </c>
      <c r="S66" s="50" t="s">
        <v>1219</v>
      </c>
      <c r="T66" s="50">
        <v>1615</v>
      </c>
      <c r="U66" s="50" t="s">
        <v>1024</v>
      </c>
      <c r="V66" s="50" t="s">
        <v>1216</v>
      </c>
      <c r="W66" s="50"/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45850</v>
      </c>
      <c r="O67" s="26">
        <v>0.34695601851851848</v>
      </c>
      <c r="P67" s="50" t="s">
        <v>1020</v>
      </c>
      <c r="Q67" s="50" t="s">
        <v>1029</v>
      </c>
      <c r="R67" s="50" t="s">
        <v>1045</v>
      </c>
      <c r="S67" s="50" t="s">
        <v>1031</v>
      </c>
      <c r="T67" s="50">
        <v>-11500</v>
      </c>
      <c r="U67" s="50" t="s">
        <v>1024</v>
      </c>
      <c r="V67" s="50" t="s">
        <v>1025</v>
      </c>
      <c r="W67" s="50" t="s">
        <v>1596</v>
      </c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45850</v>
      </c>
      <c r="O68" s="26">
        <v>0.51222222222222225</v>
      </c>
      <c r="P68" s="50" t="s">
        <v>1020</v>
      </c>
      <c r="Q68" s="50" t="s">
        <v>1047</v>
      </c>
      <c r="R68" s="50" t="s">
        <v>1048</v>
      </c>
      <c r="S68" s="50" t="s">
        <v>1262</v>
      </c>
      <c r="T68" s="50">
        <v>-39900</v>
      </c>
      <c r="U68" s="50" t="s">
        <v>1024</v>
      </c>
      <c r="V68" s="50" t="s">
        <v>1079</v>
      </c>
      <c r="W68" s="50" t="s">
        <v>1597</v>
      </c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45851</v>
      </c>
      <c r="O69" s="26">
        <v>0.18149305555555559</v>
      </c>
      <c r="P69" s="50" t="s">
        <v>1073</v>
      </c>
      <c r="Q69" s="50" t="s">
        <v>1218</v>
      </c>
      <c r="R69" s="50" t="s">
        <v>1054</v>
      </c>
      <c r="S69" s="50" t="s">
        <v>1219</v>
      </c>
      <c r="T69" s="50">
        <v>1615</v>
      </c>
      <c r="U69" s="50" t="s">
        <v>1024</v>
      </c>
      <c r="V69" s="50" t="s">
        <v>1216</v>
      </c>
      <c r="W69" s="50"/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45851</v>
      </c>
      <c r="O70" s="26">
        <v>0.37475694444444452</v>
      </c>
      <c r="P70" s="50" t="s">
        <v>1020</v>
      </c>
      <c r="Q70" s="50" t="s">
        <v>1029</v>
      </c>
      <c r="R70" s="50" t="s">
        <v>1045</v>
      </c>
      <c r="S70" s="50" t="s">
        <v>1031</v>
      </c>
      <c r="T70" s="50">
        <v>-61160</v>
      </c>
      <c r="U70" s="50" t="s">
        <v>1024</v>
      </c>
      <c r="V70" s="50" t="s">
        <v>1025</v>
      </c>
      <c r="W70" s="50" t="s">
        <v>1598</v>
      </c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45852</v>
      </c>
      <c r="O71" s="26">
        <v>0.18086805555555549</v>
      </c>
      <c r="P71" s="50" t="s">
        <v>1073</v>
      </c>
      <c r="Q71" s="50" t="s">
        <v>1218</v>
      </c>
      <c r="R71" s="50" t="s">
        <v>1054</v>
      </c>
      <c r="S71" s="50" t="s">
        <v>1219</v>
      </c>
      <c r="T71" s="50">
        <v>1615</v>
      </c>
      <c r="U71" s="50" t="s">
        <v>1024</v>
      </c>
      <c r="V71" s="50" t="s">
        <v>1216</v>
      </c>
      <c r="W71" s="50"/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45852</v>
      </c>
      <c r="O72" s="26">
        <v>0.80560185185185185</v>
      </c>
      <c r="P72" s="50" t="s">
        <v>1053</v>
      </c>
      <c r="Q72" s="50" t="s">
        <v>1066</v>
      </c>
      <c r="R72" s="50" t="s">
        <v>1054</v>
      </c>
      <c r="S72" s="50" t="s">
        <v>1067</v>
      </c>
      <c r="T72" s="50">
        <v>-1653046</v>
      </c>
      <c r="U72" s="50" t="s">
        <v>1024</v>
      </c>
      <c r="V72" s="50" t="s">
        <v>1036</v>
      </c>
      <c r="W72" s="50"/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45853</v>
      </c>
      <c r="O73" s="26">
        <v>0.17491898148148149</v>
      </c>
      <c r="P73" s="50" t="s">
        <v>1073</v>
      </c>
      <c r="Q73" s="50" t="s">
        <v>1218</v>
      </c>
      <c r="R73" s="50" t="s">
        <v>1054</v>
      </c>
      <c r="S73" s="50" t="s">
        <v>1219</v>
      </c>
      <c r="T73" s="50">
        <v>1615</v>
      </c>
      <c r="U73" s="50" t="s">
        <v>1024</v>
      </c>
      <c r="V73" s="50" t="s">
        <v>1216</v>
      </c>
      <c r="W73" s="50"/>
      <c r="X73" s="86"/>
      <c r="Y73" s="6"/>
    </row>
    <row r="74" spans="1:25" ht="18" thickTop="1" x14ac:dyDescent="0.4">
      <c r="A74" s="7">
        <f>$L$1</f>
        <v>202507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t="shared" ref="F74:F79" ca="1" si="11">INDIRECT($J$1&amp;"!H"&amp;ROW())</f>
        <v>6196033</v>
      </c>
      <c r="G74" s="41">
        <f t="shared" ref="G74:G79" ca="1" si="12">H74-F74</f>
        <v>-895189</v>
      </c>
      <c r="H74" s="58">
        <f t="shared" ref="H74:H79" si="13">SUMIFS($T$3:$T$234,$P$3:$P$234,"수입",$Q$3:$Q$234,C74)</f>
        <v>5300844</v>
      </c>
      <c r="I74" s="43">
        <f t="shared" ref="I74:I79" si="14">H74-E74</f>
        <v>-242156</v>
      </c>
      <c r="N74" s="25">
        <v>45853</v>
      </c>
      <c r="O74" s="26">
        <v>0.28635416666666669</v>
      </c>
      <c r="P74" s="50" t="s">
        <v>1020</v>
      </c>
      <c r="Q74" s="50" t="s">
        <v>1029</v>
      </c>
      <c r="R74" s="50" t="s">
        <v>1045</v>
      </c>
      <c r="S74" s="50" t="s">
        <v>1031</v>
      </c>
      <c r="T74" s="50">
        <v>-26850</v>
      </c>
      <c r="U74" s="50" t="s">
        <v>1024</v>
      </c>
      <c r="V74" s="50" t="s">
        <v>1025</v>
      </c>
      <c r="W74" s="50" t="s">
        <v>1599</v>
      </c>
      <c r="X74" s="86"/>
      <c r="Y74" s="6"/>
    </row>
    <row r="75" spans="1:25" x14ac:dyDescent="0.4">
      <c r="A75" s="4">
        <f t="shared" ref="A75:A79" si="15">$L$1</f>
        <v>202507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405199</v>
      </c>
      <c r="F75" s="41">
        <f t="shared" ca="1" si="11"/>
        <v>55199</v>
      </c>
      <c r="G75" s="41">
        <f t="shared" ca="1" si="12"/>
        <v>500000</v>
      </c>
      <c r="H75" s="58">
        <f t="shared" si="13"/>
        <v>555199</v>
      </c>
      <c r="I75" s="43">
        <f t="shared" si="14"/>
        <v>150000</v>
      </c>
      <c r="N75" s="25">
        <v>45853</v>
      </c>
      <c r="O75" s="26">
        <v>0.2927777777777778</v>
      </c>
      <c r="P75" s="50" t="s">
        <v>1020</v>
      </c>
      <c r="Q75" s="50" t="s">
        <v>1029</v>
      </c>
      <c r="R75" s="50" t="s">
        <v>1045</v>
      </c>
      <c r="S75" s="50" t="s">
        <v>1031</v>
      </c>
      <c r="T75" s="50">
        <v>-33000</v>
      </c>
      <c r="U75" s="50" t="s">
        <v>1024</v>
      </c>
      <c r="V75" s="50" t="s">
        <v>1025</v>
      </c>
      <c r="W75" s="50" t="s">
        <v>1600</v>
      </c>
      <c r="X75" s="86"/>
      <c r="Y75" s="6"/>
    </row>
    <row r="76" spans="1:25" x14ac:dyDescent="0.4">
      <c r="A76" s="4">
        <f t="shared" si="15"/>
        <v>202507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t="shared" ca="1" si="11"/>
        <v>0</v>
      </c>
      <c r="G76" s="41">
        <f t="shared" ca="1" si="12"/>
        <v>0</v>
      </c>
      <c r="H76" s="58">
        <f t="shared" si="13"/>
        <v>0</v>
      </c>
      <c r="I76" s="43">
        <f t="shared" si="14"/>
        <v>0</v>
      </c>
      <c r="N76" s="25">
        <v>45853</v>
      </c>
      <c r="O76" s="26">
        <v>0.69572916666666662</v>
      </c>
      <c r="P76" s="50" t="s">
        <v>1073</v>
      </c>
      <c r="Q76" s="50" t="s">
        <v>1074</v>
      </c>
      <c r="R76" s="50" t="s">
        <v>1054</v>
      </c>
      <c r="S76" s="50" t="s">
        <v>1601</v>
      </c>
      <c r="T76" s="50">
        <v>500000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15"/>
        <v>202507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40385</v>
      </c>
      <c r="G77" s="41">
        <f t="shared" ca="1" si="12"/>
        <v>6972</v>
      </c>
      <c r="H77" s="58">
        <f t="shared" si="13"/>
        <v>47357</v>
      </c>
      <c r="I77" s="43">
        <f t="shared" si="14"/>
        <v>47357</v>
      </c>
      <c r="N77" s="25">
        <v>45853</v>
      </c>
      <c r="O77" s="26">
        <v>0.76483796296296291</v>
      </c>
      <c r="P77" s="50" t="s">
        <v>1020</v>
      </c>
      <c r="Q77" s="50" t="s">
        <v>1029</v>
      </c>
      <c r="R77" s="50" t="s">
        <v>1070</v>
      </c>
      <c r="S77" s="50" t="s">
        <v>1602</v>
      </c>
      <c r="T77" s="50">
        <v>-20000</v>
      </c>
      <c r="U77" s="50" t="s">
        <v>1024</v>
      </c>
      <c r="V77" s="50" t="s">
        <v>1099</v>
      </c>
      <c r="W77" s="50"/>
      <c r="X77" s="86"/>
      <c r="Y77" s="6"/>
    </row>
    <row r="78" spans="1:25" x14ac:dyDescent="0.4">
      <c r="A78" s="4">
        <f t="shared" si="15"/>
        <v>202507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5</v>
      </c>
      <c r="G78" s="41">
        <f t="shared" ca="1" si="12"/>
        <v>103997</v>
      </c>
      <c r="H78" s="58">
        <f t="shared" si="13"/>
        <v>104002</v>
      </c>
      <c r="I78" s="43">
        <f t="shared" si="14"/>
        <v>104002</v>
      </c>
      <c r="N78" s="25">
        <v>45853</v>
      </c>
      <c r="O78" s="26">
        <v>0.77741898148148147</v>
      </c>
      <c r="P78" s="50" t="s">
        <v>1020</v>
      </c>
      <c r="Q78" s="50" t="s">
        <v>1029</v>
      </c>
      <c r="R78" s="50" t="s">
        <v>1070</v>
      </c>
      <c r="S78" s="50" t="s">
        <v>1603</v>
      </c>
      <c r="T78" s="50">
        <v>-5400</v>
      </c>
      <c r="U78" s="50" t="s">
        <v>1024</v>
      </c>
      <c r="V78" s="50" t="s">
        <v>1099</v>
      </c>
      <c r="W78" s="50"/>
      <c r="X78" s="86"/>
      <c r="Y78" s="6"/>
    </row>
    <row r="79" spans="1:25" x14ac:dyDescent="0.4">
      <c r="A79" s="4">
        <f t="shared" si="15"/>
        <v>202507</v>
      </c>
      <c r="B79" s="4">
        <f>B78+1</f>
        <v>6</v>
      </c>
      <c r="C79" s="105" t="s">
        <v>2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830000</v>
      </c>
      <c r="G79" s="41">
        <f t="shared" ca="1" si="12"/>
        <v>-805000</v>
      </c>
      <c r="H79" s="58">
        <f t="shared" si="13"/>
        <v>25000</v>
      </c>
      <c r="I79" s="43">
        <f t="shared" si="14"/>
        <v>25000</v>
      </c>
      <c r="N79" s="25">
        <v>45854</v>
      </c>
      <c r="O79" s="26">
        <v>0.17571759259259259</v>
      </c>
      <c r="P79" s="50" t="s">
        <v>1073</v>
      </c>
      <c r="Q79" s="50" t="s">
        <v>1218</v>
      </c>
      <c r="R79" s="50" t="s">
        <v>1054</v>
      </c>
      <c r="S79" s="50" t="s">
        <v>1219</v>
      </c>
      <c r="T79" s="50">
        <v>1615</v>
      </c>
      <c r="U79" s="50" t="s">
        <v>1024</v>
      </c>
      <c r="V79" s="50" t="s">
        <v>1216</v>
      </c>
      <c r="W79" s="50"/>
      <c r="X79" s="86"/>
      <c r="Y79" s="6"/>
    </row>
    <row r="80" spans="1:25" x14ac:dyDescent="0.4">
      <c r="A80" s="71" t="s">
        <v>14</v>
      </c>
      <c r="B80" s="72"/>
      <c r="C80" s="72"/>
      <c r="D80" s="73"/>
      <c r="E80" s="56">
        <f>SUM(E74:E79)</f>
        <v>5948199</v>
      </c>
      <c r="F80" s="56">
        <f ca="1">SUM(F74:F79)</f>
        <v>7121622</v>
      </c>
      <c r="G80" s="57">
        <f ca="1">SUM(G74:G79)</f>
        <v>-1089220</v>
      </c>
      <c r="H80" s="59">
        <f>SUM(H74:H79)</f>
        <v>6032402</v>
      </c>
      <c r="I80" s="43">
        <f>SUM(I74:I79)</f>
        <v>84203</v>
      </c>
      <c r="N80" s="25">
        <v>45854</v>
      </c>
      <c r="O80" s="26">
        <v>0.33229166666666671</v>
      </c>
      <c r="P80" s="50" t="s">
        <v>1020</v>
      </c>
      <c r="Q80" s="50" t="s">
        <v>1029</v>
      </c>
      <c r="R80" s="50" t="s">
        <v>1045</v>
      </c>
      <c r="S80" s="50" t="s">
        <v>1031</v>
      </c>
      <c r="T80" s="50">
        <v>-6000</v>
      </c>
      <c r="U80" s="50" t="s">
        <v>1024</v>
      </c>
      <c r="V80" s="50" t="s">
        <v>1025</v>
      </c>
      <c r="W80" s="50" t="s">
        <v>1604</v>
      </c>
      <c r="X80" s="86"/>
      <c r="Y80" s="6"/>
    </row>
    <row r="81" spans="14:25" x14ac:dyDescent="0.4">
      <c r="N81" s="25">
        <v>45854</v>
      </c>
      <c r="O81" s="26">
        <v>0.46653935185185191</v>
      </c>
      <c r="P81" s="50" t="s">
        <v>1020</v>
      </c>
      <c r="Q81" s="50" t="s">
        <v>1029</v>
      </c>
      <c r="R81" s="50" t="s">
        <v>1070</v>
      </c>
      <c r="S81" s="50" t="s">
        <v>1071</v>
      </c>
      <c r="T81" s="50">
        <v>-27500</v>
      </c>
      <c r="U81" s="50" t="s">
        <v>1024</v>
      </c>
      <c r="V81" s="50" t="s">
        <v>1025</v>
      </c>
      <c r="W81" s="50" t="s">
        <v>1422</v>
      </c>
      <c r="X81" s="86"/>
      <c r="Y81" s="4"/>
    </row>
    <row r="82" spans="14:25" x14ac:dyDescent="0.4">
      <c r="N82" s="25">
        <v>45854</v>
      </c>
      <c r="O82" s="26">
        <v>0.7117013888888889</v>
      </c>
      <c r="P82" s="50" t="s">
        <v>1020</v>
      </c>
      <c r="Q82" s="50" t="s">
        <v>1029</v>
      </c>
      <c r="R82" s="50" t="s">
        <v>1045</v>
      </c>
      <c r="S82" s="50" t="s">
        <v>1588</v>
      </c>
      <c r="T82" s="50">
        <v>-1125</v>
      </c>
      <c r="U82" s="50" t="s">
        <v>1024</v>
      </c>
      <c r="V82" s="50" t="s">
        <v>1297</v>
      </c>
      <c r="W82" s="50" t="s">
        <v>1605</v>
      </c>
      <c r="X82" s="86"/>
      <c r="Y82" s="4"/>
    </row>
    <row r="83" spans="14:25" x14ac:dyDescent="0.4">
      <c r="N83" s="25">
        <v>45854</v>
      </c>
      <c r="O83" s="26">
        <v>0.7117013888888889</v>
      </c>
      <c r="P83" s="50" t="s">
        <v>1020</v>
      </c>
      <c r="Q83" s="50" t="s">
        <v>1029</v>
      </c>
      <c r="R83" s="50" t="s">
        <v>1045</v>
      </c>
      <c r="S83" s="50" t="s">
        <v>1588</v>
      </c>
      <c r="T83" s="50">
        <v>-133875</v>
      </c>
      <c r="U83" s="50" t="s">
        <v>1024</v>
      </c>
      <c r="V83" s="50" t="s">
        <v>1228</v>
      </c>
      <c r="W83" s="50" t="s">
        <v>1605</v>
      </c>
      <c r="X83" s="86"/>
      <c r="Y83" s="4"/>
    </row>
    <row r="84" spans="14:25" x14ac:dyDescent="0.4">
      <c r="N84" s="25">
        <v>45854</v>
      </c>
      <c r="O84" s="26">
        <v>0.71175925925925931</v>
      </c>
      <c r="P84" s="50" t="s">
        <v>1053</v>
      </c>
      <c r="Q84" s="50" t="s">
        <v>1053</v>
      </c>
      <c r="R84" s="50" t="s">
        <v>1054</v>
      </c>
      <c r="S84" s="50" t="s">
        <v>1230</v>
      </c>
      <c r="T84" s="50">
        <v>130000</v>
      </c>
      <c r="U84" s="50" t="s">
        <v>1024</v>
      </c>
      <c r="V84" s="50" t="s">
        <v>1231</v>
      </c>
      <c r="W84" s="50"/>
      <c r="X84" s="86"/>
      <c r="Y84" s="4"/>
    </row>
    <row r="85" spans="14:25" x14ac:dyDescent="0.4">
      <c r="N85" s="25">
        <v>45854</v>
      </c>
      <c r="O85" s="26">
        <v>0.71175925925925931</v>
      </c>
      <c r="P85" s="50" t="s">
        <v>1053</v>
      </c>
      <c r="Q85" s="50" t="s">
        <v>1053</v>
      </c>
      <c r="R85" s="50" t="s">
        <v>1054</v>
      </c>
      <c r="S85" s="50" t="s">
        <v>1232</v>
      </c>
      <c r="T85" s="50">
        <v>-130000</v>
      </c>
      <c r="U85" s="50" t="s">
        <v>1024</v>
      </c>
      <c r="V85" s="50" t="s">
        <v>1036</v>
      </c>
      <c r="W85" s="50"/>
      <c r="X85" s="86"/>
      <c r="Y85" s="4"/>
    </row>
    <row r="86" spans="14:25" x14ac:dyDescent="0.4">
      <c r="N86" s="25">
        <v>45854</v>
      </c>
      <c r="O86" s="26">
        <v>0.75</v>
      </c>
      <c r="P86" s="50" t="s">
        <v>1020</v>
      </c>
      <c r="Q86" s="50" t="s">
        <v>1047</v>
      </c>
      <c r="R86" s="50" t="s">
        <v>1077</v>
      </c>
      <c r="S86" s="50" t="s">
        <v>1077</v>
      </c>
      <c r="T86" s="50">
        <v>-300000</v>
      </c>
      <c r="U86" s="50" t="s">
        <v>1024</v>
      </c>
      <c r="V86" s="50" t="s">
        <v>1359</v>
      </c>
      <c r="W86" s="50" t="s">
        <v>1606</v>
      </c>
      <c r="X86" s="86"/>
      <c r="Y86" s="4"/>
    </row>
    <row r="87" spans="14:25" x14ac:dyDescent="0.4">
      <c r="N87" s="25">
        <v>45854</v>
      </c>
      <c r="O87" s="26">
        <v>0.83719907407407412</v>
      </c>
      <c r="P87" s="50" t="s">
        <v>1053</v>
      </c>
      <c r="Q87" s="50" t="s">
        <v>1053</v>
      </c>
      <c r="R87" s="50" t="s">
        <v>1054</v>
      </c>
      <c r="S87" s="50" t="s">
        <v>1607</v>
      </c>
      <c r="T87" s="50">
        <v>100000</v>
      </c>
      <c r="U87" s="50" t="s">
        <v>1024</v>
      </c>
      <c r="V87" s="50" t="s">
        <v>1079</v>
      </c>
      <c r="W87" s="50"/>
      <c r="X87" s="86"/>
      <c r="Y87" s="4"/>
    </row>
    <row r="88" spans="14:25" x14ac:dyDescent="0.4">
      <c r="N88" s="25">
        <v>45854</v>
      </c>
      <c r="O88" s="26">
        <v>0.84188657407407408</v>
      </c>
      <c r="P88" s="50" t="s">
        <v>1053</v>
      </c>
      <c r="Q88" s="50" t="s">
        <v>1053</v>
      </c>
      <c r="R88" s="50" t="s">
        <v>1054</v>
      </c>
      <c r="S88" s="50" t="s">
        <v>1608</v>
      </c>
      <c r="T88" s="50">
        <v>100000</v>
      </c>
      <c r="U88" s="50" t="s">
        <v>1024</v>
      </c>
      <c r="V88" s="50" t="s">
        <v>1079</v>
      </c>
      <c r="W88" s="50"/>
      <c r="X88" s="86"/>
      <c r="Y88" s="4"/>
    </row>
    <row r="89" spans="14:25" x14ac:dyDescent="0.4">
      <c r="N89" s="25">
        <v>45854</v>
      </c>
      <c r="O89" s="26">
        <v>0.87762731481481482</v>
      </c>
      <c r="P89" s="50" t="s">
        <v>1053</v>
      </c>
      <c r="Q89" s="50" t="s">
        <v>1053</v>
      </c>
      <c r="R89" s="50" t="s">
        <v>1054</v>
      </c>
      <c r="S89" s="50" t="s">
        <v>1609</v>
      </c>
      <c r="T89" s="50">
        <v>100000</v>
      </c>
      <c r="U89" s="50" t="s">
        <v>1024</v>
      </c>
      <c r="V89" s="50" t="s">
        <v>1079</v>
      </c>
      <c r="W89" s="50"/>
      <c r="X89" s="86"/>
      <c r="Y89" s="4"/>
    </row>
    <row r="90" spans="14:25" x14ac:dyDescent="0.4">
      <c r="N90" s="25">
        <v>45855</v>
      </c>
      <c r="O90" s="26">
        <v>0.1779050925925926</v>
      </c>
      <c r="P90" s="50" t="s">
        <v>1073</v>
      </c>
      <c r="Q90" s="50" t="s">
        <v>1218</v>
      </c>
      <c r="R90" s="50" t="s">
        <v>1054</v>
      </c>
      <c r="S90" s="50" t="s">
        <v>1219</v>
      </c>
      <c r="T90" s="50">
        <v>1615</v>
      </c>
      <c r="U90" s="50" t="s">
        <v>1024</v>
      </c>
      <c r="V90" s="50" t="s">
        <v>1216</v>
      </c>
      <c r="W90" s="50"/>
      <c r="X90" s="86"/>
      <c r="Y90" s="6"/>
    </row>
    <row r="91" spans="14:25" x14ac:dyDescent="0.4">
      <c r="N91" s="25">
        <v>45855</v>
      </c>
      <c r="O91" s="26">
        <v>0.36906250000000002</v>
      </c>
      <c r="P91" s="50" t="s">
        <v>1020</v>
      </c>
      <c r="Q91" s="50" t="s">
        <v>1021</v>
      </c>
      <c r="R91" s="50" t="s">
        <v>1022</v>
      </c>
      <c r="S91" s="50" t="s">
        <v>1610</v>
      </c>
      <c r="T91" s="50">
        <v>-60000</v>
      </c>
      <c r="U91" s="50" t="s">
        <v>1024</v>
      </c>
      <c r="V91" s="50" t="s">
        <v>1350</v>
      </c>
      <c r="W91" s="50" t="s">
        <v>1611</v>
      </c>
      <c r="X91" s="86"/>
      <c r="Y91" s="6"/>
    </row>
    <row r="92" spans="14:25" x14ac:dyDescent="0.4">
      <c r="N92" s="25">
        <v>45855</v>
      </c>
      <c r="O92" s="26">
        <v>0.40817129629629628</v>
      </c>
      <c r="P92" s="50" t="s">
        <v>1053</v>
      </c>
      <c r="Q92" s="50" t="s">
        <v>1053</v>
      </c>
      <c r="R92" s="50" t="s">
        <v>1054</v>
      </c>
      <c r="S92" s="50" t="s">
        <v>1612</v>
      </c>
      <c r="T92" s="50">
        <v>100000</v>
      </c>
      <c r="U92" s="50" t="s">
        <v>1024</v>
      </c>
      <c r="V92" s="50" t="s">
        <v>1079</v>
      </c>
      <c r="W92" s="50"/>
      <c r="X92" s="86"/>
      <c r="Y92" s="6"/>
    </row>
    <row r="93" spans="14:25" x14ac:dyDescent="0.4">
      <c r="N93" s="25">
        <v>45855</v>
      </c>
      <c r="O93" s="26">
        <v>0.42184027777777777</v>
      </c>
      <c r="P93" s="50" t="s">
        <v>1020</v>
      </c>
      <c r="Q93" s="50" t="s">
        <v>1047</v>
      </c>
      <c r="R93" s="50" t="s">
        <v>1077</v>
      </c>
      <c r="S93" s="50" t="s">
        <v>1613</v>
      </c>
      <c r="T93" s="50">
        <v>-47400</v>
      </c>
      <c r="U93" s="50" t="s">
        <v>1024</v>
      </c>
      <c r="V93" s="50" t="s">
        <v>1025</v>
      </c>
      <c r="W93" s="50" t="s">
        <v>1614</v>
      </c>
      <c r="X93" s="86"/>
      <c r="Y93" s="6"/>
    </row>
    <row r="94" spans="14:25" x14ac:dyDescent="0.4">
      <c r="N94" s="25">
        <v>45855</v>
      </c>
      <c r="O94" s="26">
        <v>0.46696759259259257</v>
      </c>
      <c r="P94" s="50" t="s">
        <v>1020</v>
      </c>
      <c r="Q94" s="50" t="s">
        <v>1029</v>
      </c>
      <c r="R94" s="50" t="s">
        <v>1045</v>
      </c>
      <c r="S94" s="50" t="s">
        <v>1615</v>
      </c>
      <c r="T94" s="50">
        <v>-16020</v>
      </c>
      <c r="U94" s="50" t="s">
        <v>1024</v>
      </c>
      <c r="V94" s="50" t="s">
        <v>1228</v>
      </c>
      <c r="W94" s="50" t="s">
        <v>1616</v>
      </c>
      <c r="X94" s="86"/>
      <c r="Y94" s="6"/>
    </row>
    <row r="95" spans="14:25" x14ac:dyDescent="0.4">
      <c r="N95" s="25">
        <v>45855</v>
      </c>
      <c r="O95" s="26">
        <v>0.4670138888888889</v>
      </c>
      <c r="P95" s="50" t="s">
        <v>1053</v>
      </c>
      <c r="Q95" s="50" t="s">
        <v>1053</v>
      </c>
      <c r="R95" s="50" t="s">
        <v>1054</v>
      </c>
      <c r="S95" s="50" t="s">
        <v>1230</v>
      </c>
      <c r="T95" s="50">
        <v>20000</v>
      </c>
      <c r="U95" s="50" t="s">
        <v>1024</v>
      </c>
      <c r="V95" s="50" t="s">
        <v>1231</v>
      </c>
      <c r="W95" s="50"/>
      <c r="X95" s="86"/>
      <c r="Y95" s="6"/>
    </row>
    <row r="96" spans="14:25" x14ac:dyDescent="0.4">
      <c r="N96" s="25">
        <v>45855</v>
      </c>
      <c r="O96" s="26">
        <v>0.4670138888888889</v>
      </c>
      <c r="P96" s="50" t="s">
        <v>1053</v>
      </c>
      <c r="Q96" s="50" t="s">
        <v>1053</v>
      </c>
      <c r="R96" s="50" t="s">
        <v>1054</v>
      </c>
      <c r="S96" s="50" t="s">
        <v>1232</v>
      </c>
      <c r="T96" s="50">
        <v>-20000</v>
      </c>
      <c r="U96" s="50" t="s">
        <v>1024</v>
      </c>
      <c r="V96" s="50" t="s">
        <v>1036</v>
      </c>
      <c r="W96" s="50"/>
      <c r="X96" s="86"/>
      <c r="Y96" s="6"/>
    </row>
    <row r="97" spans="14:25" x14ac:dyDescent="0.4">
      <c r="N97" s="25">
        <v>45855</v>
      </c>
      <c r="O97" s="26">
        <v>0.55270833333333336</v>
      </c>
      <c r="P97" s="50" t="s">
        <v>1053</v>
      </c>
      <c r="Q97" s="50" t="s">
        <v>1053</v>
      </c>
      <c r="R97" s="50" t="s">
        <v>1054</v>
      </c>
      <c r="S97" s="50" t="s">
        <v>1092</v>
      </c>
      <c r="T97" s="50">
        <v>100000</v>
      </c>
      <c r="U97" s="50" t="s">
        <v>1024</v>
      </c>
      <c r="V97" s="50" t="s">
        <v>1079</v>
      </c>
      <c r="W97" s="50"/>
      <c r="X97" s="86"/>
      <c r="Y97" s="6"/>
    </row>
    <row r="98" spans="14:25" x14ac:dyDescent="0.4">
      <c r="N98" s="25">
        <v>45855</v>
      </c>
      <c r="O98" s="26">
        <v>0.8974537037037037</v>
      </c>
      <c r="P98" s="50" t="s">
        <v>1053</v>
      </c>
      <c r="Q98" s="50" t="s">
        <v>1053</v>
      </c>
      <c r="R98" s="50" t="s">
        <v>1054</v>
      </c>
      <c r="S98" s="50" t="s">
        <v>1617</v>
      </c>
      <c r="T98" s="50">
        <v>59800</v>
      </c>
      <c r="U98" s="50" t="s">
        <v>1024</v>
      </c>
      <c r="V98" s="50" t="s">
        <v>1079</v>
      </c>
      <c r="W98" s="50"/>
      <c r="X98" s="86"/>
      <c r="Y98" s="6"/>
    </row>
    <row r="99" spans="14:25" x14ac:dyDescent="0.4">
      <c r="N99" s="25">
        <v>45855</v>
      </c>
      <c r="O99" s="26">
        <v>0.89763888888888888</v>
      </c>
      <c r="P99" s="50" t="s">
        <v>1053</v>
      </c>
      <c r="Q99" s="50" t="s">
        <v>1053</v>
      </c>
      <c r="R99" s="50" t="s">
        <v>1054</v>
      </c>
      <c r="S99" s="50" t="s">
        <v>1618</v>
      </c>
      <c r="T99" s="50">
        <v>60000</v>
      </c>
      <c r="U99" s="50" t="s">
        <v>1024</v>
      </c>
      <c r="V99" s="50" t="s">
        <v>1079</v>
      </c>
      <c r="W99" s="50"/>
      <c r="X99" s="86"/>
      <c r="Y99" s="6"/>
    </row>
    <row r="100" spans="14:25" x14ac:dyDescent="0.4">
      <c r="N100" s="25">
        <v>45855</v>
      </c>
      <c r="O100" s="26">
        <v>0.98776620370370372</v>
      </c>
      <c r="P100" s="50" t="s">
        <v>1020</v>
      </c>
      <c r="Q100" s="50" t="s">
        <v>1021</v>
      </c>
      <c r="R100" s="50" t="s">
        <v>1566</v>
      </c>
      <c r="S100" s="50" t="s">
        <v>1437</v>
      </c>
      <c r="T100" s="50">
        <v>-23900</v>
      </c>
      <c r="U100" s="50" t="s">
        <v>1024</v>
      </c>
      <c r="V100" s="50" t="s">
        <v>1025</v>
      </c>
      <c r="W100" s="50" t="s">
        <v>1619</v>
      </c>
      <c r="X100" s="86"/>
      <c r="Y100" s="6"/>
    </row>
    <row r="101" spans="14:25" x14ac:dyDescent="0.4">
      <c r="N101" s="25">
        <v>45856</v>
      </c>
      <c r="O101" s="26">
        <v>0.22703703703703701</v>
      </c>
      <c r="P101" s="50" t="s">
        <v>1073</v>
      </c>
      <c r="Q101" s="50" t="s">
        <v>1218</v>
      </c>
      <c r="R101" s="50" t="s">
        <v>1054</v>
      </c>
      <c r="S101" s="50" t="s">
        <v>1219</v>
      </c>
      <c r="T101" s="50">
        <v>1615</v>
      </c>
      <c r="U101" s="50" t="s">
        <v>1024</v>
      </c>
      <c r="V101" s="50" t="s">
        <v>1216</v>
      </c>
      <c r="W101" s="50"/>
      <c r="X101" s="86"/>
      <c r="Y101" s="6"/>
    </row>
    <row r="102" spans="14:25" x14ac:dyDescent="0.4">
      <c r="N102" s="25">
        <v>45856</v>
      </c>
      <c r="O102" s="26">
        <v>0.4120138888888889</v>
      </c>
      <c r="P102" s="50" t="s">
        <v>1053</v>
      </c>
      <c r="Q102" s="50" t="s">
        <v>1238</v>
      </c>
      <c r="R102" s="50" t="s">
        <v>1054</v>
      </c>
      <c r="S102" s="50" t="s">
        <v>1620</v>
      </c>
      <c r="T102" s="50">
        <v>160000</v>
      </c>
      <c r="U102" s="50" t="s">
        <v>1024</v>
      </c>
      <c r="V102" s="50" t="s">
        <v>1036</v>
      </c>
      <c r="W102" s="50"/>
      <c r="X102" s="86"/>
      <c r="Y102" s="6"/>
    </row>
    <row r="103" spans="14:25" x14ac:dyDescent="0.4">
      <c r="N103" s="25">
        <v>45856</v>
      </c>
      <c r="O103" s="26">
        <v>0.41474537037037029</v>
      </c>
      <c r="P103" s="50" t="s">
        <v>1053</v>
      </c>
      <c r="Q103" s="50" t="s">
        <v>1053</v>
      </c>
      <c r="R103" s="50" t="s">
        <v>1054</v>
      </c>
      <c r="S103" s="50" t="s">
        <v>1621</v>
      </c>
      <c r="T103" s="50">
        <v>159800</v>
      </c>
      <c r="U103" s="50" t="s">
        <v>1024</v>
      </c>
      <c r="V103" s="50" t="s">
        <v>1036</v>
      </c>
      <c r="W103" s="50"/>
      <c r="X103" s="86"/>
      <c r="Y103" s="6"/>
    </row>
    <row r="104" spans="14:25" x14ac:dyDescent="0.4">
      <c r="N104" s="25">
        <v>45856</v>
      </c>
      <c r="O104" s="26">
        <v>0.41597222222222219</v>
      </c>
      <c r="P104" s="50" t="s">
        <v>1053</v>
      </c>
      <c r="Q104" s="50" t="s">
        <v>1053</v>
      </c>
      <c r="R104" s="50" t="s">
        <v>1054</v>
      </c>
      <c r="S104" s="50" t="s">
        <v>1622</v>
      </c>
      <c r="T104" s="50">
        <v>59800</v>
      </c>
      <c r="U104" s="50" t="s">
        <v>1024</v>
      </c>
      <c r="V104" s="50" t="s">
        <v>1036</v>
      </c>
      <c r="W104" s="50"/>
      <c r="X104" s="86"/>
      <c r="Y104" s="6"/>
    </row>
    <row r="105" spans="14:25" x14ac:dyDescent="0.4">
      <c r="N105" s="25">
        <v>45856</v>
      </c>
      <c r="O105" s="26">
        <v>0.41917824074074073</v>
      </c>
      <c r="P105" s="50" t="s">
        <v>1020</v>
      </c>
      <c r="Q105" s="50" t="s">
        <v>1029</v>
      </c>
      <c r="R105" s="50" t="s">
        <v>1045</v>
      </c>
      <c r="S105" s="50" t="s">
        <v>1031</v>
      </c>
      <c r="T105" s="50">
        <v>-12900</v>
      </c>
      <c r="U105" s="50" t="s">
        <v>1024</v>
      </c>
      <c r="V105" s="50" t="s">
        <v>1025</v>
      </c>
      <c r="W105" s="50" t="s">
        <v>1623</v>
      </c>
      <c r="X105" s="86"/>
      <c r="Y105" s="6"/>
    </row>
    <row r="106" spans="14:25" x14ac:dyDescent="0.4">
      <c r="N106" s="25">
        <v>45856</v>
      </c>
      <c r="O106" s="26">
        <v>0.56361111111111106</v>
      </c>
      <c r="P106" s="50" t="s">
        <v>1020</v>
      </c>
      <c r="Q106" s="50" t="s">
        <v>1029</v>
      </c>
      <c r="R106" s="50" t="s">
        <v>1045</v>
      </c>
      <c r="S106" s="50" t="s">
        <v>1031</v>
      </c>
      <c r="T106" s="50">
        <v>-31980</v>
      </c>
      <c r="U106" s="50" t="s">
        <v>1024</v>
      </c>
      <c r="V106" s="50" t="s">
        <v>1025</v>
      </c>
      <c r="W106" s="50" t="s">
        <v>1624</v>
      </c>
      <c r="X106" s="6"/>
      <c r="Y106" s="6"/>
    </row>
    <row r="107" spans="14:25" x14ac:dyDescent="0.4">
      <c r="N107" s="25">
        <v>45856</v>
      </c>
      <c r="O107" s="26">
        <v>0.66363425925925923</v>
      </c>
      <c r="P107" s="50" t="s">
        <v>1073</v>
      </c>
      <c r="Q107" s="50" t="s">
        <v>1074</v>
      </c>
      <c r="R107" s="50" t="s">
        <v>1054</v>
      </c>
      <c r="S107" s="50" t="s">
        <v>1075</v>
      </c>
      <c r="T107" s="50">
        <v>55199</v>
      </c>
      <c r="U107" s="50" t="s">
        <v>1024</v>
      </c>
      <c r="V107" s="50" t="s">
        <v>1036</v>
      </c>
      <c r="W107" s="50"/>
      <c r="X107" s="6"/>
      <c r="Y107" s="6"/>
    </row>
    <row r="108" spans="14:25" x14ac:dyDescent="0.4">
      <c r="N108" s="25">
        <v>45856</v>
      </c>
      <c r="O108" s="26">
        <v>0.94077546296296299</v>
      </c>
      <c r="P108" s="50" t="s">
        <v>1020</v>
      </c>
      <c r="Q108" s="50" t="s">
        <v>1029</v>
      </c>
      <c r="R108" s="50" t="s">
        <v>1030</v>
      </c>
      <c r="S108" s="50" t="s">
        <v>1051</v>
      </c>
      <c r="T108" s="50">
        <v>-520000</v>
      </c>
      <c r="U108" s="50" t="s">
        <v>1024</v>
      </c>
      <c r="V108" s="50" t="s">
        <v>1036</v>
      </c>
      <c r="W108" s="50" t="s">
        <v>1625</v>
      </c>
      <c r="X108" s="6"/>
      <c r="Y108" s="6"/>
    </row>
    <row r="109" spans="14:25" x14ac:dyDescent="0.4">
      <c r="N109" s="25">
        <v>45857</v>
      </c>
      <c r="O109" s="26">
        <v>0.22666666666666671</v>
      </c>
      <c r="P109" s="50" t="s">
        <v>1073</v>
      </c>
      <c r="Q109" s="50" t="s">
        <v>1218</v>
      </c>
      <c r="R109" s="50" t="s">
        <v>1054</v>
      </c>
      <c r="S109" s="50" t="s">
        <v>1219</v>
      </c>
      <c r="T109" s="50">
        <v>1615</v>
      </c>
      <c r="U109" s="50" t="s">
        <v>1024</v>
      </c>
      <c r="V109" s="50" t="s">
        <v>1216</v>
      </c>
      <c r="W109" s="50"/>
      <c r="X109" s="6"/>
      <c r="Y109" s="6"/>
    </row>
    <row r="110" spans="14:25" x14ac:dyDescent="0.4">
      <c r="N110" s="25">
        <v>45858</v>
      </c>
      <c r="O110" s="26">
        <v>0.22776620370370371</v>
      </c>
      <c r="P110" s="50" t="s">
        <v>1073</v>
      </c>
      <c r="Q110" s="50" t="s">
        <v>1218</v>
      </c>
      <c r="R110" s="50" t="s">
        <v>1054</v>
      </c>
      <c r="S110" s="50" t="s">
        <v>1219</v>
      </c>
      <c r="T110" s="50">
        <v>1615</v>
      </c>
      <c r="U110" s="50" t="s">
        <v>1024</v>
      </c>
      <c r="V110" s="50" t="s">
        <v>1216</v>
      </c>
      <c r="W110" s="50"/>
      <c r="X110" s="6"/>
      <c r="Y110" s="6"/>
    </row>
    <row r="111" spans="14:25" x14ac:dyDescent="0.4">
      <c r="N111" s="25">
        <v>45858</v>
      </c>
      <c r="O111" s="26">
        <v>0.56736111111111109</v>
      </c>
      <c r="P111" s="50" t="s">
        <v>1020</v>
      </c>
      <c r="Q111" s="50" t="s">
        <v>1029</v>
      </c>
      <c r="R111" s="50" t="s">
        <v>1045</v>
      </c>
      <c r="S111" s="50" t="s">
        <v>1626</v>
      </c>
      <c r="T111" s="50">
        <v>-10000</v>
      </c>
      <c r="U111" s="50" t="s">
        <v>1024</v>
      </c>
      <c r="V111" s="50" t="s">
        <v>1164</v>
      </c>
      <c r="W111" s="50" t="s">
        <v>1627</v>
      </c>
      <c r="X111" s="6"/>
      <c r="Y111" s="6"/>
    </row>
    <row r="112" spans="14:25" x14ac:dyDescent="0.4">
      <c r="N112" s="25">
        <v>45858</v>
      </c>
      <c r="O112" s="26">
        <v>0.57945601851851847</v>
      </c>
      <c r="P112" s="50" t="s">
        <v>1053</v>
      </c>
      <c r="Q112" s="50" t="s">
        <v>1066</v>
      </c>
      <c r="R112" s="50" t="s">
        <v>1054</v>
      </c>
      <c r="S112" s="50" t="s">
        <v>1628</v>
      </c>
      <c r="T112" s="50">
        <v>-995</v>
      </c>
      <c r="U112" s="50" t="s">
        <v>1024</v>
      </c>
      <c r="V112" s="50" t="s">
        <v>1036</v>
      </c>
      <c r="W112" s="50"/>
      <c r="X112" s="6"/>
      <c r="Y112" s="6"/>
    </row>
    <row r="113" spans="14:25" x14ac:dyDescent="0.4">
      <c r="N113" s="25">
        <v>45858</v>
      </c>
      <c r="O113" s="26">
        <v>0.59854166666666664</v>
      </c>
      <c r="P113" s="50" t="s">
        <v>1020</v>
      </c>
      <c r="Q113" s="50" t="s">
        <v>1029</v>
      </c>
      <c r="R113" s="50" t="s">
        <v>1030</v>
      </c>
      <c r="S113" s="50" t="s">
        <v>1172</v>
      </c>
      <c r="T113" s="50">
        <v>-42320</v>
      </c>
      <c r="U113" s="50" t="s">
        <v>1024</v>
      </c>
      <c r="V113" s="50" t="s">
        <v>1025</v>
      </c>
      <c r="W113" s="50" t="s">
        <v>1629</v>
      </c>
      <c r="X113" s="6"/>
      <c r="Y113" s="6"/>
    </row>
    <row r="114" spans="14:25" x14ac:dyDescent="0.4">
      <c r="N114" s="25">
        <v>45858</v>
      </c>
      <c r="O114" s="26">
        <v>0.60428240740740746</v>
      </c>
      <c r="P114" s="50" t="s">
        <v>1020</v>
      </c>
      <c r="Q114" s="50" t="s">
        <v>1029</v>
      </c>
      <c r="R114" s="50" t="s">
        <v>1070</v>
      </c>
      <c r="S114" s="50" t="s">
        <v>1630</v>
      </c>
      <c r="T114" s="50">
        <v>-1900</v>
      </c>
      <c r="U114" s="50" t="s">
        <v>1024</v>
      </c>
      <c r="V114" s="50" t="s">
        <v>1099</v>
      </c>
      <c r="W114" s="50"/>
      <c r="X114" s="6"/>
      <c r="Y114" s="6"/>
    </row>
    <row r="115" spans="14:25" x14ac:dyDescent="0.4">
      <c r="N115" s="25">
        <v>45859</v>
      </c>
      <c r="O115" s="26">
        <v>0.2275115740740741</v>
      </c>
      <c r="P115" s="50" t="s">
        <v>1073</v>
      </c>
      <c r="Q115" s="50" t="s">
        <v>1218</v>
      </c>
      <c r="R115" s="50" t="s">
        <v>1054</v>
      </c>
      <c r="S115" s="50" t="s">
        <v>1219</v>
      </c>
      <c r="T115" s="50">
        <v>1615</v>
      </c>
      <c r="U115" s="50" t="s">
        <v>1024</v>
      </c>
      <c r="V115" s="50" t="s">
        <v>1216</v>
      </c>
      <c r="W115" s="50"/>
      <c r="X115" s="6"/>
      <c r="Y115" s="6"/>
    </row>
    <row r="116" spans="14:25" x14ac:dyDescent="0.4">
      <c r="N116" s="25">
        <v>45859</v>
      </c>
      <c r="O116" s="26">
        <v>0.36062499999999997</v>
      </c>
      <c r="P116" s="50" t="s">
        <v>1020</v>
      </c>
      <c r="Q116" s="50" t="s">
        <v>1026</v>
      </c>
      <c r="R116" s="50" t="s">
        <v>1093</v>
      </c>
      <c r="S116" s="50" t="s">
        <v>1094</v>
      </c>
      <c r="T116" s="50">
        <v>-22000</v>
      </c>
      <c r="U116" s="50" t="s">
        <v>1024</v>
      </c>
      <c r="V116" s="50" t="s">
        <v>1025</v>
      </c>
      <c r="W116" s="50"/>
      <c r="X116" s="6"/>
      <c r="Y116" s="6"/>
    </row>
    <row r="117" spans="14:25" x14ac:dyDescent="0.4">
      <c r="N117" s="25">
        <v>45859</v>
      </c>
      <c r="O117" s="26">
        <v>0.36062499999999997</v>
      </c>
      <c r="P117" s="50" t="s">
        <v>1020</v>
      </c>
      <c r="Q117" s="50" t="s">
        <v>1026</v>
      </c>
      <c r="R117" s="50" t="s">
        <v>1093</v>
      </c>
      <c r="S117" s="50" t="s">
        <v>1095</v>
      </c>
      <c r="T117" s="50">
        <v>-41690</v>
      </c>
      <c r="U117" s="50" t="s">
        <v>1024</v>
      </c>
      <c r="V117" s="50" t="s">
        <v>1025</v>
      </c>
      <c r="W117" s="50"/>
      <c r="X117" s="6"/>
      <c r="Y117" s="6"/>
    </row>
    <row r="118" spans="14:25" x14ac:dyDescent="0.4">
      <c r="N118" s="25">
        <v>45860</v>
      </c>
      <c r="O118" s="26">
        <v>0.17641203703703701</v>
      </c>
      <c r="P118" s="50" t="s">
        <v>1073</v>
      </c>
      <c r="Q118" s="50" t="s">
        <v>1218</v>
      </c>
      <c r="R118" s="50" t="s">
        <v>1054</v>
      </c>
      <c r="S118" s="50" t="s">
        <v>1219</v>
      </c>
      <c r="T118" s="50">
        <v>1615</v>
      </c>
      <c r="U118" s="50" t="s">
        <v>1024</v>
      </c>
      <c r="V118" s="50" t="s">
        <v>1216</v>
      </c>
      <c r="W118" s="50"/>
      <c r="X118" s="6"/>
      <c r="Y118" s="6"/>
    </row>
    <row r="119" spans="14:25" x14ac:dyDescent="0.4">
      <c r="N119" s="25">
        <v>45860</v>
      </c>
      <c r="O119" s="26">
        <v>0.41393518518518518</v>
      </c>
      <c r="P119" s="50" t="s">
        <v>1020</v>
      </c>
      <c r="Q119" s="50" t="s">
        <v>1047</v>
      </c>
      <c r="R119" s="50" t="s">
        <v>1063</v>
      </c>
      <c r="S119" s="50" t="s">
        <v>1569</v>
      </c>
      <c r="T119" s="50">
        <v>-2688000</v>
      </c>
      <c r="U119" s="50" t="s">
        <v>1024</v>
      </c>
      <c r="V119" s="50" t="s">
        <v>1025</v>
      </c>
      <c r="W119" s="50" t="s">
        <v>1631</v>
      </c>
      <c r="X119" s="6"/>
      <c r="Y119" s="6"/>
    </row>
    <row r="120" spans="14:25" x14ac:dyDescent="0.4">
      <c r="N120" s="25">
        <v>45860</v>
      </c>
      <c r="O120" s="26">
        <v>0.45450231481481479</v>
      </c>
      <c r="P120" s="50" t="s">
        <v>1020</v>
      </c>
      <c r="Q120" s="50" t="s">
        <v>1042</v>
      </c>
      <c r="R120" s="50" t="s">
        <v>1043</v>
      </c>
      <c r="S120" s="50" t="s">
        <v>1632</v>
      </c>
      <c r="T120" s="50">
        <v>-47300</v>
      </c>
      <c r="U120" s="50" t="s">
        <v>1024</v>
      </c>
      <c r="V120" s="50" t="s">
        <v>1099</v>
      </c>
      <c r="W120" s="50" t="s">
        <v>1631</v>
      </c>
      <c r="X120" s="6"/>
      <c r="Y120" s="6"/>
    </row>
    <row r="121" spans="14:25" x14ac:dyDescent="0.4">
      <c r="N121" s="25">
        <v>45860</v>
      </c>
      <c r="O121" s="26">
        <v>0.56564814814814812</v>
      </c>
      <c r="P121" s="50" t="s">
        <v>1020</v>
      </c>
      <c r="Q121" s="50" t="s">
        <v>1029</v>
      </c>
      <c r="R121" s="50" t="s">
        <v>1070</v>
      </c>
      <c r="S121" s="50" t="s">
        <v>1071</v>
      </c>
      <c r="T121" s="50">
        <v>-23800</v>
      </c>
      <c r="U121" s="50" t="s">
        <v>1024</v>
      </c>
      <c r="V121" s="50" t="s">
        <v>1025</v>
      </c>
      <c r="W121" s="50" t="s">
        <v>1633</v>
      </c>
      <c r="X121" s="6"/>
      <c r="Y121" s="6"/>
    </row>
    <row r="122" spans="14:25" x14ac:dyDescent="0.4">
      <c r="N122" s="25">
        <v>45860</v>
      </c>
      <c r="O122" s="26">
        <v>0.57593749999999999</v>
      </c>
      <c r="P122" s="50" t="s">
        <v>1020</v>
      </c>
      <c r="Q122" s="50" t="s">
        <v>1021</v>
      </c>
      <c r="R122" s="50" t="s">
        <v>1566</v>
      </c>
      <c r="S122" s="50" t="s">
        <v>1437</v>
      </c>
      <c r="T122" s="50">
        <v>-35900</v>
      </c>
      <c r="U122" s="50" t="s">
        <v>1024</v>
      </c>
      <c r="V122" s="50" t="s">
        <v>1025</v>
      </c>
      <c r="W122" s="50" t="s">
        <v>1634</v>
      </c>
      <c r="X122" s="6"/>
      <c r="Y122" s="6"/>
    </row>
    <row r="123" spans="14:25" x14ac:dyDescent="0.4">
      <c r="N123" s="25">
        <v>45860</v>
      </c>
      <c r="O123" s="26">
        <v>0.57809027777777777</v>
      </c>
      <c r="P123" s="50" t="s">
        <v>1020</v>
      </c>
      <c r="Q123" s="50" t="s">
        <v>1029</v>
      </c>
      <c r="R123" s="50" t="s">
        <v>1030</v>
      </c>
      <c r="S123" s="50" t="s">
        <v>1635</v>
      </c>
      <c r="T123" s="50">
        <v>-35500</v>
      </c>
      <c r="U123" s="50" t="s">
        <v>1024</v>
      </c>
      <c r="V123" s="50" t="s">
        <v>1099</v>
      </c>
      <c r="W123" s="50" t="s">
        <v>1636</v>
      </c>
      <c r="X123" s="6"/>
      <c r="Y123" s="6"/>
    </row>
    <row r="124" spans="14:25" x14ac:dyDescent="0.4">
      <c r="N124" s="25">
        <v>45860</v>
      </c>
      <c r="O124" s="26">
        <v>0.74664351851851851</v>
      </c>
      <c r="P124" s="50" t="s">
        <v>1020</v>
      </c>
      <c r="Q124" s="50" t="s">
        <v>1029</v>
      </c>
      <c r="R124" s="50" t="s">
        <v>1030</v>
      </c>
      <c r="S124" s="50" t="s">
        <v>1637</v>
      </c>
      <c r="T124" s="50">
        <v>-9900</v>
      </c>
      <c r="U124" s="50" t="s">
        <v>1024</v>
      </c>
      <c r="V124" s="50" t="s">
        <v>1099</v>
      </c>
      <c r="W124" s="50" t="s">
        <v>1638</v>
      </c>
      <c r="X124" s="6"/>
      <c r="Y124" s="6"/>
    </row>
    <row r="125" spans="14:25" x14ac:dyDescent="0.4">
      <c r="N125" s="25">
        <v>45861</v>
      </c>
      <c r="O125" s="26">
        <v>0.17699074074074081</v>
      </c>
      <c r="P125" s="50" t="s">
        <v>1073</v>
      </c>
      <c r="Q125" s="50" t="s">
        <v>1218</v>
      </c>
      <c r="R125" s="50" t="s">
        <v>1054</v>
      </c>
      <c r="S125" s="50" t="s">
        <v>1219</v>
      </c>
      <c r="T125" s="50">
        <v>1615</v>
      </c>
      <c r="U125" s="50" t="s">
        <v>1024</v>
      </c>
      <c r="V125" s="50" t="s">
        <v>1216</v>
      </c>
      <c r="W125" s="50"/>
      <c r="X125" s="6"/>
      <c r="Y125" s="6"/>
    </row>
    <row r="126" spans="14:25" x14ac:dyDescent="0.4">
      <c r="N126" s="25">
        <v>45861</v>
      </c>
      <c r="O126" s="26">
        <v>0.30708333333333332</v>
      </c>
      <c r="P126" s="50" t="s">
        <v>1020</v>
      </c>
      <c r="Q126" s="50" t="s">
        <v>1026</v>
      </c>
      <c r="R126" s="50" t="s">
        <v>1151</v>
      </c>
      <c r="S126" s="50" t="s">
        <v>1639</v>
      </c>
      <c r="T126" s="50">
        <v>-10000</v>
      </c>
      <c r="U126" s="50" t="s">
        <v>1024</v>
      </c>
      <c r="V126" s="50" t="s">
        <v>1025</v>
      </c>
      <c r="W126" s="50" t="s">
        <v>1640</v>
      </c>
      <c r="X126" s="6"/>
      <c r="Y126" s="6"/>
    </row>
    <row r="127" spans="14:25" x14ac:dyDescent="0.4">
      <c r="N127" s="25">
        <v>45861</v>
      </c>
      <c r="O127" s="26">
        <v>0.60935185185185181</v>
      </c>
      <c r="P127" s="50" t="s">
        <v>1020</v>
      </c>
      <c r="Q127" s="50" t="s">
        <v>1029</v>
      </c>
      <c r="R127" s="50" t="s">
        <v>1045</v>
      </c>
      <c r="S127" s="50" t="s">
        <v>1031</v>
      </c>
      <c r="T127" s="50">
        <v>-8900</v>
      </c>
      <c r="U127" s="50" t="s">
        <v>1024</v>
      </c>
      <c r="V127" s="50" t="s">
        <v>1025</v>
      </c>
      <c r="W127" s="50" t="s">
        <v>1641</v>
      </c>
      <c r="X127" s="6"/>
      <c r="Y127" s="6"/>
    </row>
    <row r="128" spans="14:25" x14ac:dyDescent="0.4">
      <c r="N128" s="25">
        <v>45861</v>
      </c>
      <c r="O128" s="26">
        <v>0.61094907407407406</v>
      </c>
      <c r="P128" s="50" t="s">
        <v>1020</v>
      </c>
      <c r="Q128" s="50" t="s">
        <v>1047</v>
      </c>
      <c r="R128" s="50" t="s">
        <v>1177</v>
      </c>
      <c r="S128" s="50" t="s">
        <v>1642</v>
      </c>
      <c r="T128" s="50">
        <v>-74944</v>
      </c>
      <c r="U128" s="50" t="s">
        <v>1024</v>
      </c>
      <c r="V128" s="50" t="s">
        <v>1228</v>
      </c>
      <c r="W128" s="50" t="s">
        <v>1643</v>
      </c>
      <c r="X128" s="6"/>
      <c r="Y128" s="6"/>
    </row>
    <row r="129" spans="14:25" x14ac:dyDescent="0.4">
      <c r="N129" s="25">
        <v>45861</v>
      </c>
      <c r="O129" s="26">
        <v>0.61094907407407406</v>
      </c>
      <c r="P129" s="50" t="s">
        <v>1020</v>
      </c>
      <c r="Q129" s="50" t="s">
        <v>1047</v>
      </c>
      <c r="R129" s="50" t="s">
        <v>1177</v>
      </c>
      <c r="S129" s="50" t="s">
        <v>1642</v>
      </c>
      <c r="T129" s="50">
        <v>-24956</v>
      </c>
      <c r="U129" s="50" t="s">
        <v>1024</v>
      </c>
      <c r="V129" s="50" t="s">
        <v>1297</v>
      </c>
      <c r="W129" s="50" t="s">
        <v>1643</v>
      </c>
      <c r="X129" s="6"/>
      <c r="Y129" s="6"/>
    </row>
    <row r="130" spans="14:25" x14ac:dyDescent="0.4">
      <c r="N130" s="25">
        <v>45861</v>
      </c>
      <c r="O130" s="26">
        <v>0.61103009259259256</v>
      </c>
      <c r="P130" s="50" t="s">
        <v>1053</v>
      </c>
      <c r="Q130" s="50" t="s">
        <v>1053</v>
      </c>
      <c r="R130" s="50" t="s">
        <v>1054</v>
      </c>
      <c r="S130" s="50" t="s">
        <v>1232</v>
      </c>
      <c r="T130" s="50">
        <v>-70000</v>
      </c>
      <c r="U130" s="50" t="s">
        <v>1024</v>
      </c>
      <c r="V130" s="50" t="s">
        <v>1036</v>
      </c>
      <c r="W130" s="50"/>
      <c r="X130" s="6"/>
      <c r="Y130" s="6"/>
    </row>
    <row r="131" spans="14:25" x14ac:dyDescent="0.4">
      <c r="N131" s="25">
        <v>45861</v>
      </c>
      <c r="O131" s="26">
        <v>0.61104166666666671</v>
      </c>
      <c r="P131" s="50" t="s">
        <v>1053</v>
      </c>
      <c r="Q131" s="50" t="s">
        <v>1053</v>
      </c>
      <c r="R131" s="50" t="s">
        <v>1054</v>
      </c>
      <c r="S131" s="50" t="s">
        <v>1230</v>
      </c>
      <c r="T131" s="50">
        <v>70000</v>
      </c>
      <c r="U131" s="50" t="s">
        <v>1024</v>
      </c>
      <c r="V131" s="50" t="s">
        <v>1231</v>
      </c>
      <c r="W131" s="50"/>
      <c r="X131" s="6"/>
      <c r="Y131" s="6"/>
    </row>
    <row r="132" spans="14:25" x14ac:dyDescent="0.4">
      <c r="N132" s="25">
        <v>45861</v>
      </c>
      <c r="O132" s="26">
        <v>0.80164351851851856</v>
      </c>
      <c r="P132" s="50" t="s">
        <v>1020</v>
      </c>
      <c r="Q132" s="50" t="s">
        <v>1644</v>
      </c>
      <c r="R132" s="50" t="s">
        <v>1645</v>
      </c>
      <c r="S132" s="50" t="s">
        <v>1645</v>
      </c>
      <c r="T132" s="50">
        <v>-314550</v>
      </c>
      <c r="U132" s="50" t="s">
        <v>1024</v>
      </c>
      <c r="V132" s="50" t="s">
        <v>1036</v>
      </c>
      <c r="W132" s="50"/>
      <c r="X132" s="6"/>
      <c r="Y132" s="6"/>
    </row>
    <row r="133" spans="14:25" x14ac:dyDescent="0.4">
      <c r="N133" s="25">
        <v>45861</v>
      </c>
      <c r="O133" s="26">
        <v>0.81167824074074069</v>
      </c>
      <c r="P133" s="50" t="s">
        <v>1020</v>
      </c>
      <c r="Q133" s="50" t="s">
        <v>1026</v>
      </c>
      <c r="R133" s="50" t="s">
        <v>1115</v>
      </c>
      <c r="S133" s="50" t="s">
        <v>1646</v>
      </c>
      <c r="T133" s="50">
        <v>-14232</v>
      </c>
      <c r="U133" s="50" t="s">
        <v>1024</v>
      </c>
      <c r="V133" s="50" t="s">
        <v>1036</v>
      </c>
      <c r="W133" s="50"/>
      <c r="X133" s="6"/>
      <c r="Y133" s="6"/>
    </row>
    <row r="134" spans="14:25" x14ac:dyDescent="0.4">
      <c r="N134" s="25">
        <v>45862</v>
      </c>
      <c r="O134" s="26">
        <v>0.17872685185185189</v>
      </c>
      <c r="P134" s="50" t="s">
        <v>1073</v>
      </c>
      <c r="Q134" s="50" t="s">
        <v>1218</v>
      </c>
      <c r="R134" s="50" t="s">
        <v>1054</v>
      </c>
      <c r="S134" s="50" t="s">
        <v>1219</v>
      </c>
      <c r="T134" s="50">
        <v>1616</v>
      </c>
      <c r="U134" s="50" t="s">
        <v>1024</v>
      </c>
      <c r="V134" s="50" t="s">
        <v>1216</v>
      </c>
      <c r="W134" s="50"/>
      <c r="X134" s="6"/>
      <c r="Y134" s="6"/>
    </row>
    <row r="135" spans="14:25" x14ac:dyDescent="0.4">
      <c r="N135" s="25">
        <v>45862</v>
      </c>
      <c r="O135" s="26">
        <v>0.35564814814814821</v>
      </c>
      <c r="P135" s="50" t="s">
        <v>1020</v>
      </c>
      <c r="Q135" s="50" t="s">
        <v>1029</v>
      </c>
      <c r="R135" s="50" t="s">
        <v>1030</v>
      </c>
      <c r="S135" s="50" t="s">
        <v>1031</v>
      </c>
      <c r="T135" s="50">
        <v>-49570</v>
      </c>
      <c r="U135" s="50" t="s">
        <v>1024</v>
      </c>
      <c r="V135" s="50" t="s">
        <v>1025</v>
      </c>
      <c r="W135" s="50" t="s">
        <v>1647</v>
      </c>
      <c r="X135" s="6"/>
      <c r="Y135" s="6"/>
    </row>
    <row r="136" spans="14:25" x14ac:dyDescent="0.4">
      <c r="N136" s="25">
        <v>45862</v>
      </c>
      <c r="O136" s="26">
        <v>0.40939814814814812</v>
      </c>
      <c r="P136" s="50" t="s">
        <v>1020</v>
      </c>
      <c r="Q136" s="50" t="s">
        <v>1029</v>
      </c>
      <c r="R136" s="50" t="s">
        <v>1045</v>
      </c>
      <c r="S136" s="50" t="s">
        <v>1031</v>
      </c>
      <c r="T136" s="50">
        <v>-6180</v>
      </c>
      <c r="U136" s="50" t="s">
        <v>1024</v>
      </c>
      <c r="V136" s="50" t="s">
        <v>1025</v>
      </c>
      <c r="W136" s="50" t="s">
        <v>1648</v>
      </c>
      <c r="X136" s="6"/>
      <c r="Y136" s="6"/>
    </row>
    <row r="137" spans="14:25" x14ac:dyDescent="0.4">
      <c r="N137" s="25">
        <v>45862</v>
      </c>
      <c r="O137" s="26">
        <v>0.41336805555555561</v>
      </c>
      <c r="P137" s="50" t="s">
        <v>1020</v>
      </c>
      <c r="Q137" s="50" t="s">
        <v>1029</v>
      </c>
      <c r="R137" s="50" t="s">
        <v>1030</v>
      </c>
      <c r="S137" s="50" t="s">
        <v>1031</v>
      </c>
      <c r="T137" s="50">
        <v>-10710</v>
      </c>
      <c r="U137" s="50" t="s">
        <v>1024</v>
      </c>
      <c r="V137" s="50" t="s">
        <v>1025</v>
      </c>
      <c r="W137" s="50" t="s">
        <v>1649</v>
      </c>
      <c r="X137" s="6"/>
      <c r="Y137" s="6"/>
    </row>
    <row r="138" spans="14:25" x14ac:dyDescent="0.4">
      <c r="N138" s="25">
        <v>45862</v>
      </c>
      <c r="O138" s="26">
        <v>0.66137731481481477</v>
      </c>
      <c r="P138" s="50" t="s">
        <v>1020</v>
      </c>
      <c r="Q138" s="50" t="s">
        <v>1029</v>
      </c>
      <c r="R138" s="50" t="s">
        <v>1047</v>
      </c>
      <c r="S138" s="50" t="s">
        <v>1650</v>
      </c>
      <c r="T138" s="50">
        <v>-20657</v>
      </c>
      <c r="U138" s="50" t="s">
        <v>1024</v>
      </c>
      <c r="V138" s="50" t="s">
        <v>1036</v>
      </c>
      <c r="W138" s="50" t="s">
        <v>1651</v>
      </c>
      <c r="X138" s="6"/>
      <c r="Y138" s="6"/>
    </row>
    <row r="139" spans="14:25" x14ac:dyDescent="0.4">
      <c r="N139" s="25">
        <v>45862</v>
      </c>
      <c r="O139" s="26">
        <v>0.79900462962962959</v>
      </c>
      <c r="P139" s="50" t="s">
        <v>1020</v>
      </c>
      <c r="Q139" s="50" t="s">
        <v>1047</v>
      </c>
      <c r="R139" s="50" t="s">
        <v>1048</v>
      </c>
      <c r="S139" s="50" t="s">
        <v>1122</v>
      </c>
      <c r="T139" s="50">
        <v>-41428</v>
      </c>
      <c r="U139" s="50" t="s">
        <v>1024</v>
      </c>
      <c r="V139" s="50" t="s">
        <v>1350</v>
      </c>
      <c r="W139" s="50" t="s">
        <v>1652</v>
      </c>
      <c r="X139" s="6"/>
      <c r="Y139" s="6"/>
    </row>
    <row r="140" spans="14:25" x14ac:dyDescent="0.4">
      <c r="N140" s="25">
        <v>45862</v>
      </c>
      <c r="O140" s="26">
        <v>0.79900462962962959</v>
      </c>
      <c r="P140" s="50" t="s">
        <v>1020</v>
      </c>
      <c r="Q140" s="50" t="s">
        <v>1047</v>
      </c>
      <c r="R140" s="50" t="s">
        <v>1048</v>
      </c>
      <c r="S140" s="50" t="s">
        <v>1653</v>
      </c>
      <c r="T140" s="50">
        <v>-572</v>
      </c>
      <c r="U140" s="50" t="s">
        <v>1024</v>
      </c>
      <c r="V140" s="50" t="s">
        <v>1228</v>
      </c>
      <c r="W140" s="50" t="s">
        <v>1652</v>
      </c>
      <c r="X140" s="6"/>
      <c r="Y140" s="6"/>
    </row>
    <row r="141" spans="14:25" x14ac:dyDescent="0.4">
      <c r="N141" s="25">
        <v>45862</v>
      </c>
      <c r="O141" s="26">
        <v>0.9045023148148148</v>
      </c>
      <c r="P141" s="50" t="s">
        <v>1053</v>
      </c>
      <c r="Q141" s="50" t="s">
        <v>1053</v>
      </c>
      <c r="R141" s="50" t="s">
        <v>1054</v>
      </c>
      <c r="S141" s="50" t="s">
        <v>1217</v>
      </c>
      <c r="T141" s="50">
        <v>1000000</v>
      </c>
      <c r="U141" s="50" t="s">
        <v>1024</v>
      </c>
      <c r="V141" s="50" t="s">
        <v>1214</v>
      </c>
      <c r="W141" s="50"/>
      <c r="X141" s="6"/>
      <c r="Y141" s="6"/>
    </row>
    <row r="142" spans="14:25" x14ac:dyDescent="0.4">
      <c r="N142" s="25">
        <v>45862</v>
      </c>
      <c r="O142" s="26">
        <v>0.9045023148148148</v>
      </c>
      <c r="P142" s="50" t="s">
        <v>1053</v>
      </c>
      <c r="Q142" s="50" t="s">
        <v>1053</v>
      </c>
      <c r="R142" s="50" t="s">
        <v>1054</v>
      </c>
      <c r="S142" s="50" t="s">
        <v>1256</v>
      </c>
      <c r="T142" s="50">
        <v>-1000000</v>
      </c>
      <c r="U142" s="50" t="s">
        <v>1024</v>
      </c>
      <c r="V142" s="50" t="s">
        <v>1216</v>
      </c>
      <c r="W142" s="50"/>
      <c r="X142" s="6"/>
      <c r="Y142" s="6"/>
    </row>
    <row r="143" spans="14:25" x14ac:dyDescent="0.4">
      <c r="N143" s="25">
        <v>45862</v>
      </c>
      <c r="O143" s="26">
        <v>0.90462962962962967</v>
      </c>
      <c r="P143" s="50" t="s">
        <v>1053</v>
      </c>
      <c r="Q143" s="50" t="s">
        <v>1053</v>
      </c>
      <c r="R143" s="50" t="s">
        <v>1054</v>
      </c>
      <c r="S143" s="50" t="s">
        <v>1256</v>
      </c>
      <c r="T143" s="50">
        <v>-5000000</v>
      </c>
      <c r="U143" s="50" t="s">
        <v>1024</v>
      </c>
      <c r="V143" s="50" t="s">
        <v>1216</v>
      </c>
      <c r="W143" s="50"/>
      <c r="X143" s="6"/>
      <c r="Y143" s="6"/>
    </row>
    <row r="144" spans="14:25" x14ac:dyDescent="0.4">
      <c r="N144" s="25">
        <v>45862</v>
      </c>
      <c r="O144" s="26">
        <v>0.90462962962962967</v>
      </c>
      <c r="P144" s="50" t="s">
        <v>1053</v>
      </c>
      <c r="Q144" s="50" t="s">
        <v>1053</v>
      </c>
      <c r="R144" s="50" t="s">
        <v>1054</v>
      </c>
      <c r="S144" s="50" t="s">
        <v>1217</v>
      </c>
      <c r="T144" s="50">
        <v>5000000</v>
      </c>
      <c r="U144" s="50" t="s">
        <v>1024</v>
      </c>
      <c r="V144" s="50" t="s">
        <v>1214</v>
      </c>
      <c r="W144" s="50"/>
      <c r="X144" s="6"/>
      <c r="Y144" s="6"/>
    </row>
    <row r="145" spans="14:25" x14ac:dyDescent="0.4">
      <c r="N145" s="25">
        <v>45862</v>
      </c>
      <c r="O145" s="26">
        <v>0.90519675925925924</v>
      </c>
      <c r="P145" s="50" t="s">
        <v>1053</v>
      </c>
      <c r="Q145" s="50" t="s">
        <v>1053</v>
      </c>
      <c r="R145" s="50" t="s">
        <v>1054</v>
      </c>
      <c r="S145" s="50" t="s">
        <v>1217</v>
      </c>
      <c r="T145" s="50">
        <v>9000000</v>
      </c>
      <c r="U145" s="50" t="s">
        <v>1024</v>
      </c>
      <c r="V145" s="50" t="s">
        <v>1214</v>
      </c>
      <c r="W145" s="50"/>
      <c r="X145" s="6"/>
      <c r="Y145" s="6"/>
    </row>
    <row r="146" spans="14:25" x14ac:dyDescent="0.4">
      <c r="N146" s="25">
        <v>45862</v>
      </c>
      <c r="O146" s="26">
        <v>0.90519675925925924</v>
      </c>
      <c r="P146" s="50" t="s">
        <v>1053</v>
      </c>
      <c r="Q146" s="50" t="s">
        <v>1053</v>
      </c>
      <c r="R146" s="50" t="s">
        <v>1054</v>
      </c>
      <c r="S146" s="50" t="s">
        <v>1256</v>
      </c>
      <c r="T146" s="50">
        <v>-9000000</v>
      </c>
      <c r="U146" s="50" t="s">
        <v>1024</v>
      </c>
      <c r="V146" s="50" t="s">
        <v>1216</v>
      </c>
      <c r="W146" s="50"/>
      <c r="X146" s="6"/>
      <c r="Y146" s="6"/>
    </row>
    <row r="147" spans="14:25" x14ac:dyDescent="0.4">
      <c r="N147" s="25">
        <v>45862</v>
      </c>
      <c r="O147" s="26">
        <v>0.90856481481481477</v>
      </c>
      <c r="P147" s="50" t="s">
        <v>1053</v>
      </c>
      <c r="Q147" s="50" t="s">
        <v>1053</v>
      </c>
      <c r="R147" s="50" t="s">
        <v>1054</v>
      </c>
      <c r="S147" s="50" t="s">
        <v>1103</v>
      </c>
      <c r="T147" s="50">
        <v>-15000000</v>
      </c>
      <c r="U147" s="50" t="s">
        <v>1024</v>
      </c>
      <c r="V147" s="50" t="s">
        <v>1214</v>
      </c>
      <c r="W147" s="50"/>
      <c r="X147" s="6"/>
      <c r="Y147" s="6"/>
    </row>
    <row r="148" spans="14:25" x14ac:dyDescent="0.4">
      <c r="N148" s="25">
        <v>45863</v>
      </c>
      <c r="O148" s="26">
        <v>0.17850694444444451</v>
      </c>
      <c r="P148" s="50" t="s">
        <v>1073</v>
      </c>
      <c r="Q148" s="50" t="s">
        <v>1218</v>
      </c>
      <c r="R148" s="50" t="s">
        <v>1054</v>
      </c>
      <c r="S148" s="50" t="s">
        <v>1219</v>
      </c>
      <c r="T148" s="50">
        <v>1058</v>
      </c>
      <c r="U148" s="50" t="s">
        <v>1024</v>
      </c>
      <c r="V148" s="50" t="s">
        <v>1216</v>
      </c>
      <c r="W148" s="50"/>
      <c r="X148" s="6"/>
      <c r="Y148" s="6"/>
    </row>
    <row r="149" spans="14:25" x14ac:dyDescent="0.4">
      <c r="N149" s="25">
        <v>45863</v>
      </c>
      <c r="O149" s="26">
        <v>0.25361111111111112</v>
      </c>
      <c r="P149" s="50" t="s">
        <v>1073</v>
      </c>
      <c r="Q149" s="50" t="s">
        <v>1117</v>
      </c>
      <c r="R149" s="50" t="s">
        <v>1054</v>
      </c>
      <c r="S149" s="50" t="s">
        <v>1118</v>
      </c>
      <c r="T149" s="50">
        <v>5300844</v>
      </c>
      <c r="U149" s="50" t="s">
        <v>1024</v>
      </c>
      <c r="V149" s="50" t="s">
        <v>1036</v>
      </c>
      <c r="W149" s="50"/>
      <c r="X149" s="6"/>
      <c r="Y149" s="6"/>
    </row>
    <row r="150" spans="14:25" x14ac:dyDescent="0.4">
      <c r="N150" s="25">
        <v>45863</v>
      </c>
      <c r="O150" s="26">
        <v>0.34370370370370368</v>
      </c>
      <c r="P150" s="50" t="s">
        <v>1020</v>
      </c>
      <c r="Q150" s="50" t="s">
        <v>1026</v>
      </c>
      <c r="R150" s="50" t="s">
        <v>1027</v>
      </c>
      <c r="S150" s="50" t="s">
        <v>1143</v>
      </c>
      <c r="T150" s="50">
        <v>-13900</v>
      </c>
      <c r="U150" s="50" t="s">
        <v>1024</v>
      </c>
      <c r="V150" s="50" t="s">
        <v>1025</v>
      </c>
      <c r="W150" s="50"/>
      <c r="X150" s="6"/>
      <c r="Y150" s="6"/>
    </row>
    <row r="151" spans="14:25" x14ac:dyDescent="0.4">
      <c r="N151" s="25">
        <v>45863</v>
      </c>
      <c r="O151" s="26">
        <v>0.40692129629629631</v>
      </c>
      <c r="P151" s="50" t="s">
        <v>1020</v>
      </c>
      <c r="Q151" s="50" t="s">
        <v>1026</v>
      </c>
      <c r="R151" s="50" t="s">
        <v>1139</v>
      </c>
      <c r="S151" s="50" t="s">
        <v>1140</v>
      </c>
      <c r="T151" s="50">
        <v>-100000</v>
      </c>
      <c r="U151" s="50" t="s">
        <v>1024</v>
      </c>
      <c r="V151" s="50" t="s">
        <v>1036</v>
      </c>
      <c r="W151" s="50"/>
      <c r="X151" s="6"/>
      <c r="Y151" s="6"/>
    </row>
    <row r="152" spans="14:25" x14ac:dyDescent="0.4">
      <c r="N152" s="25">
        <v>45863</v>
      </c>
      <c r="O152" s="26">
        <v>0.40692129629629631</v>
      </c>
      <c r="P152" s="50" t="s">
        <v>1020</v>
      </c>
      <c r="Q152" s="50" t="s">
        <v>1026</v>
      </c>
      <c r="R152" s="50" t="s">
        <v>1141</v>
      </c>
      <c r="S152" s="50" t="s">
        <v>1142</v>
      </c>
      <c r="T152" s="50">
        <v>-130000</v>
      </c>
      <c r="U152" s="50" t="s">
        <v>1024</v>
      </c>
      <c r="V152" s="50" t="s">
        <v>1036</v>
      </c>
      <c r="W152" s="50"/>
      <c r="X152" s="6"/>
      <c r="Y152" s="6"/>
    </row>
    <row r="153" spans="14:25" x14ac:dyDescent="0.4">
      <c r="N153" s="25">
        <v>45863</v>
      </c>
      <c r="O153" s="26">
        <v>0.42016203703703697</v>
      </c>
      <c r="P153" s="50" t="s">
        <v>1020</v>
      </c>
      <c r="Q153" s="50" t="s">
        <v>1026</v>
      </c>
      <c r="R153" s="50" t="s">
        <v>1137</v>
      </c>
      <c r="S153" s="50" t="s">
        <v>1138</v>
      </c>
      <c r="T153" s="50">
        <v>-100000</v>
      </c>
      <c r="U153" s="50" t="s">
        <v>1024</v>
      </c>
      <c r="V153" s="50" t="s">
        <v>1036</v>
      </c>
      <c r="W153" s="50"/>
      <c r="X153" s="6"/>
      <c r="Y153" s="6"/>
    </row>
    <row r="154" spans="14:25" x14ac:dyDescent="0.4">
      <c r="N154" s="25">
        <v>45863</v>
      </c>
      <c r="O154" s="26">
        <v>0.56157407407407411</v>
      </c>
      <c r="P154" s="50" t="s">
        <v>1020</v>
      </c>
      <c r="Q154" s="50" t="s">
        <v>1026</v>
      </c>
      <c r="R154" s="50" t="s">
        <v>1105</v>
      </c>
      <c r="S154" s="50" t="s">
        <v>1105</v>
      </c>
      <c r="T154" s="50">
        <v>-256830</v>
      </c>
      <c r="U154" s="50" t="s">
        <v>1024</v>
      </c>
      <c r="V154" s="50" t="s">
        <v>1025</v>
      </c>
      <c r="W154" s="50"/>
      <c r="X154" s="6"/>
      <c r="Y154" s="6"/>
    </row>
    <row r="155" spans="14:25" x14ac:dyDescent="0.4">
      <c r="N155" s="25">
        <v>45863</v>
      </c>
      <c r="O155" s="26">
        <v>0.57978009259259256</v>
      </c>
      <c r="P155" s="50" t="s">
        <v>1020</v>
      </c>
      <c r="Q155" s="50" t="s">
        <v>1026</v>
      </c>
      <c r="R155" s="50" t="s">
        <v>1115</v>
      </c>
      <c r="S155" s="50" t="s">
        <v>1136</v>
      </c>
      <c r="T155" s="50">
        <v>-62690</v>
      </c>
      <c r="U155" s="50" t="s">
        <v>1024</v>
      </c>
      <c r="V155" s="50" t="s">
        <v>1025</v>
      </c>
      <c r="W155" s="50"/>
      <c r="X155" s="6"/>
      <c r="Y155" s="6"/>
    </row>
    <row r="156" spans="14:25" x14ac:dyDescent="0.4">
      <c r="N156" s="25">
        <v>45863</v>
      </c>
      <c r="O156" s="26">
        <v>0.81332175925925931</v>
      </c>
      <c r="P156" s="50" t="s">
        <v>1020</v>
      </c>
      <c r="Q156" s="50" t="s">
        <v>1026</v>
      </c>
      <c r="R156" s="50" t="s">
        <v>1115</v>
      </c>
      <c r="S156" s="50" t="s">
        <v>1654</v>
      </c>
      <c r="T156" s="50">
        <v>-224943</v>
      </c>
      <c r="U156" s="50" t="s">
        <v>1024</v>
      </c>
      <c r="V156" s="50" t="s">
        <v>1036</v>
      </c>
      <c r="W156" s="50"/>
      <c r="X156" s="6"/>
      <c r="Y156" s="6"/>
    </row>
    <row r="157" spans="14:25" x14ac:dyDescent="0.4">
      <c r="N157" s="25">
        <v>45863</v>
      </c>
      <c r="O157" s="26">
        <v>0.82611111111111113</v>
      </c>
      <c r="P157" s="50" t="s">
        <v>1020</v>
      </c>
      <c r="Q157" s="50" t="s">
        <v>1148</v>
      </c>
      <c r="R157" s="50" t="s">
        <v>1149</v>
      </c>
      <c r="S157" s="50" t="s">
        <v>1150</v>
      </c>
      <c r="T157" s="50">
        <v>-878089</v>
      </c>
      <c r="U157" s="50" t="s">
        <v>1024</v>
      </c>
      <c r="V157" s="50" t="s">
        <v>1036</v>
      </c>
      <c r="W157" s="50"/>
      <c r="X157" s="6"/>
      <c r="Y157" s="6"/>
    </row>
    <row r="158" spans="14:25" x14ac:dyDescent="0.4">
      <c r="N158" s="25">
        <v>45863</v>
      </c>
      <c r="O158" s="26">
        <v>0.83969907407407407</v>
      </c>
      <c r="P158" s="50" t="s">
        <v>1073</v>
      </c>
      <c r="Q158" s="50" t="s">
        <v>1047</v>
      </c>
      <c r="R158" s="50" t="s">
        <v>1054</v>
      </c>
      <c r="S158" s="50" t="s">
        <v>1655</v>
      </c>
      <c r="T158" s="50">
        <v>100000</v>
      </c>
      <c r="U158" s="50" t="s">
        <v>1024</v>
      </c>
      <c r="V158" s="50" t="s">
        <v>1079</v>
      </c>
      <c r="W158" s="50" t="s">
        <v>1656</v>
      </c>
      <c r="X158" s="6"/>
      <c r="Y158" s="6"/>
    </row>
    <row r="159" spans="14:25" x14ac:dyDescent="0.4">
      <c r="N159" s="25">
        <v>45864</v>
      </c>
      <c r="O159" s="26">
        <v>0.1776851851851852</v>
      </c>
      <c r="P159" s="50" t="s">
        <v>1073</v>
      </c>
      <c r="Q159" s="50" t="s">
        <v>1218</v>
      </c>
      <c r="R159" s="50" t="s">
        <v>1054</v>
      </c>
      <c r="S159" s="50" t="s">
        <v>1219</v>
      </c>
      <c r="T159" s="50">
        <v>1058</v>
      </c>
      <c r="U159" s="50" t="s">
        <v>1024</v>
      </c>
      <c r="V159" s="50" t="s">
        <v>1216</v>
      </c>
      <c r="W159" s="50"/>
      <c r="X159" s="6"/>
      <c r="Y159" s="6"/>
    </row>
    <row r="160" spans="14:25" x14ac:dyDescent="0.4">
      <c r="N160" s="25">
        <v>45864</v>
      </c>
      <c r="O160" s="26">
        <v>0.4418287037037037</v>
      </c>
      <c r="P160" s="50" t="s">
        <v>1020</v>
      </c>
      <c r="Q160" s="50" t="s">
        <v>1029</v>
      </c>
      <c r="R160" s="50" t="s">
        <v>1070</v>
      </c>
      <c r="S160" s="50" t="s">
        <v>1657</v>
      </c>
      <c r="T160" s="50">
        <v>-10900</v>
      </c>
      <c r="U160" s="50" t="s">
        <v>1024</v>
      </c>
      <c r="V160" s="50" t="s">
        <v>1099</v>
      </c>
      <c r="W160" s="50"/>
      <c r="X160" s="6"/>
      <c r="Y160" s="6"/>
    </row>
    <row r="161" spans="14:25" x14ac:dyDescent="0.4">
      <c r="N161" s="25">
        <v>45864</v>
      </c>
      <c r="O161" s="26">
        <v>0.44476851851851851</v>
      </c>
      <c r="P161" s="50" t="s">
        <v>1020</v>
      </c>
      <c r="Q161" s="50" t="s">
        <v>1029</v>
      </c>
      <c r="R161" s="50" t="s">
        <v>1070</v>
      </c>
      <c r="S161" s="50" t="s">
        <v>1658</v>
      </c>
      <c r="T161" s="50">
        <v>-6700</v>
      </c>
      <c r="U161" s="50" t="s">
        <v>1024</v>
      </c>
      <c r="V161" s="50" t="s">
        <v>1025</v>
      </c>
      <c r="W161" s="50"/>
      <c r="X161" s="6"/>
      <c r="Y161" s="6"/>
    </row>
    <row r="162" spans="14:25" x14ac:dyDescent="0.4">
      <c r="N162" s="25">
        <v>45864</v>
      </c>
      <c r="O162" s="26">
        <v>0.77280092592592597</v>
      </c>
      <c r="P162" s="50" t="s">
        <v>1020</v>
      </c>
      <c r="Q162" s="50" t="s">
        <v>1029</v>
      </c>
      <c r="R162" s="50" t="s">
        <v>1070</v>
      </c>
      <c r="S162" s="50" t="s">
        <v>1659</v>
      </c>
      <c r="T162" s="50">
        <v>-26000</v>
      </c>
      <c r="U162" s="50" t="s">
        <v>1024</v>
      </c>
      <c r="V162" s="50" t="s">
        <v>1099</v>
      </c>
      <c r="W162" s="50"/>
      <c r="X162" s="6"/>
      <c r="Y162" s="6"/>
    </row>
    <row r="163" spans="14:25" x14ac:dyDescent="0.4">
      <c r="N163" s="25">
        <v>45864</v>
      </c>
      <c r="O163" s="26">
        <v>0.82896990740740739</v>
      </c>
      <c r="P163" s="50" t="s">
        <v>1020</v>
      </c>
      <c r="Q163" s="50" t="s">
        <v>1042</v>
      </c>
      <c r="R163" s="50" t="s">
        <v>1043</v>
      </c>
      <c r="S163" s="50" t="s">
        <v>1274</v>
      </c>
      <c r="T163" s="50">
        <v>-7500</v>
      </c>
      <c r="U163" s="50" t="s">
        <v>1024</v>
      </c>
      <c r="V163" s="50" t="s">
        <v>1099</v>
      </c>
      <c r="W163" s="50"/>
      <c r="X163" s="6"/>
      <c r="Y163" s="6"/>
    </row>
    <row r="164" spans="14:25" x14ac:dyDescent="0.4">
      <c r="N164" s="25">
        <v>45865</v>
      </c>
      <c r="O164" s="26">
        <v>0.1777199074074074</v>
      </c>
      <c r="P164" s="50" t="s">
        <v>1073</v>
      </c>
      <c r="Q164" s="50" t="s">
        <v>1218</v>
      </c>
      <c r="R164" s="50" t="s">
        <v>1054</v>
      </c>
      <c r="S164" s="50" t="s">
        <v>1219</v>
      </c>
      <c r="T164" s="50">
        <v>1058</v>
      </c>
      <c r="U164" s="50" t="s">
        <v>1024</v>
      </c>
      <c r="V164" s="50" t="s">
        <v>1216</v>
      </c>
      <c r="W164" s="50"/>
      <c r="X164" s="6"/>
      <c r="Y164" s="6"/>
    </row>
    <row r="165" spans="14:25" x14ac:dyDescent="0.4">
      <c r="N165" s="25">
        <v>45866</v>
      </c>
      <c r="O165" s="26">
        <v>0.17810185185185179</v>
      </c>
      <c r="P165" s="50" t="s">
        <v>1073</v>
      </c>
      <c r="Q165" s="50" t="s">
        <v>1218</v>
      </c>
      <c r="R165" s="50" t="s">
        <v>1054</v>
      </c>
      <c r="S165" s="50" t="s">
        <v>1219</v>
      </c>
      <c r="T165" s="50">
        <v>1058</v>
      </c>
      <c r="U165" s="50" t="s">
        <v>1024</v>
      </c>
      <c r="V165" s="50" t="s">
        <v>1216</v>
      </c>
      <c r="W165" s="50"/>
      <c r="X165" s="6"/>
      <c r="Y165" s="6"/>
    </row>
    <row r="166" spans="14:25" x14ac:dyDescent="0.4">
      <c r="N166" s="25">
        <v>45866</v>
      </c>
      <c r="O166" s="26">
        <v>0.39793981481481477</v>
      </c>
      <c r="P166" s="50" t="s">
        <v>1020</v>
      </c>
      <c r="Q166" s="50" t="s">
        <v>1029</v>
      </c>
      <c r="R166" s="50" t="s">
        <v>1070</v>
      </c>
      <c r="S166" s="50" t="s">
        <v>1071</v>
      </c>
      <c r="T166" s="50">
        <v>-27100</v>
      </c>
      <c r="U166" s="50" t="s">
        <v>1024</v>
      </c>
      <c r="V166" s="50" t="s">
        <v>1025</v>
      </c>
      <c r="W166" s="50" t="s">
        <v>1660</v>
      </c>
      <c r="X166" s="6"/>
      <c r="Y166" s="6"/>
    </row>
    <row r="167" spans="14:25" x14ac:dyDescent="0.4">
      <c r="N167" s="25">
        <v>45866</v>
      </c>
      <c r="O167" s="26">
        <v>0.50373842592592588</v>
      </c>
      <c r="P167" s="50" t="s">
        <v>1020</v>
      </c>
      <c r="Q167" s="50" t="s">
        <v>1047</v>
      </c>
      <c r="R167" s="50" t="s">
        <v>1048</v>
      </c>
      <c r="S167" s="50" t="s">
        <v>1262</v>
      </c>
      <c r="T167" s="50">
        <v>-26900</v>
      </c>
      <c r="U167" s="50" t="s">
        <v>1024</v>
      </c>
      <c r="V167" s="50" t="s">
        <v>1079</v>
      </c>
      <c r="W167" s="50" t="s">
        <v>1661</v>
      </c>
      <c r="X167" s="6"/>
      <c r="Y167" s="6"/>
    </row>
    <row r="168" spans="14:25" x14ac:dyDescent="0.4">
      <c r="N168" s="25">
        <v>45866</v>
      </c>
      <c r="O168" s="26">
        <v>0.50628472222222221</v>
      </c>
      <c r="P168" s="50" t="s">
        <v>1020</v>
      </c>
      <c r="Q168" s="50" t="s">
        <v>1047</v>
      </c>
      <c r="R168" s="50" t="s">
        <v>1048</v>
      </c>
      <c r="S168" s="50" t="s">
        <v>1262</v>
      </c>
      <c r="T168" s="50">
        <v>-55000</v>
      </c>
      <c r="U168" s="50" t="s">
        <v>1024</v>
      </c>
      <c r="V168" s="50" t="s">
        <v>1079</v>
      </c>
      <c r="W168" s="50" t="s">
        <v>1662</v>
      </c>
      <c r="X168" s="6"/>
      <c r="Y168" s="6"/>
    </row>
    <row r="169" spans="14:25" x14ac:dyDescent="0.4">
      <c r="N169" s="25">
        <v>45866</v>
      </c>
      <c r="O169" s="26">
        <v>0.56383101851851847</v>
      </c>
      <c r="P169" s="50" t="s">
        <v>1020</v>
      </c>
      <c r="Q169" s="50" t="s">
        <v>1029</v>
      </c>
      <c r="R169" s="50" t="s">
        <v>1070</v>
      </c>
      <c r="S169" s="50" t="s">
        <v>1071</v>
      </c>
      <c r="T169" s="50">
        <v>-18000</v>
      </c>
      <c r="U169" s="50" t="s">
        <v>1024</v>
      </c>
      <c r="V169" s="50" t="s">
        <v>1025</v>
      </c>
      <c r="W169" s="50" t="s">
        <v>1663</v>
      </c>
      <c r="X169" s="6"/>
      <c r="Y169" s="6"/>
    </row>
    <row r="170" spans="14:25" x14ac:dyDescent="0.4">
      <c r="N170" s="25">
        <v>45866</v>
      </c>
      <c r="O170" s="26">
        <v>0.69134259259259256</v>
      </c>
      <c r="P170" s="50" t="s">
        <v>1020</v>
      </c>
      <c r="Q170" s="50" t="s">
        <v>1047</v>
      </c>
      <c r="R170" s="50" t="s">
        <v>1086</v>
      </c>
      <c r="S170" s="50" t="s">
        <v>1122</v>
      </c>
      <c r="T170" s="50">
        <v>-20000</v>
      </c>
      <c r="U170" s="50" t="s">
        <v>1024</v>
      </c>
      <c r="V170" s="50" t="s">
        <v>1350</v>
      </c>
      <c r="W170" s="50"/>
      <c r="X170" s="6"/>
      <c r="Y170" s="6"/>
    </row>
    <row r="171" spans="14:25" x14ac:dyDescent="0.4">
      <c r="N171" s="25">
        <v>45866</v>
      </c>
      <c r="O171" s="26">
        <v>0.7020601851851852</v>
      </c>
      <c r="P171" s="50" t="s">
        <v>1020</v>
      </c>
      <c r="Q171" s="50" t="s">
        <v>1029</v>
      </c>
      <c r="R171" s="50" t="s">
        <v>1070</v>
      </c>
      <c r="S171" s="50" t="s">
        <v>1290</v>
      </c>
      <c r="T171" s="50">
        <v>-23000</v>
      </c>
      <c r="U171" s="50" t="s">
        <v>1024</v>
      </c>
      <c r="V171" s="50" t="s">
        <v>1025</v>
      </c>
      <c r="W171" s="50" t="s">
        <v>1664</v>
      </c>
      <c r="X171" s="6"/>
      <c r="Y171" s="6"/>
    </row>
    <row r="172" spans="14:25" x14ac:dyDescent="0.4">
      <c r="N172" s="25">
        <v>45867</v>
      </c>
      <c r="O172" s="26">
        <v>0.17664351851851851</v>
      </c>
      <c r="P172" s="50" t="s">
        <v>1073</v>
      </c>
      <c r="Q172" s="50" t="s">
        <v>1218</v>
      </c>
      <c r="R172" s="50" t="s">
        <v>1054</v>
      </c>
      <c r="S172" s="50" t="s">
        <v>1219</v>
      </c>
      <c r="T172" s="50">
        <v>1058</v>
      </c>
      <c r="U172" s="50" t="s">
        <v>1024</v>
      </c>
      <c r="V172" s="50" t="s">
        <v>1216</v>
      </c>
      <c r="W172" s="50"/>
      <c r="X172" s="6"/>
      <c r="Y172" s="6"/>
    </row>
    <row r="173" spans="14:25" x14ac:dyDescent="0.4">
      <c r="N173" s="25">
        <v>45868</v>
      </c>
      <c r="O173" s="26">
        <v>0.17658564814814809</v>
      </c>
      <c r="P173" s="50" t="s">
        <v>1073</v>
      </c>
      <c r="Q173" s="50" t="s">
        <v>1218</v>
      </c>
      <c r="R173" s="50" t="s">
        <v>1054</v>
      </c>
      <c r="S173" s="50" t="s">
        <v>1219</v>
      </c>
      <c r="T173" s="50">
        <v>1058</v>
      </c>
      <c r="U173" s="50" t="s">
        <v>1024</v>
      </c>
      <c r="V173" s="50" t="s">
        <v>1216</v>
      </c>
      <c r="W173" s="50"/>
      <c r="X173" s="6"/>
      <c r="Y173" s="6"/>
    </row>
    <row r="174" spans="14:25" x14ac:dyDescent="0.4">
      <c r="N174" s="25">
        <v>45868</v>
      </c>
      <c r="O174" s="26">
        <v>0.34554398148148152</v>
      </c>
      <c r="P174" s="50" t="s">
        <v>1020</v>
      </c>
      <c r="Q174" s="50" t="s">
        <v>1026</v>
      </c>
      <c r="R174" s="50" t="s">
        <v>1151</v>
      </c>
      <c r="S174" s="50" t="s">
        <v>1581</v>
      </c>
      <c r="T174" s="50">
        <v>-5600</v>
      </c>
      <c r="U174" s="50" t="s">
        <v>1024</v>
      </c>
      <c r="V174" s="50" t="s">
        <v>1025</v>
      </c>
      <c r="W174" s="50" t="s">
        <v>1665</v>
      </c>
      <c r="X174" s="6"/>
      <c r="Y174" s="6"/>
    </row>
    <row r="175" spans="14:25" x14ac:dyDescent="0.4">
      <c r="N175" s="25">
        <v>45868</v>
      </c>
      <c r="O175" s="26">
        <v>0.44312499999999999</v>
      </c>
      <c r="P175" s="50" t="s">
        <v>1020</v>
      </c>
      <c r="Q175" s="50" t="s">
        <v>1029</v>
      </c>
      <c r="R175" s="50" t="s">
        <v>1030</v>
      </c>
      <c r="S175" s="50" t="s">
        <v>1031</v>
      </c>
      <c r="T175" s="50">
        <v>-8890</v>
      </c>
      <c r="U175" s="50" t="s">
        <v>1024</v>
      </c>
      <c r="V175" s="50" t="s">
        <v>1025</v>
      </c>
      <c r="W175" s="50" t="s">
        <v>1666</v>
      </c>
      <c r="X175" s="6"/>
      <c r="Y175" s="6"/>
    </row>
    <row r="176" spans="14:25" x14ac:dyDescent="0.4">
      <c r="N176" s="25">
        <v>45868</v>
      </c>
      <c r="O176" s="26">
        <v>0.67777777777777781</v>
      </c>
      <c r="P176" s="50" t="s">
        <v>1020</v>
      </c>
      <c r="Q176" s="50" t="s">
        <v>1029</v>
      </c>
      <c r="R176" s="50" t="s">
        <v>1045</v>
      </c>
      <c r="S176" s="50" t="s">
        <v>1031</v>
      </c>
      <c r="T176" s="50">
        <v>-5360</v>
      </c>
      <c r="U176" s="50" t="s">
        <v>1024</v>
      </c>
      <c r="V176" s="50" t="s">
        <v>1025</v>
      </c>
      <c r="W176" s="50" t="s">
        <v>1667</v>
      </c>
      <c r="X176" s="6"/>
      <c r="Y176" s="6"/>
    </row>
    <row r="177" spans="14:25" x14ac:dyDescent="0.4">
      <c r="N177" s="25">
        <v>45868</v>
      </c>
      <c r="O177" s="26">
        <v>0.72890046296296296</v>
      </c>
      <c r="P177" s="50" t="s">
        <v>1020</v>
      </c>
      <c r="Q177" s="50" t="s">
        <v>1029</v>
      </c>
      <c r="R177" s="50" t="s">
        <v>1030</v>
      </c>
      <c r="S177" s="50" t="s">
        <v>1031</v>
      </c>
      <c r="T177" s="50">
        <v>-15080</v>
      </c>
      <c r="U177" s="50" t="s">
        <v>1024</v>
      </c>
      <c r="V177" s="50" t="s">
        <v>1025</v>
      </c>
      <c r="W177" s="50" t="s">
        <v>1668</v>
      </c>
      <c r="X177" s="6"/>
      <c r="Y177" s="6"/>
    </row>
    <row r="178" spans="14:25" x14ac:dyDescent="0.4">
      <c r="N178" s="25">
        <v>45869</v>
      </c>
      <c r="O178" s="26">
        <v>7.2303240740740737E-2</v>
      </c>
      <c r="P178" s="50" t="s">
        <v>1020</v>
      </c>
      <c r="Q178" s="50" t="s">
        <v>1026</v>
      </c>
      <c r="R178" s="50" t="s">
        <v>1151</v>
      </c>
      <c r="S178" s="50" t="s">
        <v>1152</v>
      </c>
      <c r="T178" s="50">
        <v>-3000</v>
      </c>
      <c r="U178" s="50" t="s">
        <v>1024</v>
      </c>
      <c r="V178" s="50" t="s">
        <v>1125</v>
      </c>
      <c r="W178" s="50"/>
      <c r="X178" s="6"/>
      <c r="Y178" s="6"/>
    </row>
    <row r="179" spans="14:25" x14ac:dyDescent="0.4">
      <c r="N179" s="25">
        <v>45869</v>
      </c>
      <c r="O179" s="26">
        <v>7.2303240740740737E-2</v>
      </c>
      <c r="P179" s="50" t="s">
        <v>1020</v>
      </c>
      <c r="Q179" s="50" t="s">
        <v>1026</v>
      </c>
      <c r="R179" s="50" t="s">
        <v>1151</v>
      </c>
      <c r="S179" s="50" t="s">
        <v>1669</v>
      </c>
      <c r="T179" s="50">
        <v>-1500</v>
      </c>
      <c r="U179" s="50" t="s">
        <v>1024</v>
      </c>
      <c r="V179" s="50" t="s">
        <v>1125</v>
      </c>
      <c r="W179" s="50"/>
      <c r="X179" s="6"/>
      <c r="Y179" s="6"/>
    </row>
    <row r="180" spans="14:25" x14ac:dyDescent="0.4">
      <c r="N180" s="25">
        <v>45869</v>
      </c>
      <c r="O180" s="26">
        <v>7.2303240740740737E-2</v>
      </c>
      <c r="P180" s="50" t="s">
        <v>1020</v>
      </c>
      <c r="Q180" s="50" t="s">
        <v>1026</v>
      </c>
      <c r="R180" s="50" t="s">
        <v>1151</v>
      </c>
      <c r="S180" s="50" t="s">
        <v>1153</v>
      </c>
      <c r="T180" s="50">
        <v>-1600</v>
      </c>
      <c r="U180" s="50" t="s">
        <v>1024</v>
      </c>
      <c r="V180" s="50" t="s">
        <v>1125</v>
      </c>
      <c r="W180" s="50"/>
      <c r="X180" s="6"/>
      <c r="Y180" s="6"/>
    </row>
    <row r="181" spans="14:25" x14ac:dyDescent="0.4">
      <c r="N181" s="25">
        <v>45869</v>
      </c>
      <c r="O181" s="26">
        <v>0.17914351851851851</v>
      </c>
      <c r="P181" s="50" t="s">
        <v>1073</v>
      </c>
      <c r="Q181" s="50" t="s">
        <v>1218</v>
      </c>
      <c r="R181" s="50" t="s">
        <v>1054</v>
      </c>
      <c r="S181" s="50" t="s">
        <v>1219</v>
      </c>
      <c r="T181" s="50">
        <v>1058</v>
      </c>
      <c r="U181" s="50" t="s">
        <v>1024</v>
      </c>
      <c r="V181" s="50" t="s">
        <v>1216</v>
      </c>
      <c r="W181" s="50"/>
      <c r="X181" s="6"/>
      <c r="Y181" s="6"/>
    </row>
    <row r="182" spans="14:25" x14ac:dyDescent="0.4">
      <c r="N182" s="25">
        <v>45869</v>
      </c>
      <c r="O182" s="26">
        <v>0.89226851851851852</v>
      </c>
      <c r="P182" s="50" t="s">
        <v>1020</v>
      </c>
      <c r="Q182" s="50" t="s">
        <v>1026</v>
      </c>
      <c r="R182" s="50" t="s">
        <v>1151</v>
      </c>
      <c r="S182" s="50" t="s">
        <v>1103</v>
      </c>
      <c r="T182" s="50">
        <v>-75530</v>
      </c>
      <c r="U182" s="50" t="s">
        <v>1024</v>
      </c>
      <c r="V182" s="50" t="s">
        <v>1036</v>
      </c>
      <c r="W182" s="50" t="s">
        <v>1670</v>
      </c>
      <c r="X182" s="6"/>
      <c r="Y182" s="6"/>
    </row>
    <row r="183" spans="14:25" x14ac:dyDescent="0.4">
      <c r="N183" s="25">
        <v>45869</v>
      </c>
      <c r="O183" s="26">
        <v>0.89396990740740745</v>
      </c>
      <c r="P183" s="50" t="s">
        <v>1053</v>
      </c>
      <c r="Q183" s="50" t="s">
        <v>1053</v>
      </c>
      <c r="R183" s="50" t="s">
        <v>1054</v>
      </c>
      <c r="S183" s="50" t="s">
        <v>1256</v>
      </c>
      <c r="T183" s="50">
        <v>-1300000</v>
      </c>
      <c r="U183" s="50" t="s">
        <v>1024</v>
      </c>
      <c r="V183" s="50" t="s">
        <v>1216</v>
      </c>
      <c r="W183" s="50"/>
      <c r="X183" s="6"/>
      <c r="Y183" s="6"/>
    </row>
    <row r="184" spans="14:25" x14ac:dyDescent="0.4">
      <c r="N184" s="25">
        <v>45869</v>
      </c>
      <c r="O184" s="26">
        <v>0.89398148148148149</v>
      </c>
      <c r="P184" s="50" t="s">
        <v>1053</v>
      </c>
      <c r="Q184" s="50" t="s">
        <v>1053</v>
      </c>
      <c r="R184" s="50" t="s">
        <v>1054</v>
      </c>
      <c r="S184" s="50" t="s">
        <v>1217</v>
      </c>
      <c r="T184" s="50">
        <v>1300000</v>
      </c>
      <c r="U184" s="50" t="s">
        <v>1024</v>
      </c>
      <c r="V184" s="50" t="s">
        <v>1214</v>
      </c>
      <c r="W184" s="50"/>
      <c r="X184" s="6"/>
      <c r="Y184" s="6"/>
    </row>
    <row r="185" spans="14:25" x14ac:dyDescent="0.4">
      <c r="N185" s="25">
        <v>45869</v>
      </c>
      <c r="O185" s="26">
        <v>0.89418981481481485</v>
      </c>
      <c r="P185" s="50" t="s">
        <v>1053</v>
      </c>
      <c r="Q185" s="50" t="s">
        <v>1053</v>
      </c>
      <c r="R185" s="50" t="s">
        <v>1054</v>
      </c>
      <c r="S185" s="50" t="s">
        <v>1103</v>
      </c>
      <c r="T185" s="50">
        <v>1300000</v>
      </c>
      <c r="U185" s="50" t="s">
        <v>1024</v>
      </c>
      <c r="V185" s="50" t="s">
        <v>1036</v>
      </c>
      <c r="W185" s="50"/>
      <c r="X185" s="6"/>
      <c r="Y185" s="6"/>
    </row>
    <row r="186" spans="14:25" x14ac:dyDescent="0.4">
      <c r="N186" s="25">
        <v>45869</v>
      </c>
      <c r="O186" s="26">
        <v>0.89418981481481485</v>
      </c>
      <c r="P186" s="50" t="s">
        <v>1053</v>
      </c>
      <c r="Q186" s="50" t="s">
        <v>1053</v>
      </c>
      <c r="R186" s="50" t="s">
        <v>1054</v>
      </c>
      <c r="S186" s="50" t="s">
        <v>1103</v>
      </c>
      <c r="T186" s="50">
        <v>-1300000</v>
      </c>
      <c r="U186" s="50" t="s">
        <v>1024</v>
      </c>
      <c r="V186" s="50" t="s">
        <v>1214</v>
      </c>
      <c r="W186" s="50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</sheetData>
  <autoFilter ref="N2:Y105" xr:uid="{11B47028-C17C-47C6-A882-4705ECF29BE6}"/>
  <mergeCells count="3">
    <mergeCell ref="O1:P1"/>
    <mergeCell ref="A19:D19"/>
    <mergeCell ref="I20:J20"/>
  </mergeCells>
  <phoneticPr fontId="2" type="noConversion"/>
  <conditionalFormatting sqref="G74:G80 I74:I80">
    <cfRule type="cellIs" dxfId="55" priority="1" operator="lessThan">
      <formula>0</formula>
    </cfRule>
    <cfRule type="cellIs" dxfId="54" priority="2" operator="greaterThan">
      <formula>0</formula>
    </cfRule>
  </conditionalFormatting>
  <conditionalFormatting sqref="I3:I18">
    <cfRule type="cellIs" dxfId="53" priority="4" operator="greaterThan">
      <formula>0</formula>
    </cfRule>
    <cfRule type="cellIs" dxfId="52" priority="5" operator="lessThan">
      <formula>0</formula>
    </cfRule>
  </conditionalFormatting>
  <conditionalFormatting sqref="K6:K20">
    <cfRule type="cellIs" dxfId="51" priority="3" operator="lessThan">
      <formula>0</formula>
    </cfRule>
  </conditionalFormatting>
  <conditionalFormatting sqref="L3:L20">
    <cfRule type="cellIs" dxfId="50" priority="6" operator="greaterThan">
      <formula>1</formula>
    </cfRule>
    <cfRule type="cellIs" dxfId="49" priority="7" operator="equal">
      <formula>1</formula>
    </cfRule>
    <cfRule type="cellIs" dxfId="48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9C4C-67EB-4D5A-A1B8-830C87BA3DA3}">
  <dimension ref="A1:Y218"/>
  <sheetViews>
    <sheetView zoomScale="80" zoomScaleNormal="80" workbookViewId="0">
      <pane ySplit="2" topLeftCell="A18" activePane="bottomLeft" state="frozen"/>
      <selection activeCell="E1" sqref="E1"/>
      <selection pane="bottomLeft" activeCell="H30" sqref="H30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202507</v>
      </c>
      <c r="K1" s="46" t="s">
        <v>923</v>
      </c>
      <c r="L1" s="46">
        <v>202508</v>
      </c>
      <c r="N1" s="27" t="s">
        <v>950</v>
      </c>
      <c r="O1" s="133">
        <f>SUMIF(P3:P234,"지출",T3:T234)</f>
        <v>-4078526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202508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-878089</v>
      </c>
      <c r="I3" s="41">
        <f ca="1">J3-H3</f>
        <v>-9548</v>
      </c>
      <c r="J3" s="43">
        <f>VLOOKUP(A3,대출!$B$4:$G$363,3,FALSE)*-1</f>
        <v>-887637</v>
      </c>
      <c r="K3" s="43">
        <f>G3+J3</f>
        <v>12363</v>
      </c>
      <c r="L3" s="24">
        <f>IF(G3=0,0,-J3/G3)</f>
        <v>0.98626333333333338</v>
      </c>
      <c r="N3" s="25">
        <v>45870</v>
      </c>
      <c r="O3" s="26">
        <v>0.19261574074074081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1011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202508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SUMIFS($T$3:$T$234,$P$3:$P$234,"지출",$Q$3:$Q$234,C4,$R$3:$R$234,D4)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45870</v>
      </c>
      <c r="O4" s="26">
        <v>0.70894675925925921</v>
      </c>
      <c r="P4" s="50" t="s">
        <v>1053</v>
      </c>
      <c r="Q4" s="50" t="s">
        <v>1053</v>
      </c>
      <c r="R4" s="50" t="s">
        <v>1054</v>
      </c>
      <c r="S4" s="50" t="s">
        <v>1256</v>
      </c>
      <c r="T4" s="50">
        <v>-10000000</v>
      </c>
      <c r="U4" s="50" t="s">
        <v>1024</v>
      </c>
      <c r="V4" s="50" t="s">
        <v>1216</v>
      </c>
      <c r="W4" s="50"/>
      <c r="X4" s="86"/>
      <c r="Y4" s="4"/>
    </row>
    <row r="5" spans="1:25" x14ac:dyDescent="0.4">
      <c r="A5" s="4">
        <f t="shared" si="0"/>
        <v>202508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-63690</v>
      </c>
      <c r="I5" s="41">
        <f ca="1">J5-H5</f>
        <v>-31900</v>
      </c>
      <c r="J5" s="44">
        <f t="shared" si="3"/>
        <v>-95590</v>
      </c>
      <c r="K5" s="44">
        <f t="shared" si="4"/>
        <v>-51590</v>
      </c>
      <c r="L5" s="19">
        <f t="shared" si="5"/>
        <v>2.1724999999999999</v>
      </c>
      <c r="N5" s="25">
        <v>45870</v>
      </c>
      <c r="O5" s="26">
        <v>0.70894675925925921</v>
      </c>
      <c r="P5" s="50" t="s">
        <v>1053</v>
      </c>
      <c r="Q5" s="50" t="s">
        <v>1053</v>
      </c>
      <c r="R5" s="50" t="s">
        <v>1054</v>
      </c>
      <c r="S5" s="50" t="s">
        <v>1217</v>
      </c>
      <c r="T5" s="50">
        <v>10000000</v>
      </c>
      <c r="U5" s="50" t="s">
        <v>1024</v>
      </c>
      <c r="V5" s="50" t="s">
        <v>1214</v>
      </c>
      <c r="W5" s="50"/>
      <c r="X5" s="86"/>
      <c r="Y5" s="6"/>
    </row>
    <row r="6" spans="1:25" x14ac:dyDescent="0.4">
      <c r="A6" s="4">
        <f t="shared" si="0"/>
        <v>202508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-256830</v>
      </c>
      <c r="I6" s="41">
        <f t="shared" ref="I6:I18" ca="1" si="7">J6-H6</f>
        <v>-22040</v>
      </c>
      <c r="J6" s="44">
        <f t="shared" si="3"/>
        <v>-278870</v>
      </c>
      <c r="K6" s="44">
        <f t="shared" si="4"/>
        <v>51130</v>
      </c>
      <c r="L6" s="19">
        <f t="shared" si="5"/>
        <v>0.84506060606060607</v>
      </c>
      <c r="N6" s="25">
        <v>45870</v>
      </c>
      <c r="O6" s="26">
        <v>0.7106365740740741</v>
      </c>
      <c r="P6" s="50" t="s">
        <v>1053</v>
      </c>
      <c r="Q6" s="50" t="s">
        <v>1053</v>
      </c>
      <c r="R6" s="50" t="s">
        <v>1054</v>
      </c>
      <c r="S6" s="50" t="s">
        <v>1103</v>
      </c>
      <c r="T6" s="50">
        <v>-10000000</v>
      </c>
      <c r="U6" s="50" t="s">
        <v>1024</v>
      </c>
      <c r="V6" s="50" t="s">
        <v>1214</v>
      </c>
      <c r="W6" s="50"/>
      <c r="X6" s="86"/>
      <c r="Y6" s="6"/>
    </row>
    <row r="7" spans="1:25" x14ac:dyDescent="0.4">
      <c r="A7" s="4">
        <f t="shared" si="0"/>
        <v>202508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45870</v>
      </c>
      <c r="O7" s="26">
        <v>0.7106365740740741</v>
      </c>
      <c r="P7" s="50" t="s">
        <v>1053</v>
      </c>
      <c r="Q7" s="50" t="s">
        <v>1053</v>
      </c>
      <c r="R7" s="50" t="s">
        <v>1054</v>
      </c>
      <c r="S7" s="50" t="s">
        <v>1103</v>
      </c>
      <c r="T7" s="50">
        <v>10000000</v>
      </c>
      <c r="U7" s="50" t="s">
        <v>1024</v>
      </c>
      <c r="V7" s="50" t="s">
        <v>1036</v>
      </c>
      <c r="W7" s="50"/>
      <c r="X7" s="86"/>
      <c r="Y7" s="6"/>
    </row>
    <row r="8" spans="1:25" x14ac:dyDescent="0.4">
      <c r="A8" s="4">
        <f>$L$1</f>
        <v>202508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45870</v>
      </c>
      <c r="O8" s="26">
        <v>0.71130787037037035</v>
      </c>
      <c r="P8" s="50" t="s">
        <v>1053</v>
      </c>
      <c r="Q8" s="50" t="s">
        <v>1053</v>
      </c>
      <c r="R8" s="50" t="s">
        <v>1054</v>
      </c>
      <c r="S8" s="50" t="s">
        <v>1103</v>
      </c>
      <c r="T8" s="50">
        <v>-10000000</v>
      </c>
      <c r="U8" s="50" t="s">
        <v>1024</v>
      </c>
      <c r="V8" s="50" t="s">
        <v>1036</v>
      </c>
      <c r="W8" s="50"/>
      <c r="X8" s="86"/>
      <c r="Y8" s="6"/>
    </row>
    <row r="9" spans="1:25" x14ac:dyDescent="0.4">
      <c r="A9" s="4">
        <f t="shared" si="0"/>
        <v>202508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45871</v>
      </c>
      <c r="O9" s="26">
        <v>0.17726851851851849</v>
      </c>
      <c r="P9" s="50" t="s">
        <v>1073</v>
      </c>
      <c r="Q9" s="50" t="s">
        <v>1218</v>
      </c>
      <c r="R9" s="50" t="s">
        <v>1054</v>
      </c>
      <c r="S9" s="50" t="s">
        <v>1219</v>
      </c>
      <c r="T9" s="50">
        <v>633</v>
      </c>
      <c r="U9" s="50" t="s">
        <v>1024</v>
      </c>
      <c r="V9" s="50" t="s">
        <v>1216</v>
      </c>
      <c r="W9" s="50"/>
      <c r="X9" s="86"/>
      <c r="Y9" s="6"/>
    </row>
    <row r="10" spans="1:25" x14ac:dyDescent="0.4">
      <c r="A10" s="4">
        <f t="shared" si="0"/>
        <v>202508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-105630</v>
      </c>
      <c r="I10" s="41">
        <f t="shared" ca="1" si="7"/>
        <v>99530</v>
      </c>
      <c r="J10" s="44">
        <f t="shared" si="3"/>
        <v>-6100</v>
      </c>
      <c r="K10" s="44">
        <f t="shared" si="4"/>
        <v>153900</v>
      </c>
      <c r="L10" s="19">
        <f t="shared" si="5"/>
        <v>3.8124999999999999E-2</v>
      </c>
      <c r="N10" s="25">
        <v>45871</v>
      </c>
      <c r="O10" s="26">
        <v>0.58215277777777774</v>
      </c>
      <c r="P10" s="50" t="s">
        <v>1020</v>
      </c>
      <c r="Q10" s="50" t="s">
        <v>1029</v>
      </c>
      <c r="R10" s="50" t="s">
        <v>1030</v>
      </c>
      <c r="S10" s="50" t="s">
        <v>1392</v>
      </c>
      <c r="T10" s="50">
        <v>-5200</v>
      </c>
      <c r="U10" s="50" t="s">
        <v>1024</v>
      </c>
      <c r="V10" s="50" t="s">
        <v>1099</v>
      </c>
      <c r="W10" s="50" t="s">
        <v>1671</v>
      </c>
      <c r="X10" s="86"/>
      <c r="Y10" s="6"/>
    </row>
    <row r="11" spans="1:25" x14ac:dyDescent="0.4">
      <c r="A11" s="4">
        <f t="shared" si="0"/>
        <v>202508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45871</v>
      </c>
      <c r="O11" s="26">
        <v>0.72184027777777782</v>
      </c>
      <c r="P11" s="50" t="s">
        <v>1020</v>
      </c>
      <c r="Q11" s="50" t="s">
        <v>1029</v>
      </c>
      <c r="R11" s="50" t="s">
        <v>1030</v>
      </c>
      <c r="S11" s="50" t="s">
        <v>1031</v>
      </c>
      <c r="T11" s="50">
        <v>-18900</v>
      </c>
      <c r="U11" s="50" t="s">
        <v>1024</v>
      </c>
      <c r="V11" s="50" t="s">
        <v>1025</v>
      </c>
      <c r="W11" s="50" t="s">
        <v>1672</v>
      </c>
      <c r="X11" s="86"/>
      <c r="Y11" s="6"/>
    </row>
    <row r="12" spans="1:25" x14ac:dyDescent="0.4">
      <c r="A12" s="4">
        <f t="shared" si="0"/>
        <v>202508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-2103281</v>
      </c>
      <c r="I12" s="41">
        <f t="shared" ca="1" si="7"/>
        <v>1249891</v>
      </c>
      <c r="J12" s="44">
        <f t="shared" ref="J12:J18" si="8">SUMIFS($T$3:$T$234,$P$3:$P$234,"지출",$Q$3:$Q$234,C12)</f>
        <v>-853390</v>
      </c>
      <c r="K12" s="45">
        <f t="shared" si="4"/>
        <v>-503390</v>
      </c>
      <c r="L12" s="19">
        <f t="shared" si="5"/>
        <v>2.4382571428571427</v>
      </c>
      <c r="N12" s="25">
        <v>45872</v>
      </c>
      <c r="O12" s="26">
        <v>0.1768865740740741</v>
      </c>
      <c r="P12" s="50" t="s">
        <v>1073</v>
      </c>
      <c r="Q12" s="50" t="s">
        <v>1218</v>
      </c>
      <c r="R12" s="50" t="s">
        <v>1054</v>
      </c>
      <c r="S12" s="50" t="s">
        <v>1219</v>
      </c>
      <c r="T12" s="50">
        <v>633</v>
      </c>
      <c r="U12" s="50" t="s">
        <v>1024</v>
      </c>
      <c r="V12" s="50" t="s">
        <v>1216</v>
      </c>
      <c r="W12" s="50"/>
      <c r="X12" s="86"/>
      <c r="Y12" s="6"/>
    </row>
    <row r="13" spans="1:25" x14ac:dyDescent="0.4">
      <c r="A13" s="4">
        <f t="shared" si="0"/>
        <v>202508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26700</v>
      </c>
      <c r="G13" s="18">
        <f t="shared" si="1"/>
        <v>26700</v>
      </c>
      <c r="H13" s="41">
        <f t="shared" ca="1" si="2"/>
        <v>-218900</v>
      </c>
      <c r="I13" s="41">
        <f t="shared" ca="1" si="7"/>
        <v>192200</v>
      </c>
      <c r="J13" s="44">
        <f t="shared" si="8"/>
        <v>-26700</v>
      </c>
      <c r="K13" s="44">
        <f t="shared" si="4"/>
        <v>0</v>
      </c>
      <c r="L13" s="19">
        <f t="shared" si="5"/>
        <v>1</v>
      </c>
      <c r="N13" s="25">
        <v>45872</v>
      </c>
      <c r="O13" s="26">
        <v>0.36995370370370367</v>
      </c>
      <c r="P13" s="50" t="s">
        <v>1020</v>
      </c>
      <c r="Q13" s="50" t="s">
        <v>1029</v>
      </c>
      <c r="R13" s="50" t="s">
        <v>1030</v>
      </c>
      <c r="S13" s="50" t="s">
        <v>1481</v>
      </c>
      <c r="T13" s="50">
        <v>-3200</v>
      </c>
      <c r="U13" s="50" t="s">
        <v>1024</v>
      </c>
      <c r="V13" s="50" t="s">
        <v>1099</v>
      </c>
      <c r="W13" s="50" t="s">
        <v>1673</v>
      </c>
      <c r="X13" s="86"/>
      <c r="Y13" s="6"/>
    </row>
    <row r="14" spans="1:25" x14ac:dyDescent="0.4">
      <c r="A14" s="4">
        <f t="shared" si="0"/>
        <v>202508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393400</v>
      </c>
      <c r="G14" s="18">
        <f t="shared" si="1"/>
        <v>393400</v>
      </c>
      <c r="H14" s="41">
        <f ca="1">INDIRECT($J$1&amp;"!J"&amp;ROW())</f>
        <v>0</v>
      </c>
      <c r="I14" s="41">
        <f t="shared" ca="1" si="7"/>
        <v>-393400</v>
      </c>
      <c r="J14" s="44">
        <f t="shared" si="8"/>
        <v>-393400</v>
      </c>
      <c r="K14" s="44">
        <f t="shared" si="4"/>
        <v>0</v>
      </c>
      <c r="L14" s="19">
        <f t="shared" si="5"/>
        <v>1</v>
      </c>
      <c r="N14" s="25">
        <v>45872</v>
      </c>
      <c r="O14" s="26">
        <v>0.37528935185185192</v>
      </c>
      <c r="P14" s="50" t="s">
        <v>1020</v>
      </c>
      <c r="Q14" s="50" t="s">
        <v>1047</v>
      </c>
      <c r="R14" s="50" t="s">
        <v>1077</v>
      </c>
      <c r="S14" s="50" t="s">
        <v>1435</v>
      </c>
      <c r="T14" s="50">
        <v>-8500</v>
      </c>
      <c r="U14" s="50" t="s">
        <v>1024</v>
      </c>
      <c r="V14" s="50" t="s">
        <v>1025</v>
      </c>
      <c r="W14" s="50" t="s">
        <v>1674</v>
      </c>
      <c r="X14" s="86"/>
      <c r="Y14" s="6"/>
    </row>
    <row r="15" spans="1:25" x14ac:dyDescent="0.4">
      <c r="A15" s="4">
        <f t="shared" si="0"/>
        <v>202508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-223600</v>
      </c>
      <c r="I15" s="41">
        <f t="shared" ca="1" si="7"/>
        <v>38700</v>
      </c>
      <c r="J15" s="44">
        <f t="shared" si="8"/>
        <v>-184900</v>
      </c>
      <c r="K15" s="44">
        <f t="shared" si="4"/>
        <v>-184900</v>
      </c>
      <c r="L15" s="19">
        <f t="shared" si="5"/>
        <v>0</v>
      </c>
      <c r="N15" s="25">
        <v>45872</v>
      </c>
      <c r="O15" s="26">
        <v>0.39645833333333341</v>
      </c>
      <c r="P15" s="50" t="s">
        <v>1020</v>
      </c>
      <c r="Q15" s="50" t="s">
        <v>1047</v>
      </c>
      <c r="R15" s="50" t="s">
        <v>1077</v>
      </c>
      <c r="S15" s="50" t="s">
        <v>1524</v>
      </c>
      <c r="T15" s="50">
        <v>-10900</v>
      </c>
      <c r="U15" s="50" t="s">
        <v>1024</v>
      </c>
      <c r="V15" s="50" t="s">
        <v>1099</v>
      </c>
      <c r="W15" s="50" t="s">
        <v>1674</v>
      </c>
      <c r="X15" s="86"/>
      <c r="Y15" s="6"/>
    </row>
    <row r="16" spans="1:25" x14ac:dyDescent="0.4">
      <c r="A16" s="4">
        <f t="shared" si="0"/>
        <v>202508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-100000</v>
      </c>
      <c r="J16" s="44">
        <f t="shared" si="8"/>
        <v>-100000</v>
      </c>
      <c r="K16" s="44">
        <f t="shared" si="4"/>
        <v>-100000</v>
      </c>
      <c r="L16" s="19">
        <f t="shared" si="5"/>
        <v>0</v>
      </c>
      <c r="N16" s="25">
        <v>45872</v>
      </c>
      <c r="O16" s="26">
        <v>0.4014699074074074</v>
      </c>
      <c r="P16" s="50" t="s">
        <v>1020</v>
      </c>
      <c r="Q16" s="50" t="s">
        <v>1026</v>
      </c>
      <c r="R16" s="50" t="s">
        <v>1027</v>
      </c>
      <c r="S16" s="50" t="s">
        <v>1028</v>
      </c>
      <c r="T16" s="50">
        <v>-7890</v>
      </c>
      <c r="U16" s="50" t="s">
        <v>1024</v>
      </c>
      <c r="V16" s="50" t="s">
        <v>1025</v>
      </c>
      <c r="W16" s="50"/>
      <c r="X16" s="86"/>
      <c r="Y16" s="6"/>
    </row>
    <row r="17" spans="1:25" x14ac:dyDescent="0.4">
      <c r="A17" s="4">
        <f t="shared" si="0"/>
        <v>202508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-314550</v>
      </c>
      <c r="I17" s="41">
        <f t="shared" ca="1" si="7"/>
        <v>302850</v>
      </c>
      <c r="J17" s="44">
        <f t="shared" si="8"/>
        <v>-11700</v>
      </c>
      <c r="K17" s="44">
        <f t="shared" si="4"/>
        <v>-11700</v>
      </c>
      <c r="L17" s="19">
        <f t="shared" si="5"/>
        <v>0</v>
      </c>
      <c r="N17" s="25">
        <v>45872</v>
      </c>
      <c r="O17" s="26">
        <v>0.43820601851851848</v>
      </c>
      <c r="P17" s="50" t="s">
        <v>1020</v>
      </c>
      <c r="Q17" s="50" t="s">
        <v>1029</v>
      </c>
      <c r="R17" s="50" t="s">
        <v>1045</v>
      </c>
      <c r="S17" s="50" t="s">
        <v>1031</v>
      </c>
      <c r="T17" s="50">
        <v>-21900</v>
      </c>
      <c r="U17" s="50" t="s">
        <v>1024</v>
      </c>
      <c r="V17" s="50" t="s">
        <v>1025</v>
      </c>
      <c r="W17" s="50" t="s">
        <v>1675</v>
      </c>
      <c r="X17" s="86"/>
      <c r="Y17" s="6"/>
    </row>
    <row r="18" spans="1:25" x14ac:dyDescent="0.4">
      <c r="A18" s="4">
        <f t="shared" si="0"/>
        <v>202508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586584</v>
      </c>
      <c r="G18" s="18">
        <f t="shared" si="1"/>
        <v>936584</v>
      </c>
      <c r="H18" s="41">
        <f t="shared" ca="1" si="2"/>
        <v>-3543700</v>
      </c>
      <c r="I18" s="41">
        <f t="shared" ca="1" si="7"/>
        <v>2957116</v>
      </c>
      <c r="J18" s="44">
        <f t="shared" si="8"/>
        <v>-586584</v>
      </c>
      <c r="K18" s="44">
        <f t="shared" si="4"/>
        <v>350000</v>
      </c>
      <c r="L18" s="19">
        <f t="shared" si="5"/>
        <v>0.62630153835641011</v>
      </c>
      <c r="N18" s="25">
        <v>45872</v>
      </c>
      <c r="O18" s="26">
        <v>0.56532407407407403</v>
      </c>
      <c r="P18" s="50" t="s">
        <v>1020</v>
      </c>
      <c r="Q18" s="50" t="s">
        <v>1029</v>
      </c>
      <c r="R18" s="50" t="s">
        <v>1070</v>
      </c>
      <c r="S18" s="50" t="s">
        <v>1071</v>
      </c>
      <c r="T18" s="50">
        <v>-20800</v>
      </c>
      <c r="U18" s="50" t="s">
        <v>1024</v>
      </c>
      <c r="V18" s="50" t="s">
        <v>1025</v>
      </c>
      <c r="W18" s="50" t="s">
        <v>1676</v>
      </c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1006684</v>
      </c>
      <c r="G19" s="20">
        <f t="shared" si="9"/>
        <v>3831684</v>
      </c>
      <c r="H19" s="42">
        <f t="shared" ca="1" si="9"/>
        <v>-8361925</v>
      </c>
      <c r="I19" s="42">
        <f t="shared" ca="1" si="9"/>
        <v>4283399</v>
      </c>
      <c r="J19" s="45">
        <f t="shared" si="9"/>
        <v>-4078526</v>
      </c>
      <c r="K19" s="45">
        <f t="shared" si="9"/>
        <v>-246842</v>
      </c>
      <c r="L19" s="21">
        <f>IF(G19=0,0,-J19/G19)</f>
        <v>1.0644212831747086</v>
      </c>
      <c r="N19" s="25">
        <v>45873</v>
      </c>
      <c r="O19" s="26">
        <v>0.17759259259259261</v>
      </c>
      <c r="P19" s="50" t="s">
        <v>1073</v>
      </c>
      <c r="Q19" s="50" t="s">
        <v>1218</v>
      </c>
      <c r="R19" s="50" t="s">
        <v>1054</v>
      </c>
      <c r="S19" s="50" t="s">
        <v>1219</v>
      </c>
      <c r="T19" s="50">
        <v>633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-1253526</v>
      </c>
      <c r="L20" s="22">
        <f>IF(E19=0,0,-J19/E19)</f>
        <v>1.4437260176991151</v>
      </c>
      <c r="N20" s="25">
        <v>45873</v>
      </c>
      <c r="O20" s="26">
        <v>0.87452546296296296</v>
      </c>
      <c r="P20" s="50" t="s">
        <v>1020</v>
      </c>
      <c r="Q20" s="50" t="s">
        <v>1022</v>
      </c>
      <c r="R20" s="50" t="s">
        <v>1047</v>
      </c>
      <c r="S20" s="50" t="s">
        <v>1337</v>
      </c>
      <c r="T20" s="50">
        <v>-41000</v>
      </c>
      <c r="U20" s="50" t="s">
        <v>1024</v>
      </c>
      <c r="V20" s="50" t="s">
        <v>1099</v>
      </c>
      <c r="W20" s="50" t="s">
        <v>1677</v>
      </c>
      <c r="X20" s="86"/>
      <c r="Y20" s="6"/>
    </row>
    <row r="21" spans="1:25" x14ac:dyDescent="0.4">
      <c r="N21" s="25">
        <v>45873</v>
      </c>
      <c r="O21" s="26">
        <v>0.91381944444444441</v>
      </c>
      <c r="P21" s="50" t="s">
        <v>1020</v>
      </c>
      <c r="Q21" s="50" t="s">
        <v>1184</v>
      </c>
      <c r="R21" s="50" t="s">
        <v>1522</v>
      </c>
      <c r="S21" s="50" t="s">
        <v>1168</v>
      </c>
      <c r="T21" s="50">
        <v>-100000</v>
      </c>
      <c r="U21" s="50" t="s">
        <v>1024</v>
      </c>
      <c r="V21" s="50" t="s">
        <v>1036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45873</v>
      </c>
      <c r="O22" s="26">
        <v>0.93401620370370375</v>
      </c>
      <c r="P22" s="50" t="s">
        <v>1020</v>
      </c>
      <c r="Q22" s="50" t="s">
        <v>1029</v>
      </c>
      <c r="R22" s="50" t="s">
        <v>1045</v>
      </c>
      <c r="S22" s="50" t="s">
        <v>1122</v>
      </c>
      <c r="T22" s="50">
        <v>-78000</v>
      </c>
      <c r="U22" s="50" t="s">
        <v>1024</v>
      </c>
      <c r="V22" s="50" t="s">
        <v>1350</v>
      </c>
      <c r="W22" s="50" t="s">
        <v>1678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SUMIFS($T$3:$T$234,$P$3:$P$234,"지출",$Q$3:$Q$234,C23,$R$3:$R$234,D23)</f>
        <v>-206740</v>
      </c>
      <c r="N23" s="25">
        <v>45874</v>
      </c>
      <c r="O23" s="26">
        <v>0.17746527777777779</v>
      </c>
      <c r="P23" s="50" t="s">
        <v>1073</v>
      </c>
      <c r="Q23" s="50" t="s">
        <v>1218</v>
      </c>
      <c r="R23" s="50" t="s">
        <v>1054</v>
      </c>
      <c r="S23" s="50" t="s">
        <v>1219</v>
      </c>
      <c r="T23" s="50">
        <v>633</v>
      </c>
      <c r="U23" s="50" t="s">
        <v>1024</v>
      </c>
      <c r="V23" s="50" t="s">
        <v>1216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SUMIFS($T$3:$T$234,$P$3:$P$234,"지출",$Q$3:$Q$234,C24,$R$3:$R$234,D24)</f>
        <v>-115700</v>
      </c>
      <c r="N24" s="25">
        <v>45875</v>
      </c>
      <c r="O24" s="26">
        <v>0.14651620370370369</v>
      </c>
      <c r="P24" s="50" t="s">
        <v>1073</v>
      </c>
      <c r="Q24" s="50" t="s">
        <v>1218</v>
      </c>
      <c r="R24" s="50" t="s">
        <v>1054</v>
      </c>
      <c r="S24" s="50" t="s">
        <v>1219</v>
      </c>
      <c r="T24" s="50">
        <v>633</v>
      </c>
      <c r="U24" s="50" t="s">
        <v>1024</v>
      </c>
      <c r="V24" s="50" t="s">
        <v>1216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SUMIFS($T$3:$T$234,$P$3:$P$234,"지출",$Q$3:$Q$234,C25,$R$3:$R$234,D25)</f>
        <v>-530950</v>
      </c>
      <c r="N25" s="25">
        <v>45875</v>
      </c>
      <c r="O25" s="26">
        <v>0.53116898148148151</v>
      </c>
      <c r="P25" s="50" t="s">
        <v>1020</v>
      </c>
      <c r="Q25" s="50" t="s">
        <v>1047</v>
      </c>
      <c r="R25" s="50" t="s">
        <v>1048</v>
      </c>
      <c r="S25" s="50" t="s">
        <v>1262</v>
      </c>
      <c r="T25" s="50">
        <v>-34500</v>
      </c>
      <c r="U25" s="50" t="s">
        <v>1024</v>
      </c>
      <c r="V25" s="50" t="s">
        <v>1079</v>
      </c>
      <c r="W25" s="50" t="s">
        <v>1679</v>
      </c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SUMIFS($T$3:$T$234,$P$3:$P$234,"지출",$Q$3:$Q$234,C26,$R$3:$R$234,D26)</f>
        <v>0</v>
      </c>
      <c r="N26" s="25">
        <v>45875</v>
      </c>
      <c r="O26" s="26">
        <v>0.78059027777777779</v>
      </c>
      <c r="P26" s="50" t="s">
        <v>1020</v>
      </c>
      <c r="Q26" s="50" t="s">
        <v>1029</v>
      </c>
      <c r="R26" s="50" t="s">
        <v>1030</v>
      </c>
      <c r="S26" s="50" t="s">
        <v>1172</v>
      </c>
      <c r="T26" s="50">
        <v>-8380</v>
      </c>
      <c r="U26" s="50" t="s">
        <v>1024</v>
      </c>
      <c r="V26" s="50" t="s">
        <v>1025</v>
      </c>
      <c r="W26" s="50" t="s">
        <v>1680</v>
      </c>
      <c r="X26" s="86"/>
      <c r="Y26" s="6"/>
    </row>
    <row r="27" spans="1:25" x14ac:dyDescent="0.4">
      <c r="C27" s="92" t="s">
        <v>959</v>
      </c>
      <c r="D27" s="68"/>
      <c r="E27" s="49">
        <f>SUM(E21:E26)</f>
        <v>-853390</v>
      </c>
      <c r="N27" s="25">
        <v>45876</v>
      </c>
      <c r="O27" s="26">
        <v>0.1802199074074074</v>
      </c>
      <c r="P27" s="50" t="s">
        <v>1073</v>
      </c>
      <c r="Q27" s="50" t="s">
        <v>1218</v>
      </c>
      <c r="R27" s="50" t="s">
        <v>1054</v>
      </c>
      <c r="S27" s="50" t="s">
        <v>1219</v>
      </c>
      <c r="T27" s="50">
        <v>633</v>
      </c>
      <c r="U27" s="50" t="s">
        <v>1024</v>
      </c>
      <c r="V27" s="50" t="s">
        <v>1216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SUMIFS($T$3:$T$234,$P$3:$P$234,"지출",$Q$3:$Q$234,C28,$R$3:$R$234,D28)</f>
        <v>-352400</v>
      </c>
      <c r="N28" s="25">
        <v>45876</v>
      </c>
      <c r="O28" s="26">
        <v>0.3268402777777778</v>
      </c>
      <c r="P28" s="50" t="s">
        <v>1020</v>
      </c>
      <c r="Q28" s="50" t="s">
        <v>1029</v>
      </c>
      <c r="R28" s="50" t="s">
        <v>1030</v>
      </c>
      <c r="S28" s="50" t="s">
        <v>1513</v>
      </c>
      <c r="T28" s="50">
        <v>-7100</v>
      </c>
      <c r="U28" s="50" t="s">
        <v>1024</v>
      </c>
      <c r="V28" s="50" t="s">
        <v>1025</v>
      </c>
      <c r="W28" s="50" t="s">
        <v>1681</v>
      </c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SUMIFS($T$3:$T$234,$P$3:$P$234,"지출",$Q$3:$Q$234,C29,$R$3:$R$234,D29)</f>
        <v>0</v>
      </c>
      <c r="N29" s="25">
        <v>45876</v>
      </c>
      <c r="O29" s="26">
        <v>0.33100694444444451</v>
      </c>
      <c r="P29" s="50" t="s">
        <v>1020</v>
      </c>
      <c r="Q29" s="50" t="s">
        <v>1029</v>
      </c>
      <c r="R29" s="50" t="s">
        <v>1030</v>
      </c>
      <c r="S29" s="50" t="s">
        <v>1031</v>
      </c>
      <c r="T29" s="50">
        <v>-18360</v>
      </c>
      <c r="U29" s="50" t="s">
        <v>1024</v>
      </c>
      <c r="V29" s="50" t="s">
        <v>1025</v>
      </c>
      <c r="W29" s="50" t="s">
        <v>1682</v>
      </c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SUMIFS($T$3:$T$234,$P$3:$P$234,"지출",$Q$3:$Q$234,C30,$R$3:$R$234,D30)</f>
        <v>-41000</v>
      </c>
      <c r="N30" s="25">
        <v>45877</v>
      </c>
      <c r="O30" s="26">
        <v>0.17983796296296289</v>
      </c>
      <c r="P30" s="50" t="s">
        <v>1073</v>
      </c>
      <c r="Q30" s="50" t="s">
        <v>1218</v>
      </c>
      <c r="R30" s="50" t="s">
        <v>1054</v>
      </c>
      <c r="S30" s="50" t="s">
        <v>1219</v>
      </c>
      <c r="T30" s="50">
        <v>633</v>
      </c>
      <c r="U30" s="50" t="s">
        <v>1024</v>
      </c>
      <c r="V30" s="50" t="s">
        <v>1216</v>
      </c>
      <c r="W30" s="50"/>
      <c r="X30" s="86"/>
      <c r="Y30" s="6"/>
    </row>
    <row r="31" spans="1:25" x14ac:dyDescent="0.4">
      <c r="C31" s="92" t="s">
        <v>960</v>
      </c>
      <c r="D31" s="68"/>
      <c r="E31" s="49">
        <f>SUM(E28:E30)</f>
        <v>-393400</v>
      </c>
      <c r="N31" s="25">
        <v>45877</v>
      </c>
      <c r="O31" s="26">
        <v>0.26533564814814808</v>
      </c>
      <c r="P31" s="50" t="s">
        <v>1020</v>
      </c>
      <c r="Q31" s="50" t="s">
        <v>1029</v>
      </c>
      <c r="R31" s="50" t="s">
        <v>1030</v>
      </c>
      <c r="S31" s="50" t="s">
        <v>1031</v>
      </c>
      <c r="T31" s="50">
        <v>-10200</v>
      </c>
      <c r="U31" s="50" t="s">
        <v>1024</v>
      </c>
      <c r="V31" s="50" t="s">
        <v>1025</v>
      </c>
      <c r="W31" s="50" t="s">
        <v>1683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SUMIFS($T$3:$T$234,$P$3:$P$234,"지출",$Q$3:$Q$234,C32,$R$3:$R$234,D32)</f>
        <v>-19400</v>
      </c>
      <c r="N32" s="25">
        <v>45878</v>
      </c>
      <c r="O32" s="26">
        <v>4.3298611111111107E-2</v>
      </c>
      <c r="P32" s="50" t="s">
        <v>1073</v>
      </c>
      <c r="Q32" s="50" t="s">
        <v>1218</v>
      </c>
      <c r="R32" s="50" t="s">
        <v>1054</v>
      </c>
      <c r="S32" s="50" t="s">
        <v>1223</v>
      </c>
      <c r="T32" s="50">
        <v>1037</v>
      </c>
      <c r="U32" s="50" t="s">
        <v>1024</v>
      </c>
      <c r="V32" s="50" t="s">
        <v>1036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-28000</v>
      </c>
      <c r="N33" s="25">
        <v>45878</v>
      </c>
      <c r="O33" s="26">
        <v>0.17930555555555561</v>
      </c>
      <c r="P33" s="50" t="s">
        <v>1073</v>
      </c>
      <c r="Q33" s="50" t="s">
        <v>1218</v>
      </c>
      <c r="R33" s="50" t="s">
        <v>1054</v>
      </c>
      <c r="S33" s="50" t="s">
        <v>1219</v>
      </c>
      <c r="T33" s="50">
        <v>633</v>
      </c>
      <c r="U33" s="50" t="s">
        <v>1024</v>
      </c>
      <c r="V33" s="50" t="s">
        <v>1216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0</v>
      </c>
      <c r="N34" s="25">
        <v>45878</v>
      </c>
      <c r="O34" s="26">
        <v>0.45041666666666669</v>
      </c>
      <c r="P34" s="50" t="s">
        <v>1020</v>
      </c>
      <c r="Q34" s="50" t="s">
        <v>1029</v>
      </c>
      <c r="R34" s="50" t="s">
        <v>1045</v>
      </c>
      <c r="S34" s="50" t="s">
        <v>1031</v>
      </c>
      <c r="T34" s="50">
        <v>-4990</v>
      </c>
      <c r="U34" s="50" t="s">
        <v>1024</v>
      </c>
      <c r="V34" s="50" t="s">
        <v>1025</v>
      </c>
      <c r="W34" s="50" t="s">
        <v>1684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-34500</v>
      </c>
      <c r="N35" s="25">
        <v>45878</v>
      </c>
      <c r="O35" s="26">
        <v>0.78943287037037035</v>
      </c>
      <c r="P35" s="50" t="s">
        <v>1020</v>
      </c>
      <c r="Q35" s="50" t="s">
        <v>1047</v>
      </c>
      <c r="R35" s="50" t="s">
        <v>1063</v>
      </c>
      <c r="S35" s="50" t="s">
        <v>1225</v>
      </c>
      <c r="T35" s="50">
        <v>-28000</v>
      </c>
      <c r="U35" s="50" t="s">
        <v>1024</v>
      </c>
      <c r="V35" s="50" t="s">
        <v>1025</v>
      </c>
      <c r="W35" s="50" t="s">
        <v>1340</v>
      </c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45878</v>
      </c>
      <c r="O36" s="26">
        <v>0.79342592592592598</v>
      </c>
      <c r="P36" s="50" t="s">
        <v>1020</v>
      </c>
      <c r="Q36" s="50" t="s">
        <v>1029</v>
      </c>
      <c r="R36" s="50" t="s">
        <v>1030</v>
      </c>
      <c r="S36" s="50" t="s">
        <v>1172</v>
      </c>
      <c r="T36" s="50">
        <v>-3200</v>
      </c>
      <c r="U36" s="50" t="s">
        <v>1024</v>
      </c>
      <c r="V36" s="50" t="s">
        <v>1025</v>
      </c>
      <c r="W36" s="50" t="s">
        <v>1685</v>
      </c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-122200</v>
      </c>
      <c r="N37" s="25">
        <v>45879</v>
      </c>
      <c r="O37" s="26">
        <v>0.17984953703703699</v>
      </c>
      <c r="P37" s="50" t="s">
        <v>1073</v>
      </c>
      <c r="Q37" s="50" t="s">
        <v>1218</v>
      </c>
      <c r="R37" s="50" t="s">
        <v>1054</v>
      </c>
      <c r="S37" s="50" t="s">
        <v>1219</v>
      </c>
      <c r="T37" s="50">
        <v>633</v>
      </c>
      <c r="U37" s="50" t="s">
        <v>1024</v>
      </c>
      <c r="V37" s="50" t="s">
        <v>1216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-382484</v>
      </c>
      <c r="N38" s="25">
        <v>45880</v>
      </c>
      <c r="O38" s="26">
        <v>0.18585648148148151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633</v>
      </c>
      <c r="U38" s="50" t="s">
        <v>1024</v>
      </c>
      <c r="V38" s="50" t="s">
        <v>1216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45881</v>
      </c>
      <c r="O39" s="26">
        <v>0.1799537037037037</v>
      </c>
      <c r="P39" s="50" t="s">
        <v>1073</v>
      </c>
      <c r="Q39" s="50" t="s">
        <v>1218</v>
      </c>
      <c r="R39" s="50" t="s">
        <v>1054</v>
      </c>
      <c r="S39" s="50" t="s">
        <v>1219</v>
      </c>
      <c r="T39" s="50">
        <v>633</v>
      </c>
      <c r="U39" s="50" t="s">
        <v>1024</v>
      </c>
      <c r="V39" s="50" t="s">
        <v>1216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-586584</v>
      </c>
      <c r="N40" s="25">
        <v>45881</v>
      </c>
      <c r="O40" s="26">
        <v>0.33317129629629633</v>
      </c>
      <c r="P40" s="50" t="s">
        <v>1020</v>
      </c>
      <c r="Q40" s="50" t="s">
        <v>1029</v>
      </c>
      <c r="R40" s="50" t="s">
        <v>1045</v>
      </c>
      <c r="S40" s="50" t="s">
        <v>1122</v>
      </c>
      <c r="T40" s="50">
        <v>-131000</v>
      </c>
      <c r="U40" s="50" t="s">
        <v>1024</v>
      </c>
      <c r="V40" s="50" t="s">
        <v>1350</v>
      </c>
      <c r="W40" s="50" t="s">
        <v>1686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SUMIFS($T$3:$T$234,$P$3:$P$234,"지출",$Q$3:$Q$234,C41,$R$3:$R$234,D41)</f>
        <v>-13900</v>
      </c>
      <c r="N41" s="25">
        <v>45881</v>
      </c>
      <c r="O41" s="26">
        <v>0.80582175925925925</v>
      </c>
      <c r="P41" s="50" t="s">
        <v>1053</v>
      </c>
      <c r="Q41" s="50" t="s">
        <v>1066</v>
      </c>
      <c r="R41" s="50" t="s">
        <v>1054</v>
      </c>
      <c r="S41" s="50" t="s">
        <v>1067</v>
      </c>
      <c r="T41" s="50">
        <v>-4739758</v>
      </c>
      <c r="U41" s="50" t="s">
        <v>1024</v>
      </c>
      <c r="V41" s="50" t="s">
        <v>1036</v>
      </c>
      <c r="W41" s="50"/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SUMIFS($T$3:$T$234,$P$3:$P$234,"지출",$Q$3:$Q$234,C42,$R$3:$R$234,D42)</f>
        <v>-164000</v>
      </c>
      <c r="N42" s="25">
        <v>45882</v>
      </c>
      <c r="O42" s="26">
        <v>0.17908564814814809</v>
      </c>
      <c r="P42" s="50" t="s">
        <v>1073</v>
      </c>
      <c r="Q42" s="50" t="s">
        <v>1218</v>
      </c>
      <c r="R42" s="50" t="s">
        <v>1054</v>
      </c>
      <c r="S42" s="50" t="s">
        <v>1219</v>
      </c>
      <c r="T42" s="50">
        <v>633</v>
      </c>
      <c r="U42" s="50" t="s">
        <v>1024</v>
      </c>
      <c r="V42" s="50" t="s">
        <v>1216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SUMIFS($T$3:$T$234,$P$3:$P$234,"지출",$Q$3:$Q$234,C43,$R$3:$R$234,D43)</f>
        <v>-7000</v>
      </c>
      <c r="N43" s="25">
        <v>45882</v>
      </c>
      <c r="O43" s="26">
        <v>0.66891203703703705</v>
      </c>
      <c r="P43" s="50" t="s">
        <v>1073</v>
      </c>
      <c r="Q43" s="50" t="s">
        <v>1184</v>
      </c>
      <c r="R43" s="50" t="s">
        <v>1054</v>
      </c>
      <c r="S43" s="50" t="s">
        <v>1195</v>
      </c>
      <c r="T43" s="50">
        <v>200000</v>
      </c>
      <c r="U43" s="50" t="s">
        <v>1024</v>
      </c>
      <c r="V43" s="50" t="s">
        <v>1036</v>
      </c>
      <c r="W43" s="50" t="s">
        <v>1687</v>
      </c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SUMIFS($T$3:$T$234,$P$3:$P$234,"지출",$Q$3:$Q$234,C44,$R$3:$R$234,D44)</f>
        <v>0</v>
      </c>
      <c r="N44" s="25">
        <v>45882</v>
      </c>
      <c r="O44" s="26">
        <v>0.81641203703703702</v>
      </c>
      <c r="P44" s="50" t="s">
        <v>1073</v>
      </c>
      <c r="Q44" s="50" t="s">
        <v>1047</v>
      </c>
      <c r="R44" s="50" t="s">
        <v>1054</v>
      </c>
      <c r="S44" s="50" t="s">
        <v>1688</v>
      </c>
      <c r="T44" s="50">
        <v>1</v>
      </c>
      <c r="U44" s="50" t="s">
        <v>1024</v>
      </c>
      <c r="V44" s="50" t="s">
        <v>1036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-184900</v>
      </c>
      <c r="N45" s="25">
        <v>45882</v>
      </c>
      <c r="O45" s="26">
        <v>0.81765046296296295</v>
      </c>
      <c r="P45" s="50" t="s">
        <v>1053</v>
      </c>
      <c r="Q45" s="50" t="s">
        <v>1053</v>
      </c>
      <c r="R45" s="50" t="s">
        <v>1054</v>
      </c>
      <c r="S45" s="50" t="s">
        <v>1689</v>
      </c>
      <c r="T45" s="50">
        <v>13510</v>
      </c>
      <c r="U45" s="50" t="s">
        <v>1024</v>
      </c>
      <c r="V45" s="50" t="s">
        <v>1036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SUMIFS($T$3:$T$234,$P$3:$P$234,"지출",$Q$3:$Q$234,C46,$R$3:$R$234,D46)</f>
        <v>0</v>
      </c>
      <c r="N46" s="25">
        <v>45883</v>
      </c>
      <c r="O46" s="26">
        <v>0.18149305555555559</v>
      </c>
      <c r="P46" s="50" t="s">
        <v>1073</v>
      </c>
      <c r="Q46" s="50" t="s">
        <v>1218</v>
      </c>
      <c r="R46" s="50" t="s">
        <v>1054</v>
      </c>
      <c r="S46" s="50" t="s">
        <v>1219</v>
      </c>
      <c r="T46" s="50">
        <v>633</v>
      </c>
      <c r="U46" s="50" t="s">
        <v>1024</v>
      </c>
      <c r="V46" s="50" t="s">
        <v>1216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SUMIFS($T$3:$T$234,$P$3:$P$234,"지출",$Q$3:$Q$234,C47,$R$3:$R$234,D47)</f>
        <v>0</v>
      </c>
      <c r="N47" s="25">
        <v>45883</v>
      </c>
      <c r="O47" s="26">
        <v>0.75061342592592595</v>
      </c>
      <c r="P47" s="50" t="s">
        <v>1073</v>
      </c>
      <c r="Q47" s="50" t="s">
        <v>1184</v>
      </c>
      <c r="R47" s="50" t="s">
        <v>1054</v>
      </c>
      <c r="S47" s="50" t="s">
        <v>1195</v>
      </c>
      <c r="T47" s="50">
        <v>125000</v>
      </c>
      <c r="U47" s="50" t="s">
        <v>1024</v>
      </c>
      <c r="V47" s="50" t="s">
        <v>1036</v>
      </c>
      <c r="W47" s="50" t="s">
        <v>1687</v>
      </c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SUMIFS($T$3:$T$234,$P$3:$P$234,"지출",$Q$3:$Q$234,C48,$R$3:$R$234,D48)</f>
        <v>0</v>
      </c>
      <c r="N48" s="25">
        <v>45884</v>
      </c>
      <c r="O48" s="26">
        <v>0.18119212962962961</v>
      </c>
      <c r="P48" s="50" t="s">
        <v>1073</v>
      </c>
      <c r="Q48" s="50" t="s">
        <v>1218</v>
      </c>
      <c r="R48" s="50" t="s">
        <v>1054</v>
      </c>
      <c r="S48" s="50" t="s">
        <v>1219</v>
      </c>
      <c r="T48" s="50">
        <v>633</v>
      </c>
      <c r="U48" s="50" t="s">
        <v>1024</v>
      </c>
      <c r="V48" s="50" t="s">
        <v>1216</v>
      </c>
      <c r="W48" s="50"/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SUMIFS($T$3:$T$234,$P$3:$P$234,"지출",$Q$3:$Q$234,C49,$R$3:$R$234,D49)</f>
        <v>0</v>
      </c>
      <c r="N49" s="25">
        <v>45884</v>
      </c>
      <c r="O49" s="26">
        <v>0.43542824074074082</v>
      </c>
      <c r="P49" s="50" t="s">
        <v>1020</v>
      </c>
      <c r="Q49" s="50" t="s">
        <v>1022</v>
      </c>
      <c r="R49" s="50" t="s">
        <v>1032</v>
      </c>
      <c r="S49" s="50" t="s">
        <v>1517</v>
      </c>
      <c r="T49" s="50">
        <v>-99000</v>
      </c>
      <c r="U49" s="50" t="s">
        <v>1024</v>
      </c>
      <c r="V49" s="50" t="s">
        <v>1025</v>
      </c>
      <c r="W49" s="50" t="s">
        <v>1690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45884</v>
      </c>
      <c r="O50" s="26">
        <v>0.43863425925925931</v>
      </c>
      <c r="P50" s="50" t="s">
        <v>1020</v>
      </c>
      <c r="Q50" s="50" t="s">
        <v>1022</v>
      </c>
      <c r="R50" s="50" t="s">
        <v>1032</v>
      </c>
      <c r="S50" s="50" t="s">
        <v>1519</v>
      </c>
      <c r="T50" s="50">
        <v>-39400</v>
      </c>
      <c r="U50" s="50" t="s">
        <v>1024</v>
      </c>
      <c r="V50" s="50" t="s">
        <v>1025</v>
      </c>
      <c r="W50" s="50" t="s">
        <v>1691</v>
      </c>
      <c r="X50" s="86"/>
      <c r="Y50" s="6"/>
    </row>
    <row r="51" spans="1:25" ht="18" thickBot="1" x14ac:dyDescent="0.45">
      <c r="J51" s="53"/>
      <c r="K51" s="54"/>
      <c r="N51" s="25">
        <v>45884</v>
      </c>
      <c r="O51" s="26">
        <v>0.54549768518518515</v>
      </c>
      <c r="P51" s="50" t="s">
        <v>1020</v>
      </c>
      <c r="Q51" s="50" t="s">
        <v>1022</v>
      </c>
      <c r="R51" s="50" t="s">
        <v>1032</v>
      </c>
      <c r="S51" s="50" t="s">
        <v>1692</v>
      </c>
      <c r="T51" s="50">
        <v>-162000</v>
      </c>
      <c r="U51" s="50" t="s">
        <v>1024</v>
      </c>
      <c r="V51" s="50" t="s">
        <v>1099</v>
      </c>
      <c r="W51" s="50" t="s">
        <v>1693</v>
      </c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127123801</v>
      </c>
      <c r="N52" s="25">
        <v>45884</v>
      </c>
      <c r="O52" s="26">
        <v>0.56472222222222224</v>
      </c>
      <c r="P52" s="50" t="s">
        <v>1020</v>
      </c>
      <c r="Q52" s="50" t="s">
        <v>1022</v>
      </c>
      <c r="R52" s="50" t="s">
        <v>1032</v>
      </c>
      <c r="S52" s="50" t="s">
        <v>1694</v>
      </c>
      <c r="T52" s="50">
        <v>-4500</v>
      </c>
      <c r="U52" s="50" t="s">
        <v>1024</v>
      </c>
      <c r="V52" s="50" t="s">
        <v>1099</v>
      </c>
      <c r="W52" s="50" t="s">
        <v>1695</v>
      </c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141152424</v>
      </c>
      <c r="N53" s="25">
        <v>45885</v>
      </c>
      <c r="O53" s="26">
        <v>0.1795023148148148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633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45717</v>
      </c>
      <c r="F54" s="51">
        <v>5455408</v>
      </c>
      <c r="H54" s="98" t="s">
        <v>907</v>
      </c>
      <c r="I54" s="30">
        <f ca="1">I53-I52</f>
        <v>14028623</v>
      </c>
      <c r="J54" s="53"/>
      <c r="K54" s="54"/>
      <c r="N54" s="25">
        <v>45885</v>
      </c>
      <c r="O54" s="26">
        <v>0.64129629629629625</v>
      </c>
      <c r="P54" s="50" t="s">
        <v>1020</v>
      </c>
      <c r="Q54" s="50" t="s">
        <v>1047</v>
      </c>
      <c r="R54" s="50" t="s">
        <v>1047</v>
      </c>
      <c r="S54" s="50" t="s">
        <v>1696</v>
      </c>
      <c r="T54" s="50">
        <v>-52200</v>
      </c>
      <c r="U54" s="50" t="s">
        <v>1024</v>
      </c>
      <c r="V54" s="50" t="s">
        <v>1025</v>
      </c>
      <c r="W54" s="50" t="s">
        <v>1173</v>
      </c>
      <c r="X54" s="86"/>
      <c r="Y54" s="6"/>
    </row>
    <row r="55" spans="1:25" x14ac:dyDescent="0.4">
      <c r="C55" s="83"/>
      <c r="D55" s="50" t="s">
        <v>994</v>
      </c>
      <c r="E55" s="89">
        <v>45717</v>
      </c>
      <c r="F55" s="51">
        <v>16982277</v>
      </c>
      <c r="H55" s="52"/>
      <c r="I55" s="53"/>
      <c r="J55" s="53"/>
      <c r="K55" s="54"/>
      <c r="N55" s="25">
        <v>45886</v>
      </c>
      <c r="O55" s="26">
        <v>0.180150462962963</v>
      </c>
      <c r="P55" s="50" t="s">
        <v>1073</v>
      </c>
      <c r="Q55" s="50" t="s">
        <v>1218</v>
      </c>
      <c r="R55" s="50" t="s">
        <v>1054</v>
      </c>
      <c r="S55" s="50" t="s">
        <v>1219</v>
      </c>
      <c r="T55" s="50">
        <v>634</v>
      </c>
      <c r="U55" s="50" t="s">
        <v>1024</v>
      </c>
      <c r="V55" s="50" t="s">
        <v>1216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45717</v>
      </c>
      <c r="F56" s="51">
        <v>12000000</v>
      </c>
      <c r="H56" s="52"/>
      <c r="I56" s="53"/>
      <c r="J56" s="53"/>
      <c r="K56" s="54"/>
      <c r="N56" s="25">
        <v>45886</v>
      </c>
      <c r="O56" s="26">
        <v>0.48068287037037039</v>
      </c>
      <c r="P56" s="50" t="s">
        <v>1020</v>
      </c>
      <c r="Q56" s="50" t="s">
        <v>1022</v>
      </c>
      <c r="R56" s="50" t="s">
        <v>1032</v>
      </c>
      <c r="S56" s="50" t="s">
        <v>1697</v>
      </c>
      <c r="T56" s="50">
        <v>-24000</v>
      </c>
      <c r="U56" s="50" t="s">
        <v>1024</v>
      </c>
      <c r="V56" s="50" t="s">
        <v>1025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45886</v>
      </c>
      <c r="O57" s="26">
        <v>0.49087962962962961</v>
      </c>
      <c r="P57" s="50" t="s">
        <v>1020</v>
      </c>
      <c r="Q57" s="50" t="s">
        <v>1022</v>
      </c>
      <c r="R57" s="50" t="s">
        <v>1032</v>
      </c>
      <c r="S57" s="50" t="s">
        <v>1698</v>
      </c>
      <c r="T57" s="50">
        <v>-17000</v>
      </c>
      <c r="U57" s="50" t="s">
        <v>1024</v>
      </c>
      <c r="V57" s="50" t="s">
        <v>1025</v>
      </c>
      <c r="W57" s="50"/>
      <c r="X57" s="86"/>
      <c r="Y57" s="6"/>
    </row>
    <row r="58" spans="1:25" x14ac:dyDescent="0.4">
      <c r="C58" s="81" t="s">
        <v>992</v>
      </c>
      <c r="D58" s="99" t="s">
        <v>1005</v>
      </c>
      <c r="E58" s="89">
        <v>45717</v>
      </c>
      <c r="F58" s="104">
        <v>6000000</v>
      </c>
      <c r="H58" s="52"/>
      <c r="I58" s="53"/>
      <c r="J58" s="53"/>
      <c r="K58" s="54"/>
      <c r="N58" s="25">
        <v>45886</v>
      </c>
      <c r="O58" s="26">
        <v>0.5527199074074074</v>
      </c>
      <c r="P58" s="50" t="s">
        <v>1020</v>
      </c>
      <c r="Q58" s="50" t="s">
        <v>1022</v>
      </c>
      <c r="R58" s="50" t="s">
        <v>1032</v>
      </c>
      <c r="S58" s="50" t="s">
        <v>1699</v>
      </c>
      <c r="T58" s="50">
        <v>-4700</v>
      </c>
      <c r="U58" s="50" t="s">
        <v>1024</v>
      </c>
      <c r="V58" s="50" t="s">
        <v>1025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45717</v>
      </c>
      <c r="F59" s="51">
        <v>93285</v>
      </c>
      <c r="H59" s="52"/>
      <c r="I59" s="53"/>
      <c r="J59" s="53"/>
      <c r="K59" s="54"/>
      <c r="N59" s="25">
        <v>45886</v>
      </c>
      <c r="O59" s="26">
        <v>0.5581828703703704</v>
      </c>
      <c r="P59" s="50" t="s">
        <v>1020</v>
      </c>
      <c r="Q59" s="50" t="s">
        <v>1022</v>
      </c>
      <c r="R59" s="50" t="s">
        <v>1032</v>
      </c>
      <c r="S59" s="50" t="s">
        <v>1700</v>
      </c>
      <c r="T59" s="50">
        <v>-1800</v>
      </c>
      <c r="U59" s="50" t="s">
        <v>1024</v>
      </c>
      <c r="V59" s="50" t="s">
        <v>1025</v>
      </c>
      <c r="W59" s="50" t="s">
        <v>1701</v>
      </c>
      <c r="X59" s="86"/>
      <c r="Y59" s="6"/>
    </row>
    <row r="60" spans="1:25" x14ac:dyDescent="0.4">
      <c r="C60" s="83"/>
      <c r="D60" s="50" t="s">
        <v>990</v>
      </c>
      <c r="E60" s="89">
        <v>45717</v>
      </c>
      <c r="F60" s="51">
        <v>47150</v>
      </c>
      <c r="H60" s="52"/>
      <c r="I60" s="53"/>
      <c r="J60" s="53"/>
      <c r="K60" s="54"/>
      <c r="N60" s="25">
        <v>45886</v>
      </c>
      <c r="O60" s="26">
        <v>0.70695601851851853</v>
      </c>
      <c r="P60" s="50" t="s">
        <v>1020</v>
      </c>
      <c r="Q60" s="50" t="s">
        <v>1029</v>
      </c>
      <c r="R60" s="50" t="s">
        <v>1030</v>
      </c>
      <c r="S60" s="50" t="s">
        <v>1172</v>
      </c>
      <c r="T60" s="50">
        <v>-16720</v>
      </c>
      <c r="U60" s="50" t="s">
        <v>1024</v>
      </c>
      <c r="V60" s="50" t="s">
        <v>1025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45717</v>
      </c>
      <c r="F61" s="51">
        <v>20826</v>
      </c>
      <c r="H61" s="52"/>
      <c r="I61" s="53"/>
      <c r="J61" s="53"/>
      <c r="K61" s="54"/>
      <c r="N61" s="25">
        <v>45887</v>
      </c>
      <c r="O61" s="26">
        <v>0.17983796296296289</v>
      </c>
      <c r="P61" s="50" t="s">
        <v>1073</v>
      </c>
      <c r="Q61" s="50" t="s">
        <v>1218</v>
      </c>
      <c r="R61" s="50" t="s">
        <v>1054</v>
      </c>
      <c r="S61" s="50" t="s">
        <v>1219</v>
      </c>
      <c r="T61" s="50">
        <v>634</v>
      </c>
      <c r="U61" s="50" t="s">
        <v>1024</v>
      </c>
      <c r="V61" s="50" t="s">
        <v>1216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45717</v>
      </c>
      <c r="F62" s="101">
        <v>7000000</v>
      </c>
      <c r="H62" s="52"/>
      <c r="I62" s="53"/>
      <c r="J62" s="53"/>
      <c r="K62" s="54"/>
      <c r="N62" s="25">
        <v>45887</v>
      </c>
      <c r="O62" s="26">
        <v>0.74976851851851856</v>
      </c>
      <c r="P62" s="50" t="s">
        <v>1073</v>
      </c>
      <c r="Q62" s="50" t="s">
        <v>1074</v>
      </c>
      <c r="R62" s="50" t="s">
        <v>1054</v>
      </c>
      <c r="S62" s="50" t="s">
        <v>1075</v>
      </c>
      <c r="T62" s="50">
        <v>55199</v>
      </c>
      <c r="U62" s="50" t="s">
        <v>1024</v>
      </c>
      <c r="V62" s="50" t="s">
        <v>1036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45717</v>
      </c>
      <c r="F63" s="51">
        <v>610300</v>
      </c>
      <c r="H63" s="52"/>
      <c r="I63" s="53"/>
      <c r="J63" s="53"/>
      <c r="K63" s="54"/>
      <c r="N63" s="25">
        <v>45888</v>
      </c>
      <c r="O63" s="26">
        <v>0.1802199074074074</v>
      </c>
      <c r="P63" s="50" t="s">
        <v>1073</v>
      </c>
      <c r="Q63" s="50" t="s">
        <v>1218</v>
      </c>
      <c r="R63" s="50" t="s">
        <v>1054</v>
      </c>
      <c r="S63" s="50" t="s">
        <v>1219</v>
      </c>
      <c r="T63" s="50">
        <v>634</v>
      </c>
      <c r="U63" s="50" t="s">
        <v>1024</v>
      </c>
      <c r="V63" s="50" t="s">
        <v>1216</v>
      </c>
      <c r="W63" s="50"/>
      <c r="X63" s="86"/>
      <c r="Y63" s="6"/>
    </row>
    <row r="64" spans="1:25" x14ac:dyDescent="0.4">
      <c r="C64" s="79" t="s">
        <v>1001</v>
      </c>
      <c r="D64" s="50" t="s">
        <v>997</v>
      </c>
      <c r="E64" s="89">
        <v>45689</v>
      </c>
      <c r="F64" s="51">
        <v>42145180</v>
      </c>
      <c r="H64" s="52"/>
      <c r="I64" s="53"/>
      <c r="J64" s="53"/>
      <c r="K64" s="54"/>
      <c r="N64" s="25">
        <v>45888</v>
      </c>
      <c r="O64" s="26">
        <v>0.27326388888888892</v>
      </c>
      <c r="P64" s="50" t="s">
        <v>1020</v>
      </c>
      <c r="Q64" s="50" t="s">
        <v>1029</v>
      </c>
      <c r="R64" s="50" t="s">
        <v>1045</v>
      </c>
      <c r="S64" s="50" t="s">
        <v>1702</v>
      </c>
      <c r="T64" s="50">
        <v>-25600</v>
      </c>
      <c r="U64" s="50" t="s">
        <v>1024</v>
      </c>
      <c r="V64" s="50" t="s">
        <v>1025</v>
      </c>
      <c r="W64" s="50" t="s">
        <v>1703</v>
      </c>
      <c r="X64" s="86"/>
      <c r="Y64" s="6"/>
    </row>
    <row r="65" spans="1:25" x14ac:dyDescent="0.4">
      <c r="C65" s="83"/>
      <c r="D65" s="84" t="s">
        <v>998</v>
      </c>
      <c r="E65" s="102">
        <v>45689</v>
      </c>
      <c r="F65" s="103">
        <v>33583395</v>
      </c>
      <c r="H65" s="52"/>
      <c r="I65" s="53"/>
      <c r="J65" s="53"/>
      <c r="K65" s="54"/>
      <c r="N65" s="25">
        <v>45888</v>
      </c>
      <c r="O65" s="26">
        <v>0.33831018518518519</v>
      </c>
      <c r="P65" s="50" t="s">
        <v>1020</v>
      </c>
      <c r="Q65" s="50" t="s">
        <v>1026</v>
      </c>
      <c r="R65" s="50" t="s">
        <v>1093</v>
      </c>
      <c r="S65" s="50" t="s">
        <v>1094</v>
      </c>
      <c r="T65" s="50">
        <v>-22000</v>
      </c>
      <c r="U65" s="50" t="s">
        <v>1024</v>
      </c>
      <c r="V65" s="50" t="s">
        <v>1025</v>
      </c>
      <c r="W65" s="50"/>
      <c r="X65" s="86"/>
      <c r="Y65" s="6"/>
    </row>
    <row r="66" spans="1:25" x14ac:dyDescent="0.4">
      <c r="C66" s="83"/>
      <c r="D66" s="84" t="s">
        <v>1158</v>
      </c>
      <c r="E66" s="102">
        <v>45689</v>
      </c>
      <c r="F66" s="103">
        <v>649551</v>
      </c>
      <c r="H66" s="52"/>
      <c r="I66" s="53"/>
      <c r="J66" s="53"/>
      <c r="K66" s="54"/>
      <c r="N66" s="25">
        <v>45888</v>
      </c>
      <c r="O66" s="26">
        <v>0.33831018518518519</v>
      </c>
      <c r="P66" s="50" t="s">
        <v>1020</v>
      </c>
      <c r="Q66" s="50" t="s">
        <v>1026</v>
      </c>
      <c r="R66" s="50" t="s">
        <v>1093</v>
      </c>
      <c r="S66" s="50" t="s">
        <v>1095</v>
      </c>
      <c r="T66" s="50">
        <v>-73590</v>
      </c>
      <c r="U66" s="50" t="s">
        <v>1024</v>
      </c>
      <c r="V66" s="50" t="s">
        <v>1025</v>
      </c>
      <c r="W66" s="50"/>
      <c r="X66" s="86"/>
      <c r="Y66" s="6"/>
    </row>
    <row r="67" spans="1:25" x14ac:dyDescent="0.4">
      <c r="C67" s="83"/>
      <c r="D67" s="84" t="s">
        <v>1159</v>
      </c>
      <c r="E67" s="102">
        <v>45689</v>
      </c>
      <c r="F67" s="103">
        <v>100970</v>
      </c>
      <c r="H67" s="52"/>
      <c r="I67" s="53"/>
      <c r="J67" s="53"/>
      <c r="K67" s="54"/>
      <c r="N67" s="25">
        <v>45888</v>
      </c>
      <c r="O67" s="26">
        <v>0.45648148148148149</v>
      </c>
      <c r="P67" s="50" t="s">
        <v>1020</v>
      </c>
      <c r="Q67" s="50" t="s">
        <v>1029</v>
      </c>
      <c r="R67" s="50" t="s">
        <v>1045</v>
      </c>
      <c r="S67" s="50" t="s">
        <v>1031</v>
      </c>
      <c r="T67" s="50">
        <v>-11400</v>
      </c>
      <c r="U67" s="50" t="s">
        <v>1024</v>
      </c>
      <c r="V67" s="50" t="s">
        <v>1025</v>
      </c>
      <c r="W67" s="50" t="s">
        <v>1704</v>
      </c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1073346</v>
      </c>
      <c r="H68" s="52"/>
      <c r="I68" s="53"/>
      <c r="J68" s="53"/>
      <c r="K68" s="54"/>
      <c r="N68" s="25">
        <v>45889</v>
      </c>
      <c r="O68" s="26">
        <v>0.18</v>
      </c>
      <c r="P68" s="50" t="s">
        <v>1073</v>
      </c>
      <c r="Q68" s="50" t="s">
        <v>1218</v>
      </c>
      <c r="R68" s="50" t="s">
        <v>1054</v>
      </c>
      <c r="S68" s="50" t="s">
        <v>1219</v>
      </c>
      <c r="T68" s="50">
        <v>634</v>
      </c>
      <c r="U68" s="50" t="s">
        <v>1024</v>
      </c>
      <c r="V68" s="50" t="s">
        <v>1216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45717</v>
      </c>
      <c r="F69" s="51">
        <f>3866452+2847005</f>
        <v>6713457</v>
      </c>
      <c r="H69" s="52"/>
      <c r="I69" s="53"/>
      <c r="J69" s="53"/>
      <c r="K69" s="54"/>
      <c r="N69" s="25">
        <v>45889</v>
      </c>
      <c r="O69" s="26">
        <v>0.80854166666666671</v>
      </c>
      <c r="P69" s="50" t="s">
        <v>1020</v>
      </c>
      <c r="Q69" s="50" t="s">
        <v>1021</v>
      </c>
      <c r="R69" s="50" t="s">
        <v>1022</v>
      </c>
      <c r="S69" s="50" t="s">
        <v>1705</v>
      </c>
      <c r="T69" s="50">
        <v>-67000</v>
      </c>
      <c r="U69" s="50" t="s">
        <v>1024</v>
      </c>
      <c r="V69" s="50" t="s">
        <v>1125</v>
      </c>
      <c r="W69" s="50" t="s">
        <v>1706</v>
      </c>
      <c r="X69" s="86"/>
      <c r="Y69" s="6"/>
    </row>
    <row r="70" spans="1:25" x14ac:dyDescent="0.4">
      <c r="C70" s="80"/>
      <c r="D70" s="50" t="s">
        <v>1000</v>
      </c>
      <c r="E70" s="89">
        <v>45717</v>
      </c>
      <c r="F70" s="51">
        <v>8677279</v>
      </c>
      <c r="H70" s="52"/>
      <c r="I70" s="53"/>
      <c r="J70" s="53"/>
      <c r="K70" s="54"/>
      <c r="N70" s="25">
        <v>45890</v>
      </c>
      <c r="O70" s="26">
        <v>0.18159722222222219</v>
      </c>
      <c r="P70" s="50" t="s">
        <v>1073</v>
      </c>
      <c r="Q70" s="50" t="s">
        <v>1218</v>
      </c>
      <c r="R70" s="50" t="s">
        <v>1054</v>
      </c>
      <c r="S70" s="50" t="s">
        <v>1219</v>
      </c>
      <c r="T70" s="50">
        <v>634</v>
      </c>
      <c r="U70" s="50" t="s">
        <v>1024</v>
      </c>
      <c r="V70" s="50" t="s">
        <v>1216</v>
      </c>
      <c r="W70" s="50"/>
      <c r="X70" s="86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>
        <v>45890</v>
      </c>
      <c r="O71" s="26">
        <v>0.26975694444444442</v>
      </c>
      <c r="P71" s="50" t="s">
        <v>1020</v>
      </c>
      <c r="Q71" s="50" t="s">
        <v>1026</v>
      </c>
      <c r="R71" s="50" t="s">
        <v>1151</v>
      </c>
      <c r="S71" s="50" t="s">
        <v>1581</v>
      </c>
      <c r="T71" s="50">
        <v>-6100</v>
      </c>
      <c r="U71" s="50" t="s">
        <v>1024</v>
      </c>
      <c r="V71" s="50" t="s">
        <v>1025</v>
      </c>
      <c r="W71" s="50"/>
      <c r="X71" s="86"/>
      <c r="Y71" s="6"/>
    </row>
    <row r="72" spans="1:25" x14ac:dyDescent="0.4">
      <c r="A72" s="3" t="s">
        <v>926</v>
      </c>
      <c r="H72" s="52"/>
      <c r="I72" s="53"/>
      <c r="J72" s="53"/>
      <c r="K72" s="54"/>
      <c r="N72" s="25">
        <v>45890</v>
      </c>
      <c r="O72" s="26">
        <v>0.8069560185185185</v>
      </c>
      <c r="P72" s="50" t="s">
        <v>1020</v>
      </c>
      <c r="Q72" s="50" t="s">
        <v>1029</v>
      </c>
      <c r="R72" s="50" t="s">
        <v>1030</v>
      </c>
      <c r="S72" s="50" t="s">
        <v>1707</v>
      </c>
      <c r="T72" s="50">
        <v>-6500</v>
      </c>
      <c r="U72" s="50" t="s">
        <v>1024</v>
      </c>
      <c r="V72" s="50" t="s">
        <v>1099</v>
      </c>
      <c r="W72" s="50" t="s">
        <v>1708</v>
      </c>
      <c r="X72" s="86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>
        <v>45890</v>
      </c>
      <c r="O73" s="26">
        <v>0.83649305555555553</v>
      </c>
      <c r="P73" s="50" t="s">
        <v>1020</v>
      </c>
      <c r="Q73" s="50" t="s">
        <v>1029</v>
      </c>
      <c r="R73" s="50" t="s">
        <v>1045</v>
      </c>
      <c r="S73" s="50" t="s">
        <v>1031</v>
      </c>
      <c r="T73" s="50">
        <v>-36000</v>
      </c>
      <c r="U73" s="50" t="s">
        <v>1024</v>
      </c>
      <c r="V73" s="50" t="s">
        <v>1025</v>
      </c>
      <c r="W73" s="50" t="s">
        <v>1709</v>
      </c>
      <c r="X73" s="86"/>
      <c r="Y73" s="6"/>
    </row>
    <row r="74" spans="1:25" ht="18" thickTop="1" x14ac:dyDescent="0.4">
      <c r="A74" s="7">
        <f>$L$1</f>
        <v>202508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t="shared" ref="F74:F79" ca="1" si="11">INDIRECT($J$1&amp;"!H"&amp;ROW())</f>
        <v>5300844</v>
      </c>
      <c r="G74" s="41">
        <f t="shared" ref="G74:G79" ca="1" si="12">H74-F74</f>
        <v>592797</v>
      </c>
      <c r="H74" s="58">
        <f t="shared" ref="H74:H79" si="13">SUMIFS($T$3:$T$234,$P$3:$P$234,"수입",$Q$3:$Q$234,C74)</f>
        <v>5893641</v>
      </c>
      <c r="I74" s="43">
        <f t="shared" ref="I74:I79" si="14">H74-E74</f>
        <v>350641</v>
      </c>
      <c r="N74" s="25">
        <v>45891</v>
      </c>
      <c r="O74" s="26">
        <v>0.1809722222222222</v>
      </c>
      <c r="P74" s="50" t="s">
        <v>1073</v>
      </c>
      <c r="Q74" s="50" t="s">
        <v>1218</v>
      </c>
      <c r="R74" s="50" t="s">
        <v>1054</v>
      </c>
      <c r="S74" s="50" t="s">
        <v>1219</v>
      </c>
      <c r="T74" s="50">
        <v>634</v>
      </c>
      <c r="U74" s="50" t="s">
        <v>1024</v>
      </c>
      <c r="V74" s="50" t="s">
        <v>1216</v>
      </c>
      <c r="W74" s="50"/>
      <c r="X74" s="86"/>
      <c r="Y74" s="6"/>
    </row>
    <row r="75" spans="1:25" x14ac:dyDescent="0.4">
      <c r="A75" s="4">
        <f t="shared" ref="A75:A79" si="15">$L$1</f>
        <v>202508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55199</v>
      </c>
      <c r="F75" s="41">
        <f t="shared" ca="1" si="11"/>
        <v>555199</v>
      </c>
      <c r="G75" s="41">
        <f t="shared" ca="1" si="12"/>
        <v>-500000</v>
      </c>
      <c r="H75" s="58">
        <f t="shared" si="13"/>
        <v>55199</v>
      </c>
      <c r="I75" s="43">
        <f t="shared" si="14"/>
        <v>0</v>
      </c>
      <c r="N75" s="25">
        <v>45891</v>
      </c>
      <c r="O75" s="26">
        <v>0.56405092592592587</v>
      </c>
      <c r="P75" s="50" t="s">
        <v>1020</v>
      </c>
      <c r="Q75" s="50" t="s">
        <v>1029</v>
      </c>
      <c r="R75" s="50" t="s">
        <v>1030</v>
      </c>
      <c r="S75" s="50" t="s">
        <v>1031</v>
      </c>
      <c r="T75" s="50">
        <v>-27150</v>
      </c>
      <c r="U75" s="50" t="s">
        <v>1024</v>
      </c>
      <c r="V75" s="50" t="s">
        <v>1025</v>
      </c>
      <c r="W75" s="50" t="s">
        <v>1710</v>
      </c>
      <c r="X75" s="86"/>
      <c r="Y75" s="6"/>
    </row>
    <row r="76" spans="1:25" x14ac:dyDescent="0.4">
      <c r="A76" s="4">
        <f t="shared" si="15"/>
        <v>202508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t="shared" ca="1" si="11"/>
        <v>0</v>
      </c>
      <c r="G76" s="41">
        <f t="shared" ca="1" si="12"/>
        <v>0</v>
      </c>
      <c r="H76" s="58">
        <f t="shared" si="13"/>
        <v>0</v>
      </c>
      <c r="I76" s="43">
        <f t="shared" si="14"/>
        <v>0</v>
      </c>
      <c r="N76" s="25">
        <v>45891</v>
      </c>
      <c r="O76" s="26">
        <v>0.61178240740740741</v>
      </c>
      <c r="P76" s="50" t="s">
        <v>1020</v>
      </c>
      <c r="Q76" s="50" t="s">
        <v>1047</v>
      </c>
      <c r="R76" s="50" t="s">
        <v>1406</v>
      </c>
      <c r="S76" s="50" t="s">
        <v>1711</v>
      </c>
      <c r="T76" s="50">
        <v>-34694</v>
      </c>
      <c r="U76" s="50" t="s">
        <v>1024</v>
      </c>
      <c r="V76" s="50" t="s">
        <v>1025</v>
      </c>
      <c r="W76" s="50" t="s">
        <v>1712</v>
      </c>
      <c r="X76" s="86"/>
      <c r="Y76" s="6"/>
    </row>
    <row r="77" spans="1:25" x14ac:dyDescent="0.4">
      <c r="A77" s="4">
        <f t="shared" si="15"/>
        <v>202508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47357</v>
      </c>
      <c r="G77" s="41">
        <f t="shared" ca="1" si="12"/>
        <v>-26304</v>
      </c>
      <c r="H77" s="58">
        <f t="shared" si="13"/>
        <v>21053</v>
      </c>
      <c r="I77" s="43">
        <f t="shared" si="14"/>
        <v>21053</v>
      </c>
      <c r="N77" s="25">
        <v>45891</v>
      </c>
      <c r="O77" s="26">
        <v>0.74030092592592589</v>
      </c>
      <c r="P77" s="50" t="s">
        <v>1020</v>
      </c>
      <c r="Q77" s="50" t="s">
        <v>1029</v>
      </c>
      <c r="R77" s="50" t="s">
        <v>1045</v>
      </c>
      <c r="S77" s="50" t="s">
        <v>1031</v>
      </c>
      <c r="T77" s="50">
        <v>-8790</v>
      </c>
      <c r="U77" s="50" t="s">
        <v>1024</v>
      </c>
      <c r="V77" s="50" t="s">
        <v>1025</v>
      </c>
      <c r="W77" s="50" t="s">
        <v>1713</v>
      </c>
      <c r="X77" s="86"/>
      <c r="Y77" s="6"/>
    </row>
    <row r="78" spans="1:25" x14ac:dyDescent="0.4">
      <c r="A78" s="4">
        <f t="shared" si="15"/>
        <v>202508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104002</v>
      </c>
      <c r="G78" s="41">
        <f t="shared" ca="1" si="12"/>
        <v>-104001</v>
      </c>
      <c r="H78" s="58">
        <f t="shared" si="13"/>
        <v>1</v>
      </c>
      <c r="I78" s="43">
        <f t="shared" si="14"/>
        <v>1</v>
      </c>
      <c r="N78" s="25">
        <v>45892</v>
      </c>
      <c r="O78" s="26">
        <v>2.6782407407407411E-2</v>
      </c>
      <c r="P78" s="50" t="s">
        <v>1020</v>
      </c>
      <c r="Q78" s="50" t="s">
        <v>1021</v>
      </c>
      <c r="R78" s="50" t="s">
        <v>1566</v>
      </c>
      <c r="S78" s="50" t="s">
        <v>1437</v>
      </c>
      <c r="T78" s="50">
        <v>-11400</v>
      </c>
      <c r="U78" s="50" t="s">
        <v>1024</v>
      </c>
      <c r="V78" s="50" t="s">
        <v>1025</v>
      </c>
      <c r="W78" s="50" t="s">
        <v>1714</v>
      </c>
      <c r="X78" s="86"/>
      <c r="Y78" s="6"/>
    </row>
    <row r="79" spans="1:25" x14ac:dyDescent="0.4">
      <c r="A79" s="4">
        <f t="shared" si="15"/>
        <v>202508</v>
      </c>
      <c r="B79" s="4">
        <f>B78+1</f>
        <v>6</v>
      </c>
      <c r="C79" s="105" t="s">
        <v>2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25000</v>
      </c>
      <c r="G79" s="41">
        <f t="shared" ca="1" si="12"/>
        <v>300000</v>
      </c>
      <c r="H79" s="58">
        <f t="shared" si="13"/>
        <v>325000</v>
      </c>
      <c r="I79" s="43">
        <f t="shared" si="14"/>
        <v>325000</v>
      </c>
      <c r="N79" s="25">
        <v>45892</v>
      </c>
      <c r="O79" s="26">
        <v>2.6805555555555551E-2</v>
      </c>
      <c r="P79" s="50" t="s">
        <v>1020</v>
      </c>
      <c r="Q79" s="50" t="s">
        <v>1021</v>
      </c>
      <c r="R79" s="50" t="s">
        <v>1566</v>
      </c>
      <c r="S79" s="50" t="s">
        <v>1437</v>
      </c>
      <c r="T79" s="50">
        <v>-2500</v>
      </c>
      <c r="U79" s="50" t="s">
        <v>1024</v>
      </c>
      <c r="V79" s="50" t="s">
        <v>1025</v>
      </c>
      <c r="W79" s="50" t="s">
        <v>1714</v>
      </c>
      <c r="X79" s="86"/>
      <c r="Y79" s="6"/>
    </row>
    <row r="80" spans="1:25" x14ac:dyDescent="0.4">
      <c r="A80" s="71" t="s">
        <v>14</v>
      </c>
      <c r="B80" s="72"/>
      <c r="C80" s="72"/>
      <c r="D80" s="73"/>
      <c r="E80" s="56">
        <f>SUM(E74:E79)</f>
        <v>5598199</v>
      </c>
      <c r="F80" s="56">
        <f ca="1">SUM(F74:F79)</f>
        <v>6032402</v>
      </c>
      <c r="G80" s="57">
        <f ca="1">SUM(G74:G79)</f>
        <v>262492</v>
      </c>
      <c r="H80" s="59">
        <f>SUM(H74:H79)</f>
        <v>6294894</v>
      </c>
      <c r="I80" s="43">
        <f>SUM(I74:I79)</f>
        <v>696695</v>
      </c>
      <c r="N80" s="25">
        <v>45892</v>
      </c>
      <c r="O80" s="26">
        <v>0.1804513888888889</v>
      </c>
      <c r="P80" s="50" t="s">
        <v>1073</v>
      </c>
      <c r="Q80" s="50" t="s">
        <v>1218</v>
      </c>
      <c r="R80" s="50" t="s">
        <v>1054</v>
      </c>
      <c r="S80" s="50" t="s">
        <v>1219</v>
      </c>
      <c r="T80" s="50">
        <v>634</v>
      </c>
      <c r="U80" s="50" t="s">
        <v>1024</v>
      </c>
      <c r="V80" s="50" t="s">
        <v>1216</v>
      </c>
      <c r="W80" s="50"/>
      <c r="X80" s="86"/>
      <c r="Y80" s="6"/>
    </row>
    <row r="81" spans="14:25" x14ac:dyDescent="0.4">
      <c r="N81" s="25">
        <v>45892</v>
      </c>
      <c r="O81" s="26">
        <v>0.3797800925925926</v>
      </c>
      <c r="P81" s="50" t="s">
        <v>1020</v>
      </c>
      <c r="Q81" s="50" t="s">
        <v>1029</v>
      </c>
      <c r="R81" s="50" t="s">
        <v>1045</v>
      </c>
      <c r="S81" s="50" t="s">
        <v>1031</v>
      </c>
      <c r="T81" s="50">
        <v>-11410</v>
      </c>
      <c r="U81" s="50" t="s">
        <v>1024</v>
      </c>
      <c r="V81" s="50" t="s">
        <v>1025</v>
      </c>
      <c r="W81" s="50" t="s">
        <v>1715</v>
      </c>
      <c r="X81" s="86"/>
      <c r="Y81" s="4"/>
    </row>
    <row r="82" spans="14:25" x14ac:dyDescent="0.4">
      <c r="N82" s="25">
        <v>45892</v>
      </c>
      <c r="O82" s="26">
        <v>0.5022106481481482</v>
      </c>
      <c r="P82" s="50" t="s">
        <v>1020</v>
      </c>
      <c r="Q82" s="50" t="s">
        <v>1047</v>
      </c>
      <c r="R82" s="50" t="s">
        <v>1406</v>
      </c>
      <c r="S82" s="50" t="s">
        <v>1078</v>
      </c>
      <c r="T82" s="50">
        <v>-270000</v>
      </c>
      <c r="U82" s="50" t="s">
        <v>1024</v>
      </c>
      <c r="V82" s="50" t="s">
        <v>1079</v>
      </c>
      <c r="W82" s="50" t="s">
        <v>1716</v>
      </c>
      <c r="X82" s="86"/>
      <c r="Y82" s="4"/>
    </row>
    <row r="83" spans="14:25" x14ac:dyDescent="0.4">
      <c r="N83" s="25">
        <v>45892</v>
      </c>
      <c r="O83" s="26">
        <v>0.81922453703703701</v>
      </c>
      <c r="P83" s="50" t="s">
        <v>1020</v>
      </c>
      <c r="Q83" s="50" t="s">
        <v>1047</v>
      </c>
      <c r="R83" s="50" t="s">
        <v>1047</v>
      </c>
      <c r="S83" s="50" t="s">
        <v>1717</v>
      </c>
      <c r="T83" s="50">
        <v>-70000</v>
      </c>
      <c r="U83" s="50" t="s">
        <v>1024</v>
      </c>
      <c r="V83" s="50" t="s">
        <v>1025</v>
      </c>
      <c r="W83" s="50" t="s">
        <v>1718</v>
      </c>
      <c r="X83" s="86"/>
      <c r="Y83" s="4"/>
    </row>
    <row r="84" spans="14:25" x14ac:dyDescent="0.4">
      <c r="N84" s="25">
        <v>45893</v>
      </c>
      <c r="O84" s="26">
        <v>0.1806712962962963</v>
      </c>
      <c r="P84" s="50" t="s">
        <v>1073</v>
      </c>
      <c r="Q84" s="50" t="s">
        <v>1218</v>
      </c>
      <c r="R84" s="50" t="s">
        <v>1054</v>
      </c>
      <c r="S84" s="50" t="s">
        <v>1219</v>
      </c>
      <c r="T84" s="50">
        <v>634</v>
      </c>
      <c r="U84" s="50" t="s">
        <v>1024</v>
      </c>
      <c r="V84" s="50" t="s">
        <v>1216</v>
      </c>
      <c r="W84" s="50"/>
      <c r="X84" s="86"/>
      <c r="Y84" s="4"/>
    </row>
    <row r="85" spans="14:25" x14ac:dyDescent="0.4">
      <c r="N85" s="25">
        <v>45894</v>
      </c>
      <c r="O85" s="26">
        <v>0.17966435185185181</v>
      </c>
      <c r="P85" s="50" t="s">
        <v>1073</v>
      </c>
      <c r="Q85" s="50" t="s">
        <v>1218</v>
      </c>
      <c r="R85" s="50" t="s">
        <v>1054</v>
      </c>
      <c r="S85" s="50" t="s">
        <v>1219</v>
      </c>
      <c r="T85" s="50">
        <v>634</v>
      </c>
      <c r="U85" s="50" t="s">
        <v>1024</v>
      </c>
      <c r="V85" s="50" t="s">
        <v>1216</v>
      </c>
      <c r="W85" s="50"/>
      <c r="X85" s="86"/>
      <c r="Y85" s="4"/>
    </row>
    <row r="86" spans="14:25" x14ac:dyDescent="0.4">
      <c r="N86" s="25">
        <v>45894</v>
      </c>
      <c r="O86" s="26">
        <v>0.25365740740740739</v>
      </c>
      <c r="P86" s="50" t="s">
        <v>1073</v>
      </c>
      <c r="Q86" s="50" t="s">
        <v>1117</v>
      </c>
      <c r="R86" s="50" t="s">
        <v>1054</v>
      </c>
      <c r="S86" s="50" t="s">
        <v>1118</v>
      </c>
      <c r="T86" s="50">
        <v>5893641</v>
      </c>
      <c r="U86" s="50" t="s">
        <v>1024</v>
      </c>
      <c r="V86" s="50" t="s">
        <v>1036</v>
      </c>
      <c r="W86" s="50"/>
      <c r="X86" s="86"/>
      <c r="Y86" s="4"/>
    </row>
    <row r="87" spans="14:25" x14ac:dyDescent="0.4">
      <c r="N87" s="25">
        <v>45894</v>
      </c>
      <c r="O87" s="26">
        <v>0.40950231481481481</v>
      </c>
      <c r="P87" s="50" t="s">
        <v>1020</v>
      </c>
      <c r="Q87" s="50" t="s">
        <v>1026</v>
      </c>
      <c r="R87" s="50" t="s">
        <v>1141</v>
      </c>
      <c r="S87" s="50" t="s">
        <v>1142</v>
      </c>
      <c r="T87" s="50">
        <v>-130000</v>
      </c>
      <c r="U87" s="50" t="s">
        <v>1024</v>
      </c>
      <c r="V87" s="50" t="s">
        <v>1036</v>
      </c>
      <c r="W87" s="50"/>
      <c r="X87" s="86"/>
      <c r="Y87" s="4"/>
    </row>
    <row r="88" spans="14:25" x14ac:dyDescent="0.4">
      <c r="N88" s="25">
        <v>45894</v>
      </c>
      <c r="O88" s="26">
        <v>0.40950231481481481</v>
      </c>
      <c r="P88" s="50" t="s">
        <v>1020</v>
      </c>
      <c r="Q88" s="50" t="s">
        <v>1026</v>
      </c>
      <c r="R88" s="50" t="s">
        <v>1139</v>
      </c>
      <c r="S88" s="50" t="s">
        <v>1140</v>
      </c>
      <c r="T88" s="50">
        <v>-100000</v>
      </c>
      <c r="U88" s="50" t="s">
        <v>1024</v>
      </c>
      <c r="V88" s="50" t="s">
        <v>1036</v>
      </c>
      <c r="W88" s="50"/>
      <c r="X88" s="86"/>
      <c r="Y88" s="4"/>
    </row>
    <row r="89" spans="14:25" x14ac:dyDescent="0.4">
      <c r="N89" s="25">
        <v>45894</v>
      </c>
      <c r="O89" s="26">
        <v>0.4203587962962963</v>
      </c>
      <c r="P89" s="50" t="s">
        <v>1020</v>
      </c>
      <c r="Q89" s="50" t="s">
        <v>1026</v>
      </c>
      <c r="R89" s="50" t="s">
        <v>1137</v>
      </c>
      <c r="S89" s="50" t="s">
        <v>1138</v>
      </c>
      <c r="T89" s="50">
        <v>-100000</v>
      </c>
      <c r="U89" s="50" t="s">
        <v>1024</v>
      </c>
      <c r="V89" s="50" t="s">
        <v>1036</v>
      </c>
      <c r="W89" s="50"/>
      <c r="X89" s="86"/>
      <c r="Y89" s="4"/>
    </row>
    <row r="90" spans="14:25" x14ac:dyDescent="0.4">
      <c r="N90" s="25">
        <v>45894</v>
      </c>
      <c r="O90" s="26">
        <v>0.55076388888888894</v>
      </c>
      <c r="P90" s="50" t="s">
        <v>1020</v>
      </c>
      <c r="Q90" s="50" t="s">
        <v>1026</v>
      </c>
      <c r="R90" s="50" t="s">
        <v>1027</v>
      </c>
      <c r="S90" s="50" t="s">
        <v>1143</v>
      </c>
      <c r="T90" s="50">
        <v>-13900</v>
      </c>
      <c r="U90" s="50" t="s">
        <v>1024</v>
      </c>
      <c r="V90" s="50" t="s">
        <v>1025</v>
      </c>
      <c r="W90" s="50"/>
      <c r="X90" s="86"/>
      <c r="Y90" s="6"/>
    </row>
    <row r="91" spans="14:25" x14ac:dyDescent="0.4">
      <c r="N91" s="25">
        <v>45894</v>
      </c>
      <c r="O91" s="26">
        <v>0.5715393518518519</v>
      </c>
      <c r="P91" s="50" t="s">
        <v>1020</v>
      </c>
      <c r="Q91" s="50" t="s">
        <v>1026</v>
      </c>
      <c r="R91" s="50" t="s">
        <v>1115</v>
      </c>
      <c r="S91" s="50" t="s">
        <v>1136</v>
      </c>
      <c r="T91" s="50">
        <v>-62690</v>
      </c>
      <c r="U91" s="50" t="s">
        <v>1024</v>
      </c>
      <c r="V91" s="50" t="s">
        <v>1025</v>
      </c>
      <c r="W91" s="50"/>
      <c r="X91" s="86"/>
      <c r="Y91" s="6"/>
    </row>
    <row r="92" spans="14:25" x14ac:dyDescent="0.4">
      <c r="N92" s="25">
        <v>45894</v>
      </c>
      <c r="O92" s="26">
        <v>0.81555555555555559</v>
      </c>
      <c r="P92" s="50" t="s">
        <v>1020</v>
      </c>
      <c r="Q92" s="50" t="s">
        <v>1026</v>
      </c>
      <c r="R92" s="50" t="s">
        <v>1115</v>
      </c>
      <c r="S92" s="50" t="s">
        <v>1719</v>
      </c>
      <c r="T92" s="50">
        <v>-224943</v>
      </c>
      <c r="U92" s="50" t="s">
        <v>1024</v>
      </c>
      <c r="V92" s="50" t="s">
        <v>1036</v>
      </c>
      <c r="W92" s="50"/>
      <c r="X92" s="86"/>
      <c r="Y92" s="6"/>
    </row>
    <row r="93" spans="14:25" x14ac:dyDescent="0.4">
      <c r="N93" s="25">
        <v>45894</v>
      </c>
      <c r="O93" s="26">
        <v>0.82925925925925925</v>
      </c>
      <c r="P93" s="50" t="s">
        <v>1020</v>
      </c>
      <c r="Q93" s="50" t="s">
        <v>1148</v>
      </c>
      <c r="R93" s="50" t="s">
        <v>1149</v>
      </c>
      <c r="S93" s="50" t="s">
        <v>1150</v>
      </c>
      <c r="T93" s="50">
        <v>-887637</v>
      </c>
      <c r="U93" s="50" t="s">
        <v>1024</v>
      </c>
      <c r="V93" s="50" t="s">
        <v>1036</v>
      </c>
      <c r="W93" s="50"/>
      <c r="X93" s="86"/>
      <c r="Y93" s="6"/>
    </row>
    <row r="94" spans="14:25" x14ac:dyDescent="0.4">
      <c r="N94" s="25">
        <v>45894</v>
      </c>
      <c r="O94" s="26">
        <v>0.85281249999999997</v>
      </c>
      <c r="P94" s="50" t="s">
        <v>1020</v>
      </c>
      <c r="Q94" s="50" t="s">
        <v>1644</v>
      </c>
      <c r="R94" s="50" t="s">
        <v>1720</v>
      </c>
      <c r="S94" s="50" t="s">
        <v>1721</v>
      </c>
      <c r="T94" s="50">
        <v>-11700</v>
      </c>
      <c r="U94" s="50" t="s">
        <v>1024</v>
      </c>
      <c r="V94" s="50" t="s">
        <v>1036</v>
      </c>
      <c r="W94" s="50"/>
      <c r="X94" s="86"/>
      <c r="Y94" s="6"/>
    </row>
    <row r="95" spans="14:25" x14ac:dyDescent="0.4">
      <c r="N95" s="25">
        <v>45894</v>
      </c>
      <c r="O95" s="26">
        <v>0.85569444444444442</v>
      </c>
      <c r="P95" s="50" t="s">
        <v>1020</v>
      </c>
      <c r="Q95" s="50" t="s">
        <v>1026</v>
      </c>
      <c r="R95" s="50" t="s">
        <v>1115</v>
      </c>
      <c r="S95" s="50" t="s">
        <v>1722</v>
      </c>
      <c r="T95" s="50">
        <v>-14232</v>
      </c>
      <c r="U95" s="50" t="s">
        <v>1024</v>
      </c>
      <c r="V95" s="50" t="s">
        <v>1036</v>
      </c>
      <c r="W95" s="50"/>
      <c r="X95" s="86"/>
      <c r="Y95" s="6"/>
    </row>
    <row r="96" spans="14:25" x14ac:dyDescent="0.4">
      <c r="N96" s="25">
        <v>45895</v>
      </c>
      <c r="O96" s="26">
        <v>0.1789236111111111</v>
      </c>
      <c r="P96" s="50" t="s">
        <v>1073</v>
      </c>
      <c r="Q96" s="50" t="s">
        <v>1218</v>
      </c>
      <c r="R96" s="50" t="s">
        <v>1054</v>
      </c>
      <c r="S96" s="50" t="s">
        <v>1219</v>
      </c>
      <c r="T96" s="50">
        <v>634</v>
      </c>
      <c r="U96" s="50" t="s">
        <v>1024</v>
      </c>
      <c r="V96" s="50" t="s">
        <v>1216</v>
      </c>
      <c r="W96" s="50"/>
      <c r="X96" s="86"/>
      <c r="Y96" s="6"/>
    </row>
    <row r="97" spans="14:25" x14ac:dyDescent="0.4">
      <c r="N97" s="25">
        <v>45895</v>
      </c>
      <c r="O97" s="26">
        <v>0.56354166666666672</v>
      </c>
      <c r="P97" s="50" t="s">
        <v>1020</v>
      </c>
      <c r="Q97" s="50" t="s">
        <v>1026</v>
      </c>
      <c r="R97" s="50" t="s">
        <v>1105</v>
      </c>
      <c r="S97" s="50" t="s">
        <v>1105</v>
      </c>
      <c r="T97" s="50">
        <v>-278870</v>
      </c>
      <c r="U97" s="50" t="s">
        <v>1024</v>
      </c>
      <c r="V97" s="50" t="s">
        <v>1025</v>
      </c>
      <c r="W97" s="50"/>
      <c r="X97" s="86"/>
      <c r="Y97" s="6"/>
    </row>
    <row r="98" spans="14:25" x14ac:dyDescent="0.4">
      <c r="N98" s="25">
        <v>45895</v>
      </c>
      <c r="O98" s="26">
        <v>0.91961805555555554</v>
      </c>
      <c r="P98" s="50" t="s">
        <v>1020</v>
      </c>
      <c r="Q98" s="50" t="s">
        <v>1029</v>
      </c>
      <c r="R98" s="50" t="s">
        <v>1045</v>
      </c>
      <c r="S98" s="50" t="s">
        <v>1031</v>
      </c>
      <c r="T98" s="50">
        <v>-5330</v>
      </c>
      <c r="U98" s="50" t="s">
        <v>1024</v>
      </c>
      <c r="V98" s="50" t="s">
        <v>1025</v>
      </c>
      <c r="W98" s="50" t="s">
        <v>1723</v>
      </c>
      <c r="X98" s="86"/>
      <c r="Y98" s="6"/>
    </row>
    <row r="99" spans="14:25" x14ac:dyDescent="0.4">
      <c r="N99" s="25">
        <v>45895</v>
      </c>
      <c r="O99" s="26">
        <v>0.94114583333333335</v>
      </c>
      <c r="P99" s="50" t="s">
        <v>1020</v>
      </c>
      <c r="Q99" s="50" t="s">
        <v>1029</v>
      </c>
      <c r="R99" s="50" t="s">
        <v>1045</v>
      </c>
      <c r="S99" s="50" t="s">
        <v>1724</v>
      </c>
      <c r="T99" s="50">
        <v>-72860</v>
      </c>
      <c r="U99" s="50" t="s">
        <v>1024</v>
      </c>
      <c r="V99" s="50" t="s">
        <v>1025</v>
      </c>
      <c r="W99" s="50" t="s">
        <v>1725</v>
      </c>
      <c r="X99" s="86"/>
      <c r="Y99" s="6"/>
    </row>
    <row r="100" spans="14:25" x14ac:dyDescent="0.4">
      <c r="N100" s="25">
        <v>45896</v>
      </c>
      <c r="O100" s="26">
        <v>0.17980324074074069</v>
      </c>
      <c r="P100" s="50" t="s">
        <v>1073</v>
      </c>
      <c r="Q100" s="50" t="s">
        <v>1218</v>
      </c>
      <c r="R100" s="50" t="s">
        <v>1054</v>
      </c>
      <c r="S100" s="50" t="s">
        <v>1219</v>
      </c>
      <c r="T100" s="50">
        <v>634</v>
      </c>
      <c r="U100" s="50" t="s">
        <v>1024</v>
      </c>
      <c r="V100" s="50" t="s">
        <v>1216</v>
      </c>
      <c r="W100" s="50"/>
      <c r="X100" s="86"/>
      <c r="Y100" s="6"/>
    </row>
    <row r="101" spans="14:25" x14ac:dyDescent="0.4">
      <c r="N101" s="25">
        <v>45896</v>
      </c>
      <c r="O101" s="26">
        <v>0.59496527777777775</v>
      </c>
      <c r="P101" s="50" t="s">
        <v>1020</v>
      </c>
      <c r="Q101" s="50" t="s">
        <v>1021</v>
      </c>
      <c r="R101" s="50" t="s">
        <v>1295</v>
      </c>
      <c r="S101" s="50" t="s">
        <v>1726</v>
      </c>
      <c r="T101" s="50">
        <v>-7000</v>
      </c>
      <c r="U101" s="50" t="s">
        <v>1024</v>
      </c>
      <c r="V101" s="50" t="s">
        <v>1125</v>
      </c>
      <c r="W101" s="50"/>
      <c r="X101" s="86"/>
      <c r="Y101" s="6"/>
    </row>
    <row r="102" spans="14:25" x14ac:dyDescent="0.4">
      <c r="N102" s="25">
        <v>45896</v>
      </c>
      <c r="O102" s="26">
        <v>0.84052083333333338</v>
      </c>
      <c r="P102" s="50" t="s">
        <v>1020</v>
      </c>
      <c r="Q102" s="50" t="s">
        <v>1021</v>
      </c>
      <c r="R102" s="50" t="s">
        <v>1022</v>
      </c>
      <c r="S102" s="50" t="s">
        <v>1727</v>
      </c>
      <c r="T102" s="50">
        <v>-62000</v>
      </c>
      <c r="U102" s="50" t="s">
        <v>1024</v>
      </c>
      <c r="V102" s="50" t="s">
        <v>1125</v>
      </c>
      <c r="W102" s="50" t="s">
        <v>1728</v>
      </c>
      <c r="X102" s="86"/>
      <c r="Y102" s="6"/>
    </row>
    <row r="103" spans="14:25" x14ac:dyDescent="0.4">
      <c r="N103" s="25">
        <v>45896</v>
      </c>
      <c r="O103" s="26">
        <v>0.99175925925925923</v>
      </c>
      <c r="P103" s="50" t="s">
        <v>1020</v>
      </c>
      <c r="Q103" s="50" t="s">
        <v>1021</v>
      </c>
      <c r="R103" s="50" t="s">
        <v>1022</v>
      </c>
      <c r="S103" s="50" t="s">
        <v>1078</v>
      </c>
      <c r="T103" s="50">
        <v>-35000</v>
      </c>
      <c r="U103" s="50" t="s">
        <v>1024</v>
      </c>
      <c r="V103" s="50" t="s">
        <v>1079</v>
      </c>
      <c r="W103" s="50" t="s">
        <v>1728</v>
      </c>
      <c r="X103" s="86"/>
      <c r="Y103" s="6"/>
    </row>
    <row r="104" spans="14:25" x14ac:dyDescent="0.4">
      <c r="N104" s="25">
        <v>45897</v>
      </c>
      <c r="O104" s="26">
        <v>0.1819328703703704</v>
      </c>
      <c r="P104" s="50" t="s">
        <v>1073</v>
      </c>
      <c r="Q104" s="50" t="s">
        <v>1218</v>
      </c>
      <c r="R104" s="50" t="s">
        <v>1054</v>
      </c>
      <c r="S104" s="50" t="s">
        <v>1219</v>
      </c>
      <c r="T104" s="50">
        <v>634</v>
      </c>
      <c r="U104" s="50" t="s">
        <v>1024</v>
      </c>
      <c r="V104" s="50" t="s">
        <v>1216</v>
      </c>
      <c r="W104" s="50"/>
      <c r="X104" s="86"/>
      <c r="Y104" s="6"/>
    </row>
    <row r="105" spans="14:25" x14ac:dyDescent="0.4">
      <c r="N105" s="25">
        <v>45897</v>
      </c>
      <c r="O105" s="26">
        <v>0.50350694444444444</v>
      </c>
      <c r="P105" s="50" t="s">
        <v>1020</v>
      </c>
      <c r="Q105" s="50" t="s">
        <v>1029</v>
      </c>
      <c r="R105" s="50" t="s">
        <v>1045</v>
      </c>
      <c r="S105" s="50" t="s">
        <v>1122</v>
      </c>
      <c r="T105" s="50">
        <v>-32400</v>
      </c>
      <c r="U105" s="50" t="s">
        <v>1024</v>
      </c>
      <c r="V105" s="50" t="s">
        <v>1350</v>
      </c>
      <c r="W105" s="50" t="s">
        <v>1729</v>
      </c>
      <c r="X105" s="86"/>
      <c r="Y105" s="6"/>
    </row>
    <row r="106" spans="14:25" x14ac:dyDescent="0.4">
      <c r="N106" s="25">
        <v>45897</v>
      </c>
      <c r="O106" s="26">
        <v>0.50643518518518515</v>
      </c>
      <c r="P106" s="50" t="s">
        <v>1020</v>
      </c>
      <c r="Q106" s="50" t="s">
        <v>1047</v>
      </c>
      <c r="R106" s="50" t="s">
        <v>1406</v>
      </c>
      <c r="S106" s="50" t="s">
        <v>1711</v>
      </c>
      <c r="T106" s="50">
        <v>-77790</v>
      </c>
      <c r="U106" s="50" t="s">
        <v>1024</v>
      </c>
      <c r="V106" s="50" t="s">
        <v>1025</v>
      </c>
      <c r="W106" s="50"/>
      <c r="X106" s="6"/>
      <c r="Y106" s="6"/>
    </row>
    <row r="107" spans="14:25" x14ac:dyDescent="0.4">
      <c r="N107" s="25">
        <v>45897</v>
      </c>
      <c r="O107" s="26">
        <v>0.88701388888888888</v>
      </c>
      <c r="P107" s="50" t="s">
        <v>1020</v>
      </c>
      <c r="Q107" s="50" t="s">
        <v>1029</v>
      </c>
      <c r="R107" s="50" t="s">
        <v>1045</v>
      </c>
      <c r="S107" s="50" t="s">
        <v>1031</v>
      </c>
      <c r="T107" s="50">
        <v>-6960</v>
      </c>
      <c r="U107" s="50" t="s">
        <v>1024</v>
      </c>
      <c r="V107" s="50" t="s">
        <v>1025</v>
      </c>
      <c r="W107" s="50" t="s">
        <v>1730</v>
      </c>
      <c r="X107" s="6"/>
      <c r="Y107" s="6"/>
    </row>
    <row r="108" spans="14:25" x14ac:dyDescent="0.4">
      <c r="N108" s="25">
        <v>45898</v>
      </c>
      <c r="O108" s="26">
        <v>0.18204861111111109</v>
      </c>
      <c r="P108" s="50" t="s">
        <v>1073</v>
      </c>
      <c r="Q108" s="50" t="s">
        <v>1218</v>
      </c>
      <c r="R108" s="50" t="s">
        <v>1054</v>
      </c>
      <c r="S108" s="50" t="s">
        <v>1219</v>
      </c>
      <c r="T108" s="50">
        <v>634</v>
      </c>
      <c r="U108" s="50" t="s">
        <v>1024</v>
      </c>
      <c r="V108" s="50" t="s">
        <v>1216</v>
      </c>
      <c r="W108" s="50"/>
      <c r="X108" s="6"/>
      <c r="Y108" s="6"/>
    </row>
    <row r="109" spans="14:25" x14ac:dyDescent="0.4">
      <c r="N109" s="25">
        <v>45898</v>
      </c>
      <c r="O109" s="26">
        <v>0.80091435185185189</v>
      </c>
      <c r="P109" s="50" t="s">
        <v>1020</v>
      </c>
      <c r="Q109" s="50" t="s">
        <v>1029</v>
      </c>
      <c r="R109" s="50" t="s">
        <v>1030</v>
      </c>
      <c r="S109" s="50" t="s">
        <v>1031</v>
      </c>
      <c r="T109" s="50">
        <v>-47030</v>
      </c>
      <c r="U109" s="50" t="s">
        <v>1024</v>
      </c>
      <c r="V109" s="50" t="s">
        <v>1025</v>
      </c>
      <c r="W109" s="50" t="s">
        <v>1731</v>
      </c>
      <c r="X109" s="6"/>
      <c r="Y109" s="6"/>
    </row>
    <row r="110" spans="14:25" x14ac:dyDescent="0.4">
      <c r="N110" s="25">
        <v>45899</v>
      </c>
      <c r="O110" s="26">
        <v>0.18082175925925931</v>
      </c>
      <c r="P110" s="50" t="s">
        <v>1073</v>
      </c>
      <c r="Q110" s="50" t="s">
        <v>1218</v>
      </c>
      <c r="R110" s="50" t="s">
        <v>1054</v>
      </c>
      <c r="S110" s="50" t="s">
        <v>1219</v>
      </c>
      <c r="T110" s="50">
        <v>634</v>
      </c>
      <c r="U110" s="50" t="s">
        <v>1024</v>
      </c>
      <c r="V110" s="50" t="s">
        <v>1216</v>
      </c>
      <c r="W110" s="50"/>
      <c r="X110" s="6"/>
      <c r="Y110" s="6"/>
    </row>
    <row r="111" spans="14:25" x14ac:dyDescent="0.4">
      <c r="N111" s="25">
        <v>45899</v>
      </c>
      <c r="O111" s="26">
        <v>0.45601851851851849</v>
      </c>
      <c r="P111" s="50" t="s">
        <v>1020</v>
      </c>
      <c r="Q111" s="50" t="s">
        <v>1042</v>
      </c>
      <c r="R111" s="50" t="s">
        <v>1054</v>
      </c>
      <c r="S111" s="50" t="s">
        <v>1170</v>
      </c>
      <c r="T111" s="50">
        <v>-26700</v>
      </c>
      <c r="U111" s="50" t="s">
        <v>1024</v>
      </c>
      <c r="V111" s="50" t="s">
        <v>1099</v>
      </c>
      <c r="W111" s="50" t="s">
        <v>1732</v>
      </c>
      <c r="X111" s="6"/>
      <c r="Y111" s="6"/>
    </row>
    <row r="112" spans="14:25" x14ac:dyDescent="0.4">
      <c r="N112" s="25">
        <v>45899</v>
      </c>
      <c r="O112" s="26">
        <v>0.51768518518518514</v>
      </c>
      <c r="P112" s="50" t="s">
        <v>1020</v>
      </c>
      <c r="Q112" s="50" t="s">
        <v>1029</v>
      </c>
      <c r="R112" s="50" t="s">
        <v>1070</v>
      </c>
      <c r="S112" s="50" t="s">
        <v>1733</v>
      </c>
      <c r="T112" s="50">
        <v>-33000</v>
      </c>
      <c r="U112" s="50" t="s">
        <v>1024</v>
      </c>
      <c r="V112" s="50" t="s">
        <v>1099</v>
      </c>
      <c r="W112" s="50" t="s">
        <v>1734</v>
      </c>
      <c r="X112" s="6"/>
      <c r="Y112" s="6"/>
    </row>
    <row r="113" spans="14:25" x14ac:dyDescent="0.4">
      <c r="N113" s="25">
        <v>45899</v>
      </c>
      <c r="O113" s="26">
        <v>0.54415509259259254</v>
      </c>
      <c r="P113" s="50" t="s">
        <v>1020</v>
      </c>
      <c r="Q113" s="50" t="s">
        <v>1029</v>
      </c>
      <c r="R113" s="50" t="s">
        <v>1030</v>
      </c>
      <c r="S113" s="50" t="s">
        <v>1707</v>
      </c>
      <c r="T113" s="50">
        <v>-5000</v>
      </c>
      <c r="U113" s="50" t="s">
        <v>1024</v>
      </c>
      <c r="V113" s="50" t="s">
        <v>1099</v>
      </c>
      <c r="W113" s="50" t="s">
        <v>1708</v>
      </c>
      <c r="X113" s="6"/>
      <c r="Y113" s="6"/>
    </row>
    <row r="114" spans="14:25" x14ac:dyDescent="0.4">
      <c r="N114" s="25">
        <v>45899</v>
      </c>
      <c r="O114" s="26">
        <v>0.55188657407407404</v>
      </c>
      <c r="P114" s="50" t="s">
        <v>1020</v>
      </c>
      <c r="Q114" s="50" t="s">
        <v>1029</v>
      </c>
      <c r="R114" s="50" t="s">
        <v>1070</v>
      </c>
      <c r="S114" s="50" t="s">
        <v>1431</v>
      </c>
      <c r="T114" s="50">
        <v>-4500</v>
      </c>
      <c r="U114" s="50" t="s">
        <v>1024</v>
      </c>
      <c r="V114" s="50" t="s">
        <v>1099</v>
      </c>
      <c r="W114" s="50" t="s">
        <v>1735</v>
      </c>
      <c r="X114" s="6"/>
      <c r="Y114" s="6"/>
    </row>
    <row r="115" spans="14:25" x14ac:dyDescent="0.4">
      <c r="N115" s="25">
        <v>45899</v>
      </c>
      <c r="O115" s="26">
        <v>0.56842592592592589</v>
      </c>
      <c r="P115" s="50" t="s">
        <v>1020</v>
      </c>
      <c r="Q115" s="50" t="s">
        <v>1029</v>
      </c>
      <c r="R115" s="50" t="s">
        <v>1045</v>
      </c>
      <c r="S115" s="50" t="s">
        <v>1031</v>
      </c>
      <c r="T115" s="50">
        <v>-8910</v>
      </c>
      <c r="U115" s="50" t="s">
        <v>1024</v>
      </c>
      <c r="V115" s="50" t="s">
        <v>1025</v>
      </c>
      <c r="W115" s="50" t="s">
        <v>1736</v>
      </c>
      <c r="X115" s="6"/>
      <c r="Y115" s="6"/>
    </row>
    <row r="116" spans="14:25" x14ac:dyDescent="0.4">
      <c r="N116" s="25">
        <v>45899</v>
      </c>
      <c r="O116" s="26">
        <v>0.77923611111111113</v>
      </c>
      <c r="P116" s="50" t="s">
        <v>1020</v>
      </c>
      <c r="Q116" s="50" t="s">
        <v>1029</v>
      </c>
      <c r="R116" s="50" t="s">
        <v>1070</v>
      </c>
      <c r="S116" s="50" t="s">
        <v>1071</v>
      </c>
      <c r="T116" s="50">
        <v>-13100</v>
      </c>
      <c r="U116" s="50" t="s">
        <v>1024</v>
      </c>
      <c r="V116" s="50" t="s">
        <v>1025</v>
      </c>
      <c r="W116" s="50" t="s">
        <v>1737</v>
      </c>
      <c r="X116" s="6"/>
      <c r="Y116" s="6"/>
    </row>
    <row r="117" spans="14:25" x14ac:dyDescent="0.4">
      <c r="N117" s="25">
        <v>45900</v>
      </c>
      <c r="O117" s="26">
        <v>0.18148148148148149</v>
      </c>
      <c r="P117" s="50" t="s">
        <v>1073</v>
      </c>
      <c r="Q117" s="50" t="s">
        <v>1218</v>
      </c>
      <c r="R117" s="50" t="s">
        <v>1054</v>
      </c>
      <c r="S117" s="50" t="s">
        <v>1219</v>
      </c>
      <c r="T117" s="50">
        <v>634</v>
      </c>
      <c r="U117" s="50" t="s">
        <v>1024</v>
      </c>
      <c r="V117" s="50" t="s">
        <v>1216</v>
      </c>
      <c r="W117" s="50"/>
      <c r="X117" s="6"/>
      <c r="Y117" s="6"/>
    </row>
    <row r="118" spans="14:25" x14ac:dyDescent="0.4">
      <c r="N118" s="25">
        <v>45900</v>
      </c>
      <c r="O118" s="26">
        <v>0.43380787037037039</v>
      </c>
      <c r="P118" s="50" t="s">
        <v>1020</v>
      </c>
      <c r="Q118" s="50" t="s">
        <v>1029</v>
      </c>
      <c r="R118" s="50" t="s">
        <v>1045</v>
      </c>
      <c r="S118" s="50" t="s">
        <v>1122</v>
      </c>
      <c r="T118" s="50">
        <v>-49800</v>
      </c>
      <c r="U118" s="50" t="s">
        <v>1024</v>
      </c>
      <c r="V118" s="50" t="s">
        <v>1350</v>
      </c>
      <c r="W118" s="50" t="s">
        <v>1738</v>
      </c>
      <c r="X118" s="6"/>
      <c r="Y118" s="6"/>
    </row>
    <row r="119" spans="14:25" x14ac:dyDescent="0.4">
      <c r="N119" s="25">
        <v>45900</v>
      </c>
      <c r="O119" s="26">
        <v>0.44438657407407411</v>
      </c>
      <c r="P119" s="50" t="s">
        <v>1020</v>
      </c>
      <c r="Q119" s="50" t="s">
        <v>1029</v>
      </c>
      <c r="R119" s="50" t="s">
        <v>1030</v>
      </c>
      <c r="S119" s="50" t="s">
        <v>1031</v>
      </c>
      <c r="T119" s="50">
        <v>-29800</v>
      </c>
      <c r="U119" s="50" t="s">
        <v>1024</v>
      </c>
      <c r="V119" s="50" t="s">
        <v>1025</v>
      </c>
      <c r="W119" s="50" t="s">
        <v>1739</v>
      </c>
      <c r="X119" s="6"/>
      <c r="Y119" s="6"/>
    </row>
    <row r="120" spans="14:25" x14ac:dyDescent="0.4">
      <c r="N120" s="25">
        <v>45900</v>
      </c>
      <c r="O120" s="26">
        <v>0.50802083333333337</v>
      </c>
      <c r="P120" s="50" t="s">
        <v>1020</v>
      </c>
      <c r="Q120" s="50" t="s">
        <v>1029</v>
      </c>
      <c r="R120" s="50" t="s">
        <v>1070</v>
      </c>
      <c r="S120" s="50" t="s">
        <v>1071</v>
      </c>
      <c r="T120" s="50">
        <v>-19000</v>
      </c>
      <c r="U120" s="50" t="s">
        <v>1024</v>
      </c>
      <c r="V120" s="50" t="s">
        <v>1025</v>
      </c>
      <c r="W120" s="50" t="s">
        <v>1740</v>
      </c>
      <c r="X120" s="6"/>
      <c r="Y120" s="6"/>
    </row>
    <row r="121" spans="14:25" x14ac:dyDescent="0.4">
      <c r="N121" s="25">
        <v>45900</v>
      </c>
      <c r="O121" s="26">
        <v>0.52166666666666661</v>
      </c>
      <c r="P121" s="50" t="s">
        <v>1020</v>
      </c>
      <c r="Q121" s="50" t="s">
        <v>1029</v>
      </c>
      <c r="R121" s="50" t="s">
        <v>1045</v>
      </c>
      <c r="S121" s="50" t="s">
        <v>1031</v>
      </c>
      <c r="T121" s="50">
        <v>-25600</v>
      </c>
      <c r="U121" s="50" t="s">
        <v>1024</v>
      </c>
      <c r="V121" s="50" t="s">
        <v>1025</v>
      </c>
      <c r="W121" s="50" t="s">
        <v>1741</v>
      </c>
      <c r="X121" s="6"/>
      <c r="Y121" s="6"/>
    </row>
    <row r="122" spans="14:25" x14ac:dyDescent="0.4">
      <c r="N122" s="25">
        <v>45900</v>
      </c>
      <c r="O122" s="26">
        <v>0.71327546296296296</v>
      </c>
      <c r="P122" s="50" t="s">
        <v>1020</v>
      </c>
      <c r="Q122" s="50" t="s">
        <v>1029</v>
      </c>
      <c r="R122" s="50" t="s">
        <v>1070</v>
      </c>
      <c r="S122" s="50" t="s">
        <v>1071</v>
      </c>
      <c r="T122" s="50">
        <v>-25300</v>
      </c>
      <c r="U122" s="50" t="s">
        <v>1024</v>
      </c>
      <c r="V122" s="50" t="s">
        <v>1025</v>
      </c>
      <c r="W122" s="50" t="s">
        <v>1633</v>
      </c>
      <c r="X122" s="6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</sheetData>
  <autoFilter ref="N2:Y122" xr:uid="{11B47028-C17C-47C6-A882-4705ECF29BE6}"/>
  <mergeCells count="3">
    <mergeCell ref="O1:P1"/>
    <mergeCell ref="A19:D19"/>
    <mergeCell ref="I20:J20"/>
  </mergeCells>
  <phoneticPr fontId="2" type="noConversion"/>
  <conditionalFormatting sqref="G74:G80 I74:I80">
    <cfRule type="cellIs" dxfId="47" priority="1" operator="lessThan">
      <formula>0</formula>
    </cfRule>
    <cfRule type="cellIs" dxfId="46" priority="2" operator="greaterThan">
      <formula>0</formula>
    </cfRule>
  </conditionalFormatting>
  <conditionalFormatting sqref="I3:I18">
    <cfRule type="cellIs" dxfId="45" priority="4" operator="greaterThan">
      <formula>0</formula>
    </cfRule>
    <cfRule type="cellIs" dxfId="44" priority="5" operator="lessThan">
      <formula>0</formula>
    </cfRule>
  </conditionalFormatting>
  <conditionalFormatting sqref="K6:K20">
    <cfRule type="cellIs" dxfId="43" priority="3" operator="lessThan">
      <formula>0</formula>
    </cfRule>
  </conditionalFormatting>
  <conditionalFormatting sqref="L3:L20">
    <cfRule type="cellIs" dxfId="42" priority="6" operator="greaterThan">
      <formula>1</formula>
    </cfRule>
    <cfRule type="cellIs" dxfId="41" priority="7" operator="equal">
      <formula>1</formula>
    </cfRule>
    <cfRule type="cellIs" dxfId="40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6939-2334-4B1E-A2D5-96BE1BB1B1D3}">
  <dimension ref="A1:Y219"/>
  <sheetViews>
    <sheetView zoomScale="80" zoomScaleNormal="80" workbookViewId="0">
      <pane ySplit="2" topLeftCell="A24" activePane="bottomLeft" state="frozen"/>
      <selection activeCell="E1" sqref="E1"/>
      <selection pane="bottomLeft" activeCell="J53" sqref="J53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202508</v>
      </c>
      <c r="K1" s="46" t="s">
        <v>923</v>
      </c>
      <c r="L1" s="46">
        <v>202509</v>
      </c>
      <c r="N1" s="27" t="s">
        <v>950</v>
      </c>
      <c r="O1" s="133">
        <f>SUMIF(P3:P235,"지출",T3:T235)</f>
        <v>-3362156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202509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-887637</v>
      </c>
      <c r="I3" s="41">
        <f ca="1">J3-H3</f>
        <v>1203</v>
      </c>
      <c r="J3" s="43">
        <f>VLOOKUP(A3,대출!$B$4:$G$363,3,FALSE)*-1</f>
        <v>-886434</v>
      </c>
      <c r="K3" s="43">
        <f>G3+J3</f>
        <v>13566</v>
      </c>
      <c r="L3" s="24">
        <f>IF(G3=0,0,-J3/G3)</f>
        <v>0.98492666666666662</v>
      </c>
      <c r="N3" s="25">
        <v>45901</v>
      </c>
      <c r="O3" s="26">
        <v>0.19562499999999999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634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202509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SUMIFS($T$3:$T$235,$P$3:$P$235,"지출",$Q$3:$Q$235,C4,$R$3:$R$235,D4)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45902</v>
      </c>
      <c r="O4" s="26">
        <v>0.17909722222222221</v>
      </c>
      <c r="P4" s="50" t="s">
        <v>1073</v>
      </c>
      <c r="Q4" s="50" t="s">
        <v>1218</v>
      </c>
      <c r="R4" s="50" t="s">
        <v>1054</v>
      </c>
      <c r="S4" s="50" t="s">
        <v>1219</v>
      </c>
      <c r="T4" s="50">
        <v>634</v>
      </c>
      <c r="U4" s="50" t="s">
        <v>1024</v>
      </c>
      <c r="V4" s="50" t="s">
        <v>1216</v>
      </c>
      <c r="W4" s="50"/>
      <c r="X4" s="86"/>
      <c r="Y4" s="4"/>
    </row>
    <row r="5" spans="1:25" x14ac:dyDescent="0.4">
      <c r="A5" s="4">
        <f t="shared" si="0"/>
        <v>202509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-95590</v>
      </c>
      <c r="I5" s="41">
        <f ca="1">J5-H5</f>
        <v>30800</v>
      </c>
      <c r="J5" s="44">
        <f t="shared" si="3"/>
        <v>-64790</v>
      </c>
      <c r="K5" s="44">
        <f t="shared" si="4"/>
        <v>-20790</v>
      </c>
      <c r="L5" s="19">
        <f t="shared" si="5"/>
        <v>1.4724999999999999</v>
      </c>
      <c r="N5" s="25">
        <v>45903</v>
      </c>
      <c r="O5" s="26">
        <v>0.17952546296296301</v>
      </c>
      <c r="P5" s="50" t="s">
        <v>1073</v>
      </c>
      <c r="Q5" s="50" t="s">
        <v>1218</v>
      </c>
      <c r="R5" s="50" t="s">
        <v>1054</v>
      </c>
      <c r="S5" s="50" t="s">
        <v>1219</v>
      </c>
      <c r="T5" s="50">
        <v>634</v>
      </c>
      <c r="U5" s="50" t="s">
        <v>1024</v>
      </c>
      <c r="V5" s="50" t="s">
        <v>1216</v>
      </c>
      <c r="W5" s="50"/>
      <c r="X5" s="86"/>
      <c r="Y5" s="6"/>
    </row>
    <row r="6" spans="1:25" x14ac:dyDescent="0.4">
      <c r="A6" s="4">
        <f t="shared" si="0"/>
        <v>202509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-278870</v>
      </c>
      <c r="I6" s="41">
        <f t="shared" ref="I6:I18" ca="1" si="7">J6-H6</f>
        <v>1950</v>
      </c>
      <c r="J6" s="44">
        <f t="shared" si="3"/>
        <v>-276920</v>
      </c>
      <c r="K6" s="44">
        <f t="shared" si="4"/>
        <v>53080</v>
      </c>
      <c r="L6" s="19">
        <f t="shared" si="5"/>
        <v>0.8391515151515152</v>
      </c>
      <c r="N6" s="25">
        <v>45903</v>
      </c>
      <c r="O6" s="26">
        <v>0.40188657407407408</v>
      </c>
      <c r="P6" s="50" t="s">
        <v>1020</v>
      </c>
      <c r="Q6" s="50" t="s">
        <v>1026</v>
      </c>
      <c r="R6" s="50" t="s">
        <v>1027</v>
      </c>
      <c r="S6" s="50" t="s">
        <v>1028</v>
      </c>
      <c r="T6" s="50">
        <v>-7890</v>
      </c>
      <c r="U6" s="50" t="s">
        <v>1024</v>
      </c>
      <c r="V6" s="50" t="s">
        <v>1025</v>
      </c>
      <c r="W6" s="50"/>
      <c r="X6" s="86"/>
      <c r="Y6" s="6"/>
    </row>
    <row r="7" spans="1:25" x14ac:dyDescent="0.4">
      <c r="A7" s="4">
        <f t="shared" si="0"/>
        <v>202509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45903</v>
      </c>
      <c r="O7" s="26">
        <v>0.90916666666666668</v>
      </c>
      <c r="P7" s="50" t="s">
        <v>1020</v>
      </c>
      <c r="Q7" s="50" t="s">
        <v>1021</v>
      </c>
      <c r="R7" s="50" t="s">
        <v>1022</v>
      </c>
      <c r="S7" s="50" t="s">
        <v>1742</v>
      </c>
      <c r="T7" s="50">
        <v>-36700</v>
      </c>
      <c r="U7" s="50" t="s">
        <v>1024</v>
      </c>
      <c r="V7" s="50" t="s">
        <v>1125</v>
      </c>
      <c r="W7" s="50" t="s">
        <v>1743</v>
      </c>
      <c r="X7" s="86"/>
      <c r="Y7" s="6"/>
    </row>
    <row r="8" spans="1:25" x14ac:dyDescent="0.4">
      <c r="A8" s="4">
        <f>$L$1</f>
        <v>202509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45903</v>
      </c>
      <c r="O8" s="26">
        <v>0.97232638888888889</v>
      </c>
      <c r="P8" s="50" t="s">
        <v>1020</v>
      </c>
      <c r="Q8" s="50" t="s">
        <v>1184</v>
      </c>
      <c r="R8" s="50" t="s">
        <v>1522</v>
      </c>
      <c r="S8" s="50" t="s">
        <v>1168</v>
      </c>
      <c r="T8" s="50">
        <v>-150150</v>
      </c>
      <c r="U8" s="50" t="s">
        <v>1024</v>
      </c>
      <c r="V8" s="50" t="s">
        <v>1036</v>
      </c>
      <c r="W8" s="50"/>
      <c r="X8" s="86"/>
      <c r="Y8" s="6"/>
    </row>
    <row r="9" spans="1:25" x14ac:dyDescent="0.4">
      <c r="A9" s="4">
        <f t="shared" si="0"/>
        <v>202509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45904</v>
      </c>
      <c r="O9" s="26">
        <v>0.1801388888888889</v>
      </c>
      <c r="P9" s="50" t="s">
        <v>1073</v>
      </c>
      <c r="Q9" s="50" t="s">
        <v>1218</v>
      </c>
      <c r="R9" s="50" t="s">
        <v>1054</v>
      </c>
      <c r="S9" s="50" t="s">
        <v>1219</v>
      </c>
      <c r="T9" s="50">
        <v>634</v>
      </c>
      <c r="U9" s="50" t="s">
        <v>1024</v>
      </c>
      <c r="V9" s="50" t="s">
        <v>1216</v>
      </c>
      <c r="W9" s="50"/>
      <c r="X9" s="86"/>
      <c r="Y9" s="6"/>
    </row>
    <row r="10" spans="1:25" x14ac:dyDescent="0.4">
      <c r="A10" s="4">
        <f t="shared" si="0"/>
        <v>202509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-6100</v>
      </c>
      <c r="I10" s="41">
        <f t="shared" ca="1" si="7"/>
        <v>-3900</v>
      </c>
      <c r="J10" s="44">
        <f t="shared" si="3"/>
        <v>-10000</v>
      </c>
      <c r="K10" s="44">
        <f t="shared" si="4"/>
        <v>150000</v>
      </c>
      <c r="L10" s="19">
        <f t="shared" si="5"/>
        <v>6.25E-2</v>
      </c>
      <c r="N10" s="25">
        <v>45904</v>
      </c>
      <c r="O10" s="26">
        <v>0.73261574074074076</v>
      </c>
      <c r="P10" s="50" t="s">
        <v>1020</v>
      </c>
      <c r="Q10" s="50" t="s">
        <v>1029</v>
      </c>
      <c r="R10" s="50" t="s">
        <v>1030</v>
      </c>
      <c r="S10" s="50" t="s">
        <v>1031</v>
      </c>
      <c r="T10" s="50">
        <v>-10800</v>
      </c>
      <c r="U10" s="50" t="s">
        <v>1024</v>
      </c>
      <c r="V10" s="50" t="s">
        <v>1025</v>
      </c>
      <c r="W10" s="50" t="s">
        <v>1744</v>
      </c>
      <c r="X10" s="86"/>
      <c r="Y10" s="6"/>
    </row>
    <row r="11" spans="1:25" x14ac:dyDescent="0.4">
      <c r="A11" s="4">
        <f t="shared" si="0"/>
        <v>202509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45905</v>
      </c>
      <c r="O11" s="26">
        <v>0.18028935185185191</v>
      </c>
      <c r="P11" s="50" t="s">
        <v>1073</v>
      </c>
      <c r="Q11" s="50" t="s">
        <v>1218</v>
      </c>
      <c r="R11" s="50" t="s">
        <v>1054</v>
      </c>
      <c r="S11" s="50" t="s">
        <v>1219</v>
      </c>
      <c r="T11" s="50">
        <v>634</v>
      </c>
      <c r="U11" s="50" t="s">
        <v>1024</v>
      </c>
      <c r="V11" s="50" t="s">
        <v>1216</v>
      </c>
      <c r="W11" s="50"/>
      <c r="X11" s="86"/>
      <c r="Y11" s="6"/>
    </row>
    <row r="12" spans="1:25" x14ac:dyDescent="0.4">
      <c r="A12" s="4">
        <f t="shared" si="0"/>
        <v>202509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-853390</v>
      </c>
      <c r="I12" s="41">
        <f t="shared" ca="1" si="7"/>
        <v>481030</v>
      </c>
      <c r="J12" s="44">
        <f t="shared" ref="J12:J18" si="8">SUMIFS($T$3:$T$235,$P$3:$P$235,"지출",$Q$3:$Q$235,C12)</f>
        <v>-372360</v>
      </c>
      <c r="K12" s="45">
        <f t="shared" si="4"/>
        <v>-22360</v>
      </c>
      <c r="L12" s="19">
        <f t="shared" si="5"/>
        <v>1.0638857142857143</v>
      </c>
      <c r="N12" s="25">
        <v>45905</v>
      </c>
      <c r="O12" s="26">
        <v>0.42365740740740743</v>
      </c>
      <c r="P12" s="50" t="s">
        <v>1020</v>
      </c>
      <c r="Q12" s="50" t="s">
        <v>1021</v>
      </c>
      <c r="R12" s="50" t="s">
        <v>1295</v>
      </c>
      <c r="S12" s="50" t="s">
        <v>1147</v>
      </c>
      <c r="T12" s="50">
        <v>-16800</v>
      </c>
      <c r="U12" s="50" t="s">
        <v>1024</v>
      </c>
      <c r="V12" s="50" t="s">
        <v>1025</v>
      </c>
      <c r="W12" s="50" t="s">
        <v>1745</v>
      </c>
      <c r="X12" s="86"/>
      <c r="Y12" s="6"/>
    </row>
    <row r="13" spans="1:25" x14ac:dyDescent="0.4">
      <c r="A13" s="4">
        <f t="shared" si="0"/>
        <v>202509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0</v>
      </c>
      <c r="G13" s="18">
        <f t="shared" si="1"/>
        <v>0</v>
      </c>
      <c r="H13" s="41">
        <f t="shared" ca="1" si="2"/>
        <v>-26700</v>
      </c>
      <c r="I13" s="41">
        <f t="shared" ca="1" si="7"/>
        <v>26700</v>
      </c>
      <c r="J13" s="44">
        <f t="shared" si="8"/>
        <v>0</v>
      </c>
      <c r="K13" s="44">
        <f t="shared" si="4"/>
        <v>0</v>
      </c>
      <c r="L13" s="19">
        <f t="shared" si="5"/>
        <v>0</v>
      </c>
      <c r="N13" s="25">
        <v>45906</v>
      </c>
      <c r="O13" s="26">
        <v>0.17935185185185179</v>
      </c>
      <c r="P13" s="50" t="s">
        <v>1073</v>
      </c>
      <c r="Q13" s="50" t="s">
        <v>1218</v>
      </c>
      <c r="R13" s="50" t="s">
        <v>1054</v>
      </c>
      <c r="S13" s="50" t="s">
        <v>1219</v>
      </c>
      <c r="T13" s="50">
        <v>634</v>
      </c>
      <c r="U13" s="50" t="s">
        <v>1024</v>
      </c>
      <c r="V13" s="50" t="s">
        <v>1216</v>
      </c>
      <c r="W13" s="50"/>
      <c r="X13" s="86"/>
      <c r="Y13" s="6"/>
    </row>
    <row r="14" spans="1:25" x14ac:dyDescent="0.4">
      <c r="A14" s="4">
        <f t="shared" si="0"/>
        <v>202509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182088</v>
      </c>
      <c r="G14" s="18">
        <f t="shared" si="1"/>
        <v>182088</v>
      </c>
      <c r="H14" s="41">
        <f ca="1">INDIRECT($J$1&amp;"!J"&amp;ROW())</f>
        <v>-393400</v>
      </c>
      <c r="I14" s="41">
        <f t="shared" ca="1" si="7"/>
        <v>211312</v>
      </c>
      <c r="J14" s="44">
        <f t="shared" si="8"/>
        <v>-182088</v>
      </c>
      <c r="K14" s="44">
        <f t="shared" si="4"/>
        <v>0</v>
      </c>
      <c r="L14" s="19">
        <f t="shared" si="5"/>
        <v>1</v>
      </c>
      <c r="N14" s="25">
        <v>45906</v>
      </c>
      <c r="O14" s="26">
        <v>0.33606481481481482</v>
      </c>
      <c r="P14" s="50" t="s">
        <v>1020</v>
      </c>
      <c r="Q14" s="50" t="s">
        <v>1029</v>
      </c>
      <c r="R14" s="50" t="s">
        <v>1030</v>
      </c>
      <c r="S14" s="50" t="s">
        <v>1031</v>
      </c>
      <c r="T14" s="50">
        <v>-50630</v>
      </c>
      <c r="U14" s="50" t="s">
        <v>1024</v>
      </c>
      <c r="V14" s="50" t="s">
        <v>1025</v>
      </c>
      <c r="W14" s="50" t="s">
        <v>1746</v>
      </c>
      <c r="X14" s="86"/>
      <c r="Y14" s="6"/>
    </row>
    <row r="15" spans="1:25" x14ac:dyDescent="0.4">
      <c r="A15" s="4">
        <f t="shared" si="0"/>
        <v>202509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-184900</v>
      </c>
      <c r="I15" s="41">
        <f t="shared" ca="1" si="7"/>
        <v>-18900</v>
      </c>
      <c r="J15" s="44">
        <f t="shared" si="8"/>
        <v>-203800</v>
      </c>
      <c r="K15" s="44">
        <f t="shared" si="4"/>
        <v>-203800</v>
      </c>
      <c r="L15" s="19">
        <f t="shared" si="5"/>
        <v>0</v>
      </c>
      <c r="N15" s="25">
        <v>45906</v>
      </c>
      <c r="O15" s="26">
        <v>0.56247685185185181</v>
      </c>
      <c r="P15" s="50" t="s">
        <v>1053</v>
      </c>
      <c r="Q15" s="50" t="s">
        <v>1053</v>
      </c>
      <c r="R15" s="50" t="s">
        <v>1054</v>
      </c>
      <c r="S15" s="50" t="s">
        <v>1747</v>
      </c>
      <c r="T15" s="50">
        <v>100000</v>
      </c>
      <c r="U15" s="50" t="s">
        <v>1024</v>
      </c>
      <c r="V15" s="50" t="s">
        <v>1079</v>
      </c>
      <c r="W15" s="50"/>
      <c r="X15" s="86"/>
      <c r="Y15" s="6"/>
    </row>
    <row r="16" spans="1:25" x14ac:dyDescent="0.4">
      <c r="A16" s="4">
        <f t="shared" si="0"/>
        <v>202509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-100000</v>
      </c>
      <c r="I16" s="41">
        <f t="shared" ca="1" si="7"/>
        <v>-111230</v>
      </c>
      <c r="J16" s="44">
        <f t="shared" si="8"/>
        <v>-211230</v>
      </c>
      <c r="K16" s="44">
        <f t="shared" si="4"/>
        <v>-211230</v>
      </c>
      <c r="L16" s="19">
        <f t="shared" si="5"/>
        <v>0</v>
      </c>
      <c r="N16" s="25">
        <v>45906</v>
      </c>
      <c r="O16" s="26">
        <v>0.5625</v>
      </c>
      <c r="P16" s="50" t="s">
        <v>1020</v>
      </c>
      <c r="Q16" s="50" t="s">
        <v>1047</v>
      </c>
      <c r="R16" s="50" t="s">
        <v>1077</v>
      </c>
      <c r="S16" s="50" t="s">
        <v>1748</v>
      </c>
      <c r="T16" s="50">
        <v>-150000</v>
      </c>
      <c r="U16" s="50" t="s">
        <v>1024</v>
      </c>
      <c r="V16" s="50" t="s">
        <v>1359</v>
      </c>
      <c r="W16" s="50" t="s">
        <v>1748</v>
      </c>
      <c r="X16" s="86"/>
      <c r="Y16" s="6"/>
    </row>
    <row r="17" spans="1:25" x14ac:dyDescent="0.4">
      <c r="A17" s="4">
        <f t="shared" si="0"/>
        <v>202509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-11700</v>
      </c>
      <c r="I17" s="41">
        <f t="shared" ca="1" si="7"/>
        <v>-302850</v>
      </c>
      <c r="J17" s="44">
        <f t="shared" si="8"/>
        <v>-314550</v>
      </c>
      <c r="K17" s="44">
        <f t="shared" si="4"/>
        <v>-314550</v>
      </c>
      <c r="L17" s="19">
        <f t="shared" si="5"/>
        <v>0</v>
      </c>
      <c r="N17" s="25">
        <v>45906</v>
      </c>
      <c r="O17" s="26">
        <v>0.81078703703703703</v>
      </c>
      <c r="P17" s="50" t="s">
        <v>1020</v>
      </c>
      <c r="Q17" s="50" t="s">
        <v>1029</v>
      </c>
      <c r="R17" s="50" t="s">
        <v>1030</v>
      </c>
      <c r="S17" s="50" t="s">
        <v>1031</v>
      </c>
      <c r="T17" s="50">
        <v>-5600</v>
      </c>
      <c r="U17" s="50" t="s">
        <v>1024</v>
      </c>
      <c r="V17" s="50" t="s">
        <v>1025</v>
      </c>
      <c r="W17" s="50" t="s">
        <v>1749</v>
      </c>
      <c r="X17" s="86"/>
      <c r="Y17" s="6"/>
    </row>
    <row r="18" spans="1:25" x14ac:dyDescent="0.4">
      <c r="A18" s="4">
        <f t="shared" si="0"/>
        <v>202509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186329</v>
      </c>
      <c r="G18" s="18">
        <f t="shared" si="1"/>
        <v>536329</v>
      </c>
      <c r="H18" s="41">
        <f t="shared" ca="1" si="2"/>
        <v>-586584</v>
      </c>
      <c r="I18" s="41">
        <f t="shared" ca="1" si="7"/>
        <v>400255</v>
      </c>
      <c r="J18" s="44">
        <f t="shared" si="8"/>
        <v>-186329</v>
      </c>
      <c r="K18" s="44">
        <f t="shared" si="4"/>
        <v>350000</v>
      </c>
      <c r="L18" s="19">
        <f t="shared" si="5"/>
        <v>0.34741548564407293</v>
      </c>
      <c r="N18" s="25">
        <v>45906</v>
      </c>
      <c r="O18" s="26">
        <v>0.8152314814814815</v>
      </c>
      <c r="P18" s="50" t="s">
        <v>1020</v>
      </c>
      <c r="Q18" s="50" t="s">
        <v>1029</v>
      </c>
      <c r="R18" s="50" t="s">
        <v>1045</v>
      </c>
      <c r="S18" s="50" t="s">
        <v>1031</v>
      </c>
      <c r="T18" s="50">
        <v>-11950</v>
      </c>
      <c r="U18" s="50" t="s">
        <v>1024</v>
      </c>
      <c r="V18" s="50" t="s">
        <v>1025</v>
      </c>
      <c r="W18" s="50" t="s">
        <v>1750</v>
      </c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368417</v>
      </c>
      <c r="G19" s="20">
        <f t="shared" si="9"/>
        <v>3193417</v>
      </c>
      <c r="H19" s="42">
        <f t="shared" ca="1" si="9"/>
        <v>-4078526</v>
      </c>
      <c r="I19" s="42">
        <f t="shared" ca="1" si="9"/>
        <v>716370</v>
      </c>
      <c r="J19" s="45">
        <f t="shared" si="9"/>
        <v>-3362156</v>
      </c>
      <c r="K19" s="45">
        <f t="shared" si="9"/>
        <v>-168739</v>
      </c>
      <c r="L19" s="21">
        <f>IF(G19=0,0,-J19/G19)</f>
        <v>1.0528396385439172</v>
      </c>
      <c r="N19" s="25">
        <v>45907</v>
      </c>
      <c r="O19" s="26">
        <v>0.18009259259259261</v>
      </c>
      <c r="P19" s="50" t="s">
        <v>1073</v>
      </c>
      <c r="Q19" s="50" t="s">
        <v>1218</v>
      </c>
      <c r="R19" s="50" t="s">
        <v>1054</v>
      </c>
      <c r="S19" s="50" t="s">
        <v>1219</v>
      </c>
      <c r="T19" s="50">
        <v>634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-537156</v>
      </c>
      <c r="L20" s="22">
        <f>IF(E19=0,0,-J19/E19)</f>
        <v>1.1901437168141593</v>
      </c>
      <c r="N20" s="25">
        <v>45908</v>
      </c>
      <c r="O20" s="26">
        <v>0.18011574074074069</v>
      </c>
      <c r="P20" s="50" t="s">
        <v>1073</v>
      </c>
      <c r="Q20" s="50" t="s">
        <v>1218</v>
      </c>
      <c r="R20" s="50" t="s">
        <v>1054</v>
      </c>
      <c r="S20" s="50" t="s">
        <v>1219</v>
      </c>
      <c r="T20" s="50">
        <v>634</v>
      </c>
      <c r="U20" s="50" t="s">
        <v>1024</v>
      </c>
      <c r="V20" s="50" t="s">
        <v>1216</v>
      </c>
      <c r="W20" s="50"/>
      <c r="X20" s="86"/>
      <c r="Y20" s="6"/>
    </row>
    <row r="21" spans="1:25" x14ac:dyDescent="0.4">
      <c r="N21" s="25">
        <v>45909</v>
      </c>
      <c r="O21" s="26">
        <v>0.17967592592592591</v>
      </c>
      <c r="P21" s="50" t="s">
        <v>1073</v>
      </c>
      <c r="Q21" s="50" t="s">
        <v>1218</v>
      </c>
      <c r="R21" s="50" t="s">
        <v>1054</v>
      </c>
      <c r="S21" s="50" t="s">
        <v>1219</v>
      </c>
      <c r="T21" s="50">
        <v>634</v>
      </c>
      <c r="U21" s="50" t="s">
        <v>1024</v>
      </c>
      <c r="V21" s="50" t="s">
        <v>1216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45909</v>
      </c>
      <c r="O22" s="26">
        <v>0.44651620370370371</v>
      </c>
      <c r="P22" s="50" t="s">
        <v>1020</v>
      </c>
      <c r="Q22" s="50" t="s">
        <v>1029</v>
      </c>
      <c r="R22" s="50" t="s">
        <v>1045</v>
      </c>
      <c r="S22" s="50" t="s">
        <v>1031</v>
      </c>
      <c r="T22" s="50">
        <v>-14800</v>
      </c>
      <c r="U22" s="50" t="s">
        <v>1024</v>
      </c>
      <c r="V22" s="50" t="s">
        <v>1025</v>
      </c>
      <c r="W22" s="50" t="s">
        <v>1751</v>
      </c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SUMIFS($T$3:$T$235,$P$3:$P$235,"지출",$Q$3:$Q$235,C23,$R$3:$R$235,D23)</f>
        <v>-316310</v>
      </c>
      <c r="N23" s="25">
        <v>45909</v>
      </c>
      <c r="O23" s="26">
        <v>0.66976851851851849</v>
      </c>
      <c r="P23" s="50" t="s">
        <v>1020</v>
      </c>
      <c r="Q23" s="50" t="s">
        <v>1021</v>
      </c>
      <c r="R23" s="50" t="s">
        <v>1047</v>
      </c>
      <c r="S23" s="50" t="s">
        <v>1752</v>
      </c>
      <c r="T23" s="50">
        <v>-9900</v>
      </c>
      <c r="U23" s="50" t="s">
        <v>1024</v>
      </c>
      <c r="V23" s="50" t="s">
        <v>1025</v>
      </c>
      <c r="W23" s="50" t="s">
        <v>1753</v>
      </c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SUMIFS($T$3:$T$235,$P$3:$P$235,"지출",$Q$3:$Q$235,C24,$R$3:$R$235,D24)</f>
        <v>-29300</v>
      </c>
      <c r="N24" s="25">
        <v>45909</v>
      </c>
      <c r="O24" s="26">
        <v>0.70640046296296299</v>
      </c>
      <c r="P24" s="50" t="s">
        <v>1020</v>
      </c>
      <c r="Q24" s="50" t="s">
        <v>1021</v>
      </c>
      <c r="R24" s="50" t="s">
        <v>1295</v>
      </c>
      <c r="S24" s="50" t="s">
        <v>1754</v>
      </c>
      <c r="T24" s="50">
        <v>-3400</v>
      </c>
      <c r="U24" s="50" t="s">
        <v>1024</v>
      </c>
      <c r="V24" s="50" t="s">
        <v>1025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SUMIFS($T$3:$T$235,$P$3:$P$235,"지출",$Q$3:$Q$235,C25,$R$3:$R$235,D25)</f>
        <v>-26750</v>
      </c>
      <c r="N25" s="25">
        <v>45909</v>
      </c>
      <c r="O25" s="26">
        <v>0.90516203703703701</v>
      </c>
      <c r="P25" s="50" t="s">
        <v>1020</v>
      </c>
      <c r="Q25" s="50" t="s">
        <v>1021</v>
      </c>
      <c r="R25" s="50" t="s">
        <v>1566</v>
      </c>
      <c r="S25" s="50" t="s">
        <v>1437</v>
      </c>
      <c r="T25" s="50">
        <v>-26000</v>
      </c>
      <c r="U25" s="50" t="s">
        <v>1024</v>
      </c>
      <c r="V25" s="50" t="s">
        <v>1025</v>
      </c>
      <c r="W25" s="50" t="s">
        <v>1755</v>
      </c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SUMIFS($T$3:$T$235,$P$3:$P$235,"지출",$Q$3:$Q$235,C26,$R$3:$R$235,D26)</f>
        <v>0</v>
      </c>
      <c r="N26" s="25">
        <v>45910</v>
      </c>
      <c r="O26" s="26">
        <v>0.18046296296296299</v>
      </c>
      <c r="P26" s="50" t="s">
        <v>1073</v>
      </c>
      <c r="Q26" s="50" t="s">
        <v>1218</v>
      </c>
      <c r="R26" s="50" t="s">
        <v>1054</v>
      </c>
      <c r="S26" s="50" t="s">
        <v>1219</v>
      </c>
      <c r="T26" s="50">
        <v>634</v>
      </c>
      <c r="U26" s="50" t="s">
        <v>1024</v>
      </c>
      <c r="V26" s="50" t="s">
        <v>1216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-372360</v>
      </c>
      <c r="N27" s="25">
        <v>45910</v>
      </c>
      <c r="O27" s="26">
        <v>0.36050925925925931</v>
      </c>
      <c r="P27" s="50" t="s">
        <v>1020</v>
      </c>
      <c r="Q27" s="50" t="s">
        <v>1026</v>
      </c>
      <c r="R27" s="50" t="s">
        <v>1151</v>
      </c>
      <c r="S27" s="50" t="s">
        <v>1639</v>
      </c>
      <c r="T27" s="50">
        <v>-10000</v>
      </c>
      <c r="U27" s="50" t="s">
        <v>1024</v>
      </c>
      <c r="V27" s="50" t="s">
        <v>1025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SUMIFS($T$3:$T$235,$P$3:$P$235,"지출",$Q$3:$Q$235,C28,$R$3:$R$235,D28)</f>
        <v>-182088</v>
      </c>
      <c r="N28" s="25">
        <v>45910</v>
      </c>
      <c r="O28" s="26">
        <v>0.47908564814814808</v>
      </c>
      <c r="P28" s="50" t="s">
        <v>1073</v>
      </c>
      <c r="Q28" s="50" t="s">
        <v>1047</v>
      </c>
      <c r="R28" s="50" t="s">
        <v>1054</v>
      </c>
      <c r="S28" s="50" t="s">
        <v>1756</v>
      </c>
      <c r="T28" s="50">
        <v>1</v>
      </c>
      <c r="U28" s="50" t="s">
        <v>1024</v>
      </c>
      <c r="V28" s="50" t="s">
        <v>1036</v>
      </c>
      <c r="W28" s="50"/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SUMIFS($T$3:$T$235,$P$3:$P$235,"지출",$Q$3:$Q$235,C29,$R$3:$R$235,D29)</f>
        <v>0</v>
      </c>
      <c r="N29" s="25">
        <v>45911</v>
      </c>
      <c r="O29" s="26">
        <v>0.17939814814814811</v>
      </c>
      <c r="P29" s="50" t="s">
        <v>1073</v>
      </c>
      <c r="Q29" s="50" t="s">
        <v>1218</v>
      </c>
      <c r="R29" s="50" t="s">
        <v>1054</v>
      </c>
      <c r="S29" s="50" t="s">
        <v>1219</v>
      </c>
      <c r="T29" s="50">
        <v>634</v>
      </c>
      <c r="U29" s="50" t="s">
        <v>1024</v>
      </c>
      <c r="V29" s="50" t="s">
        <v>1216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SUMIFS($T$3:$T$235,$P$3:$P$235,"지출",$Q$3:$Q$235,C30,$R$3:$R$235,D30)</f>
        <v>0</v>
      </c>
      <c r="N30" s="25">
        <v>45911</v>
      </c>
      <c r="O30" s="26">
        <v>0.30284722222222221</v>
      </c>
      <c r="P30" s="50" t="s">
        <v>1020</v>
      </c>
      <c r="Q30" s="50" t="s">
        <v>1029</v>
      </c>
      <c r="R30" s="50" t="s">
        <v>1030</v>
      </c>
      <c r="S30" s="50" t="s">
        <v>1031</v>
      </c>
      <c r="T30" s="50">
        <v>-17640</v>
      </c>
      <c r="U30" s="50" t="s">
        <v>1024</v>
      </c>
      <c r="V30" s="50" t="s">
        <v>1025</v>
      </c>
      <c r="W30" s="50" t="s">
        <v>1757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-182088</v>
      </c>
      <c r="N31" s="25">
        <v>45912</v>
      </c>
      <c r="O31" s="26">
        <v>5.4618055555555559E-2</v>
      </c>
      <c r="P31" s="50" t="s">
        <v>1020</v>
      </c>
      <c r="Q31" s="50" t="s">
        <v>1021</v>
      </c>
      <c r="R31" s="50" t="s">
        <v>1566</v>
      </c>
      <c r="S31" s="50" t="s">
        <v>1435</v>
      </c>
      <c r="T31" s="50">
        <v>-47500</v>
      </c>
      <c r="U31" s="50" t="s">
        <v>1024</v>
      </c>
      <c r="V31" s="50" t="s">
        <v>1025</v>
      </c>
      <c r="W31" s="50" t="s">
        <v>1758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SUMIFS($T$3:$T$235,$P$3:$P$235,"지출",$Q$3:$Q$235,C32,$R$3:$R$235,D32)</f>
        <v>-150000</v>
      </c>
      <c r="N32" s="25">
        <v>45912</v>
      </c>
      <c r="O32" s="26">
        <v>0.18424768518518519</v>
      </c>
      <c r="P32" s="50" t="s">
        <v>1073</v>
      </c>
      <c r="Q32" s="50" t="s">
        <v>1218</v>
      </c>
      <c r="R32" s="50" t="s">
        <v>1054</v>
      </c>
      <c r="S32" s="50" t="s">
        <v>1219</v>
      </c>
      <c r="T32" s="50">
        <v>634</v>
      </c>
      <c r="U32" s="50" t="s">
        <v>1024</v>
      </c>
      <c r="V32" s="50" t="s">
        <v>1216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0</v>
      </c>
      <c r="N33" s="25">
        <v>45912</v>
      </c>
      <c r="O33" s="26">
        <v>0.55623842592592587</v>
      </c>
      <c r="P33" s="50" t="s">
        <v>1020</v>
      </c>
      <c r="Q33" s="50" t="s">
        <v>1022</v>
      </c>
      <c r="R33" s="50" t="s">
        <v>1032</v>
      </c>
      <c r="S33" s="50" t="s">
        <v>1759</v>
      </c>
      <c r="T33" s="50">
        <v>-3500</v>
      </c>
      <c r="U33" s="50" t="s">
        <v>1024</v>
      </c>
      <c r="V33" s="50" t="s">
        <v>1036</v>
      </c>
      <c r="W33" s="50" t="s">
        <v>1760</v>
      </c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0</v>
      </c>
      <c r="N34" s="25">
        <v>45912</v>
      </c>
      <c r="O34" s="26">
        <v>0.57305555555555554</v>
      </c>
      <c r="P34" s="50" t="s">
        <v>1020</v>
      </c>
      <c r="Q34" s="50" t="s">
        <v>1184</v>
      </c>
      <c r="R34" s="50" t="s">
        <v>1047</v>
      </c>
      <c r="S34" s="50" t="s">
        <v>1761</v>
      </c>
      <c r="T34" s="50">
        <v>-39200</v>
      </c>
      <c r="U34" s="50" t="s">
        <v>1024</v>
      </c>
      <c r="V34" s="50" t="s">
        <v>1099</v>
      </c>
      <c r="W34" s="50" t="s">
        <v>1762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0</v>
      </c>
      <c r="N35" s="25">
        <v>45912</v>
      </c>
      <c r="O35" s="26">
        <v>0.65203703703703708</v>
      </c>
      <c r="P35" s="50" t="s">
        <v>1020</v>
      </c>
      <c r="Q35" s="50" t="s">
        <v>1029</v>
      </c>
      <c r="R35" s="50" t="s">
        <v>1030</v>
      </c>
      <c r="S35" s="50" t="s">
        <v>1069</v>
      </c>
      <c r="T35" s="50">
        <v>-3680</v>
      </c>
      <c r="U35" s="50" t="s">
        <v>1024</v>
      </c>
      <c r="V35" s="50" t="s">
        <v>1025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45912</v>
      </c>
      <c r="O36" s="26">
        <v>0.8056712962962963</v>
      </c>
      <c r="P36" s="50" t="s">
        <v>1053</v>
      </c>
      <c r="Q36" s="50" t="s">
        <v>1066</v>
      </c>
      <c r="R36" s="50" t="s">
        <v>1054</v>
      </c>
      <c r="S36" s="50" t="s">
        <v>1067</v>
      </c>
      <c r="T36" s="50">
        <v>-1889782</v>
      </c>
      <c r="U36" s="50" t="s">
        <v>1024</v>
      </c>
      <c r="V36" s="50" t="s">
        <v>1036</v>
      </c>
      <c r="W36" s="50"/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>
        <v>45913</v>
      </c>
      <c r="O37" s="26">
        <v>0.1824537037037037</v>
      </c>
      <c r="P37" s="50" t="s">
        <v>1073</v>
      </c>
      <c r="Q37" s="50" t="s">
        <v>1218</v>
      </c>
      <c r="R37" s="50" t="s">
        <v>1054</v>
      </c>
      <c r="S37" s="50" t="s">
        <v>1219</v>
      </c>
      <c r="T37" s="50">
        <v>634</v>
      </c>
      <c r="U37" s="50" t="s">
        <v>1024</v>
      </c>
      <c r="V37" s="50" t="s">
        <v>1216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-36329</v>
      </c>
      <c r="N38" s="25">
        <v>45914</v>
      </c>
      <c r="O38" s="26">
        <v>0.18233796296296301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634</v>
      </c>
      <c r="U38" s="50" t="s">
        <v>1024</v>
      </c>
      <c r="V38" s="50" t="s">
        <v>1216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45914</v>
      </c>
      <c r="O39" s="26">
        <v>0.37298611111111107</v>
      </c>
      <c r="P39" s="50" t="s">
        <v>1020</v>
      </c>
      <c r="Q39" s="50" t="s">
        <v>1047</v>
      </c>
      <c r="R39" s="50" t="s">
        <v>1406</v>
      </c>
      <c r="S39" s="50" t="s">
        <v>1711</v>
      </c>
      <c r="T39" s="50">
        <v>-36329</v>
      </c>
      <c r="U39" s="50" t="s">
        <v>1024</v>
      </c>
      <c r="V39" s="50" t="s">
        <v>1025</v>
      </c>
      <c r="W39" s="50" t="s">
        <v>1763</v>
      </c>
      <c r="X39" s="86"/>
      <c r="Y39" s="6"/>
    </row>
    <row r="40" spans="3:25" x14ac:dyDescent="0.4">
      <c r="C40" s="94" t="s">
        <v>962</v>
      </c>
      <c r="D40" s="93"/>
      <c r="E40" s="20">
        <f>SUM(E32:E39)</f>
        <v>-186329</v>
      </c>
      <c r="N40" s="25">
        <v>45915</v>
      </c>
      <c r="O40" s="26">
        <v>0.1834490740740741</v>
      </c>
      <c r="P40" s="50" t="s">
        <v>1073</v>
      </c>
      <c r="Q40" s="50" t="s">
        <v>1218</v>
      </c>
      <c r="R40" s="50" t="s">
        <v>1054</v>
      </c>
      <c r="S40" s="50" t="s">
        <v>1219</v>
      </c>
      <c r="T40" s="50">
        <v>634</v>
      </c>
      <c r="U40" s="50" t="s">
        <v>1024</v>
      </c>
      <c r="V40" s="50" t="s">
        <v>1216</v>
      </c>
      <c r="W40" s="50"/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SUMIFS($T$3:$T$235,$P$3:$P$235,"지출",$Q$3:$Q$235,C41,$R$3:$R$235,D41)</f>
        <v>-73500</v>
      </c>
      <c r="N41" s="25">
        <v>45916</v>
      </c>
      <c r="O41" s="26">
        <v>0.1784722222222222</v>
      </c>
      <c r="P41" s="50" t="s">
        <v>1073</v>
      </c>
      <c r="Q41" s="50" t="s">
        <v>1218</v>
      </c>
      <c r="R41" s="50" t="s">
        <v>1054</v>
      </c>
      <c r="S41" s="50" t="s">
        <v>1219</v>
      </c>
      <c r="T41" s="50">
        <v>634</v>
      </c>
      <c r="U41" s="50" t="s">
        <v>1024</v>
      </c>
      <c r="V41" s="50" t="s">
        <v>1216</v>
      </c>
      <c r="W41" s="50"/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SUMIFS($T$3:$T$235,$P$3:$P$235,"지출",$Q$3:$Q$235,C42,$R$3:$R$235,D42)</f>
        <v>-46100</v>
      </c>
      <c r="N42" s="25">
        <v>45916</v>
      </c>
      <c r="O42" s="26">
        <v>0.63844907407407403</v>
      </c>
      <c r="P42" s="50" t="s">
        <v>1020</v>
      </c>
      <c r="Q42" s="50" t="s">
        <v>1021</v>
      </c>
      <c r="R42" s="50" t="s">
        <v>1295</v>
      </c>
      <c r="S42" s="50" t="s">
        <v>1502</v>
      </c>
      <c r="T42" s="50">
        <v>-18700</v>
      </c>
      <c r="U42" s="50" t="s">
        <v>1024</v>
      </c>
      <c r="V42" s="50" t="s">
        <v>1025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SUMIFS($T$3:$T$235,$P$3:$P$235,"지출",$Q$3:$Q$235,C43,$R$3:$R$235,D43)</f>
        <v>-64500</v>
      </c>
      <c r="N43" s="25">
        <v>45917</v>
      </c>
      <c r="O43" s="26">
        <v>0.18001157407407409</v>
      </c>
      <c r="P43" s="50" t="s">
        <v>1073</v>
      </c>
      <c r="Q43" s="50" t="s">
        <v>1218</v>
      </c>
      <c r="R43" s="50" t="s">
        <v>1054</v>
      </c>
      <c r="S43" s="50" t="s">
        <v>1219</v>
      </c>
      <c r="T43" s="50">
        <v>634</v>
      </c>
      <c r="U43" s="50" t="s">
        <v>1024</v>
      </c>
      <c r="V43" s="50" t="s">
        <v>1216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SUMIFS($T$3:$T$235,$P$3:$P$235,"지출",$Q$3:$Q$235,C44,$R$3:$R$235,D44)</f>
        <v>-19700</v>
      </c>
      <c r="N44" s="25">
        <v>45917</v>
      </c>
      <c r="O44" s="26">
        <v>0.37680555555555562</v>
      </c>
      <c r="P44" s="50" t="s">
        <v>1020</v>
      </c>
      <c r="Q44" s="50" t="s">
        <v>1021</v>
      </c>
      <c r="R44" s="50" t="s">
        <v>1047</v>
      </c>
      <c r="S44" s="50" t="s">
        <v>1764</v>
      </c>
      <c r="T44" s="50">
        <v>-9800</v>
      </c>
      <c r="U44" s="50" t="s">
        <v>1024</v>
      </c>
      <c r="V44" s="50" t="s">
        <v>1025</v>
      </c>
      <c r="W44" s="50" t="s">
        <v>1765</v>
      </c>
      <c r="X44" s="86"/>
      <c r="Y44" s="6"/>
    </row>
    <row r="45" spans="3:25" x14ac:dyDescent="0.4">
      <c r="C45" s="94" t="s">
        <v>1016</v>
      </c>
      <c r="D45" s="93"/>
      <c r="E45" s="20">
        <f>SUM(E41:E44)</f>
        <v>-203800</v>
      </c>
      <c r="N45" s="25">
        <v>45918</v>
      </c>
      <c r="O45" s="26">
        <v>0.1807060185185185</v>
      </c>
      <c r="P45" s="50" t="s">
        <v>1073</v>
      </c>
      <c r="Q45" s="50" t="s">
        <v>1218</v>
      </c>
      <c r="R45" s="50" t="s">
        <v>1054</v>
      </c>
      <c r="S45" s="50" t="s">
        <v>1219</v>
      </c>
      <c r="T45" s="50">
        <v>634</v>
      </c>
      <c r="U45" s="50" t="s">
        <v>1024</v>
      </c>
      <c r="V45" s="50" t="s">
        <v>1216</v>
      </c>
      <c r="W45" s="50"/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SUMIFS($T$3:$T$235,$P$3:$P$235,"지출",$Q$3:$Q$235,C46,$R$3:$R$235,D46)</f>
        <v>0</v>
      </c>
      <c r="N46" s="25">
        <v>45919</v>
      </c>
      <c r="O46" s="26">
        <v>0.17953703703703711</v>
      </c>
      <c r="P46" s="50" t="s">
        <v>1073</v>
      </c>
      <c r="Q46" s="50" t="s">
        <v>1218</v>
      </c>
      <c r="R46" s="50" t="s">
        <v>1054</v>
      </c>
      <c r="S46" s="50" t="s">
        <v>1219</v>
      </c>
      <c r="T46" s="50">
        <v>634</v>
      </c>
      <c r="U46" s="50" t="s">
        <v>1024</v>
      </c>
      <c r="V46" s="50" t="s">
        <v>1216</v>
      </c>
      <c r="W46" s="50"/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SUMIFS($T$3:$T$235,$P$3:$P$235,"지출",$Q$3:$Q$235,C47,$R$3:$R$235,D47)</f>
        <v>0</v>
      </c>
      <c r="N47" s="25">
        <v>45919</v>
      </c>
      <c r="O47" s="26">
        <v>0.37458333333333332</v>
      </c>
      <c r="P47" s="50" t="s">
        <v>1020</v>
      </c>
      <c r="Q47" s="50" t="s">
        <v>1026</v>
      </c>
      <c r="R47" s="50" t="s">
        <v>1093</v>
      </c>
      <c r="S47" s="50" t="s">
        <v>1095</v>
      </c>
      <c r="T47" s="50">
        <v>-42790</v>
      </c>
      <c r="U47" s="50" t="s">
        <v>1024</v>
      </c>
      <c r="V47" s="50" t="s">
        <v>1025</v>
      </c>
      <c r="W47" s="50"/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SUMIFS($T$3:$T$235,$P$3:$P$235,"지출",$Q$3:$Q$235,C48,$R$3:$R$235,D48)</f>
        <v>0</v>
      </c>
      <c r="N48" s="25">
        <v>45919</v>
      </c>
      <c r="O48" s="26">
        <v>0.37458333333333332</v>
      </c>
      <c r="P48" s="50" t="s">
        <v>1020</v>
      </c>
      <c r="Q48" s="50" t="s">
        <v>1026</v>
      </c>
      <c r="R48" s="50" t="s">
        <v>1093</v>
      </c>
      <c r="S48" s="50" t="s">
        <v>1094</v>
      </c>
      <c r="T48" s="50">
        <v>-22000</v>
      </c>
      <c r="U48" s="50" t="s">
        <v>1024</v>
      </c>
      <c r="V48" s="50" t="s">
        <v>1025</v>
      </c>
      <c r="W48" s="50"/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SUMIFS($T$3:$T$235,$P$3:$P$235,"지출",$Q$3:$Q$235,C49,$R$3:$R$235,D49)</f>
        <v>-61080</v>
      </c>
      <c r="N49" s="25">
        <v>45919</v>
      </c>
      <c r="O49" s="26">
        <v>0.55320601851851847</v>
      </c>
      <c r="P49" s="50" t="s">
        <v>1020</v>
      </c>
      <c r="Q49" s="50" t="s">
        <v>1029</v>
      </c>
      <c r="R49" s="50" t="s">
        <v>1030</v>
      </c>
      <c r="S49" s="50" t="s">
        <v>1031</v>
      </c>
      <c r="T49" s="50">
        <v>-28500</v>
      </c>
      <c r="U49" s="50" t="s">
        <v>1024</v>
      </c>
      <c r="V49" s="50" t="s">
        <v>1025</v>
      </c>
      <c r="W49" s="50" t="s">
        <v>1766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-61080</v>
      </c>
      <c r="J50" s="53"/>
      <c r="K50" s="54"/>
      <c r="N50" s="25">
        <v>45919</v>
      </c>
      <c r="O50" s="26">
        <v>0.58493055555555551</v>
      </c>
      <c r="P50" s="50" t="s">
        <v>1073</v>
      </c>
      <c r="Q50" s="50" t="s">
        <v>1074</v>
      </c>
      <c r="R50" s="50" t="s">
        <v>1054</v>
      </c>
      <c r="S50" s="50" t="s">
        <v>1075</v>
      </c>
      <c r="T50" s="50">
        <v>55199</v>
      </c>
      <c r="U50" s="50" t="s">
        <v>1024</v>
      </c>
      <c r="V50" s="50" t="s">
        <v>1036</v>
      </c>
      <c r="W50" s="50"/>
      <c r="X50" s="86"/>
      <c r="Y50" s="6"/>
    </row>
    <row r="51" spans="1:25" ht="18" thickBot="1" x14ac:dyDescent="0.45">
      <c r="J51" s="53"/>
      <c r="K51" s="54"/>
      <c r="N51" s="25">
        <v>45919</v>
      </c>
      <c r="O51" s="26">
        <v>0.85951388888888891</v>
      </c>
      <c r="P51" s="50" t="s">
        <v>1020</v>
      </c>
      <c r="Q51" s="50" t="s">
        <v>1029</v>
      </c>
      <c r="R51" s="50" t="s">
        <v>1070</v>
      </c>
      <c r="S51" s="50" t="s">
        <v>1767</v>
      </c>
      <c r="T51" s="50">
        <v>-5500</v>
      </c>
      <c r="U51" s="50" t="s">
        <v>1024</v>
      </c>
      <c r="V51" s="50" t="s">
        <v>1125</v>
      </c>
      <c r="W51" s="50" t="s">
        <v>1768</v>
      </c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I52" s="96" t="s">
        <v>922</v>
      </c>
      <c r="J52" s="29">
        <f ca="1">INDIRECT(J1&amp;"!I53")</f>
        <v>141152424</v>
      </c>
      <c r="N52" s="25">
        <v>45919</v>
      </c>
      <c r="O52" s="26">
        <v>0.99689814814814814</v>
      </c>
      <c r="P52" s="50" t="s">
        <v>1020</v>
      </c>
      <c r="Q52" s="50" t="s">
        <v>1029</v>
      </c>
      <c r="R52" s="50" t="s">
        <v>1030</v>
      </c>
      <c r="S52" s="50" t="s">
        <v>1769</v>
      </c>
      <c r="T52" s="50">
        <v>-500</v>
      </c>
      <c r="U52" s="50" t="s">
        <v>1024</v>
      </c>
      <c r="V52" s="50" t="s">
        <v>1125</v>
      </c>
      <c r="W52" s="50" t="s">
        <v>1770</v>
      </c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I53" s="97" t="s">
        <v>921</v>
      </c>
      <c r="J53" s="29">
        <f>SUM(F54:F72)</f>
        <v>36678977</v>
      </c>
      <c r="N53" s="25">
        <v>45920</v>
      </c>
      <c r="O53" s="26">
        <v>0.17934027777777781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634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45957</v>
      </c>
      <c r="F54" s="51">
        <v>3118217</v>
      </c>
      <c r="I54" s="98" t="s">
        <v>907</v>
      </c>
      <c r="J54" s="30">
        <f ca="1">J53-J52</f>
        <v>-104473447</v>
      </c>
      <c r="K54" s="54"/>
      <c r="N54" s="25">
        <v>45920</v>
      </c>
      <c r="O54" s="26">
        <v>0.42444444444444451</v>
      </c>
      <c r="P54" s="50" t="s">
        <v>1020</v>
      </c>
      <c r="Q54" s="50" t="s">
        <v>1029</v>
      </c>
      <c r="R54" s="50" t="s">
        <v>1070</v>
      </c>
      <c r="S54" s="50" t="s">
        <v>1771</v>
      </c>
      <c r="T54" s="50">
        <v>-7800</v>
      </c>
      <c r="U54" s="50" t="s">
        <v>1024</v>
      </c>
      <c r="V54" s="50" t="s">
        <v>1025</v>
      </c>
      <c r="W54" s="50" t="s">
        <v>1772</v>
      </c>
      <c r="X54" s="86"/>
      <c r="Y54" s="6"/>
    </row>
    <row r="55" spans="1:25" x14ac:dyDescent="0.4">
      <c r="C55" s="83"/>
      <c r="D55" s="50" t="s">
        <v>994</v>
      </c>
      <c r="E55" s="89">
        <v>45957</v>
      </c>
      <c r="F55" s="51">
        <v>25019354</v>
      </c>
      <c r="H55" s="52"/>
      <c r="I55" s="53"/>
      <c r="J55" s="53"/>
      <c r="K55" s="54"/>
      <c r="N55" s="25">
        <v>45920</v>
      </c>
      <c r="O55" s="26">
        <v>0.43725694444444452</v>
      </c>
      <c r="P55" s="50" t="s">
        <v>1020</v>
      </c>
      <c r="Q55" s="50" t="s">
        <v>1022</v>
      </c>
      <c r="R55" s="50" t="s">
        <v>1032</v>
      </c>
      <c r="S55" s="50" t="s">
        <v>1773</v>
      </c>
      <c r="T55" s="50">
        <v>-10000</v>
      </c>
      <c r="U55" s="50" t="s">
        <v>1024</v>
      </c>
      <c r="V55" s="50" t="s">
        <v>1099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45957</v>
      </c>
      <c r="F56" s="107">
        <v>10000000</v>
      </c>
      <c r="H56" s="52"/>
      <c r="I56" s="53"/>
      <c r="J56" s="53"/>
      <c r="K56" s="54"/>
      <c r="N56" s="25">
        <v>45920</v>
      </c>
      <c r="O56" s="26">
        <v>0.46179398148148149</v>
      </c>
      <c r="P56" s="50" t="s">
        <v>1020</v>
      </c>
      <c r="Q56" s="50" t="s">
        <v>1022</v>
      </c>
      <c r="R56" s="50" t="s">
        <v>1032</v>
      </c>
      <c r="S56" s="50" t="s">
        <v>1773</v>
      </c>
      <c r="T56" s="50">
        <v>-2500</v>
      </c>
      <c r="U56" s="50" t="s">
        <v>1024</v>
      </c>
      <c r="V56" s="50" t="s">
        <v>1099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45920</v>
      </c>
      <c r="O57" s="26">
        <v>0.48663194444444452</v>
      </c>
      <c r="P57" s="50" t="s">
        <v>1020</v>
      </c>
      <c r="Q57" s="50" t="s">
        <v>1022</v>
      </c>
      <c r="R57" s="50" t="s">
        <v>1032</v>
      </c>
      <c r="S57" s="50" t="s">
        <v>1774</v>
      </c>
      <c r="T57" s="50">
        <v>-2000</v>
      </c>
      <c r="U57" s="50" t="s">
        <v>1024</v>
      </c>
      <c r="V57" s="50" t="s">
        <v>1099</v>
      </c>
      <c r="W57" s="50" t="s">
        <v>1775</v>
      </c>
      <c r="X57" s="86"/>
      <c r="Y57" s="6"/>
    </row>
    <row r="58" spans="1:25" x14ac:dyDescent="0.4">
      <c r="C58" s="81" t="s">
        <v>992</v>
      </c>
      <c r="D58" s="99" t="s">
        <v>1005</v>
      </c>
      <c r="E58" s="89">
        <v>45957</v>
      </c>
      <c r="F58" s="104">
        <v>6000000</v>
      </c>
      <c r="H58" s="52"/>
      <c r="I58" s="53"/>
      <c r="J58" s="53"/>
      <c r="K58" s="54"/>
      <c r="N58" s="25">
        <v>45920</v>
      </c>
      <c r="O58" s="26">
        <v>0.51651620370370366</v>
      </c>
      <c r="P58" s="50" t="s">
        <v>1020</v>
      </c>
      <c r="Q58" s="50" t="s">
        <v>1029</v>
      </c>
      <c r="R58" s="50" t="s">
        <v>1070</v>
      </c>
      <c r="S58" s="50" t="s">
        <v>1776</v>
      </c>
      <c r="T58" s="50">
        <v>-12000</v>
      </c>
      <c r="U58" s="50" t="s">
        <v>1024</v>
      </c>
      <c r="V58" s="50" t="s">
        <v>1166</v>
      </c>
      <c r="W58" s="50" t="s">
        <v>1777</v>
      </c>
      <c r="X58" s="86"/>
      <c r="Y58" s="6"/>
    </row>
    <row r="59" spans="1:25" x14ac:dyDescent="0.4">
      <c r="C59" s="79" t="s">
        <v>969</v>
      </c>
      <c r="D59" s="50" t="s">
        <v>989</v>
      </c>
      <c r="E59" s="89">
        <v>45957</v>
      </c>
      <c r="F59" s="51">
        <v>93285</v>
      </c>
      <c r="H59" s="52"/>
      <c r="I59" s="53"/>
      <c r="J59" s="53"/>
      <c r="K59" s="54"/>
      <c r="N59" s="25">
        <v>45920</v>
      </c>
      <c r="O59" s="26">
        <v>0.51900462962962968</v>
      </c>
      <c r="P59" s="50" t="s">
        <v>1020</v>
      </c>
      <c r="Q59" s="50" t="s">
        <v>1029</v>
      </c>
      <c r="R59" s="50" t="s">
        <v>1070</v>
      </c>
      <c r="S59" s="50" t="s">
        <v>1778</v>
      </c>
      <c r="T59" s="50">
        <v>-4000</v>
      </c>
      <c r="U59" s="50" t="s">
        <v>1024</v>
      </c>
      <c r="V59" s="50" t="s">
        <v>1166</v>
      </c>
      <c r="W59" s="50" t="s">
        <v>1779</v>
      </c>
      <c r="X59" s="86"/>
      <c r="Y59" s="6"/>
    </row>
    <row r="60" spans="1:25" x14ac:dyDescent="0.4">
      <c r="C60" s="83"/>
      <c r="D60" s="50" t="s">
        <v>990</v>
      </c>
      <c r="E60" s="89">
        <v>45957</v>
      </c>
      <c r="F60" s="51">
        <v>47150</v>
      </c>
      <c r="H60" s="52"/>
      <c r="I60" s="53"/>
      <c r="J60" s="53"/>
      <c r="K60" s="54"/>
      <c r="N60" s="25">
        <v>45920</v>
      </c>
      <c r="O60" s="26">
        <v>0.56645833333333329</v>
      </c>
      <c r="P60" s="50" t="s">
        <v>1020</v>
      </c>
      <c r="Q60" s="50" t="s">
        <v>1184</v>
      </c>
      <c r="R60" s="50" t="s">
        <v>1047</v>
      </c>
      <c r="S60" s="50" t="s">
        <v>1031</v>
      </c>
      <c r="T60" s="50">
        <v>-21880</v>
      </c>
      <c r="U60" s="50" t="s">
        <v>1024</v>
      </c>
      <c r="V60" s="50" t="s">
        <v>1025</v>
      </c>
      <c r="W60" s="50" t="s">
        <v>1780</v>
      </c>
      <c r="X60" s="86"/>
      <c r="Y60" s="6"/>
    </row>
    <row r="61" spans="1:25" x14ac:dyDescent="0.4">
      <c r="C61" s="83"/>
      <c r="D61" s="50" t="s">
        <v>946</v>
      </c>
      <c r="E61" s="89">
        <v>45957</v>
      </c>
      <c r="F61" s="51">
        <v>0</v>
      </c>
      <c r="H61" s="52"/>
      <c r="I61" s="53"/>
      <c r="J61" s="53"/>
      <c r="K61" s="54"/>
      <c r="N61" s="25">
        <v>45920</v>
      </c>
      <c r="O61" s="26">
        <v>0.59327546296296296</v>
      </c>
      <c r="P61" s="50" t="s">
        <v>1020</v>
      </c>
      <c r="Q61" s="50" t="s">
        <v>1029</v>
      </c>
      <c r="R61" s="50" t="s">
        <v>1030</v>
      </c>
      <c r="S61" s="50" t="s">
        <v>1781</v>
      </c>
      <c r="T61" s="50">
        <v>-4900</v>
      </c>
      <c r="U61" s="50" t="s">
        <v>1024</v>
      </c>
      <c r="V61" s="50" t="s">
        <v>1099</v>
      </c>
      <c r="W61" s="50" t="s">
        <v>1782</v>
      </c>
      <c r="X61" s="86"/>
      <c r="Y61" s="6"/>
    </row>
    <row r="62" spans="1:25" x14ac:dyDescent="0.4">
      <c r="C62" s="83"/>
      <c r="D62" s="50" t="s">
        <v>995</v>
      </c>
      <c r="E62" s="89">
        <v>45957</v>
      </c>
      <c r="F62" s="101">
        <v>11000000</v>
      </c>
      <c r="H62" s="52"/>
      <c r="I62" s="53"/>
      <c r="J62" s="53"/>
      <c r="K62" s="54"/>
      <c r="N62" s="25">
        <v>45921</v>
      </c>
      <c r="O62" s="26">
        <v>0.18027777777777779</v>
      </c>
      <c r="P62" s="50" t="s">
        <v>1073</v>
      </c>
      <c r="Q62" s="50" t="s">
        <v>1218</v>
      </c>
      <c r="R62" s="50" t="s">
        <v>1054</v>
      </c>
      <c r="S62" s="50" t="s">
        <v>1219</v>
      </c>
      <c r="T62" s="50">
        <v>634</v>
      </c>
      <c r="U62" s="50" t="s">
        <v>1024</v>
      </c>
      <c r="V62" s="50" t="s">
        <v>1216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45957</v>
      </c>
      <c r="F63" s="51">
        <v>503300</v>
      </c>
      <c r="H63" s="52"/>
      <c r="I63" s="53"/>
      <c r="J63" s="53"/>
      <c r="K63" s="54"/>
      <c r="N63" s="25">
        <v>45922</v>
      </c>
      <c r="O63" s="26">
        <v>0.1801851851851852</v>
      </c>
      <c r="P63" s="50" t="s">
        <v>1073</v>
      </c>
      <c r="Q63" s="50" t="s">
        <v>1218</v>
      </c>
      <c r="R63" s="50" t="s">
        <v>1054</v>
      </c>
      <c r="S63" s="50" t="s">
        <v>1219</v>
      </c>
      <c r="T63" s="50">
        <v>635</v>
      </c>
      <c r="U63" s="50" t="s">
        <v>1024</v>
      </c>
      <c r="V63" s="50" t="s">
        <v>1216</v>
      </c>
      <c r="W63" s="50"/>
      <c r="X63" s="86"/>
      <c r="Y63" s="6"/>
    </row>
    <row r="64" spans="1:25" x14ac:dyDescent="0.4">
      <c r="C64" s="79" t="s">
        <v>1001</v>
      </c>
      <c r="D64" s="50" t="s">
        <v>1795</v>
      </c>
      <c r="E64" s="89">
        <v>45957</v>
      </c>
      <c r="F64" s="51">
        <v>113819426</v>
      </c>
      <c r="H64" s="52"/>
      <c r="I64" s="53"/>
      <c r="J64" s="53"/>
      <c r="K64" s="54"/>
      <c r="N64" s="25">
        <v>45922</v>
      </c>
      <c r="O64" s="26">
        <v>0.91239583333333329</v>
      </c>
      <c r="P64" s="50" t="s">
        <v>1020</v>
      </c>
      <c r="Q64" s="50" t="s">
        <v>1029</v>
      </c>
      <c r="R64" s="50" t="s">
        <v>1030</v>
      </c>
      <c r="S64" s="50" t="s">
        <v>1051</v>
      </c>
      <c r="T64" s="50">
        <v>-140000</v>
      </c>
      <c r="U64" s="50" t="s">
        <v>1024</v>
      </c>
      <c r="V64" s="50" t="s">
        <v>1036</v>
      </c>
      <c r="W64" s="50" t="s">
        <v>1052</v>
      </c>
      <c r="X64" s="86"/>
      <c r="Y64" s="6"/>
    </row>
    <row r="65" spans="1:25" x14ac:dyDescent="0.4">
      <c r="C65" s="83"/>
      <c r="D65" s="84"/>
      <c r="E65" s="102"/>
      <c r="F65" s="103"/>
      <c r="H65" s="52"/>
      <c r="I65" s="53"/>
      <c r="J65" s="53"/>
      <c r="K65" s="54"/>
      <c r="N65" s="25">
        <v>45923</v>
      </c>
      <c r="O65" s="26">
        <v>0.18057870370370371</v>
      </c>
      <c r="P65" s="50" t="s">
        <v>1073</v>
      </c>
      <c r="Q65" s="50" t="s">
        <v>1218</v>
      </c>
      <c r="R65" s="50" t="s">
        <v>1054</v>
      </c>
      <c r="S65" s="50" t="s">
        <v>1219</v>
      </c>
      <c r="T65" s="50">
        <v>635</v>
      </c>
      <c r="U65" s="50" t="s">
        <v>1024</v>
      </c>
      <c r="V65" s="50" t="s">
        <v>1216</v>
      </c>
      <c r="W65" s="50"/>
      <c r="X65" s="86"/>
      <c r="Y65" s="6"/>
    </row>
    <row r="66" spans="1:25" x14ac:dyDescent="0.4">
      <c r="C66" s="83"/>
      <c r="D66" s="84" t="s">
        <v>1158</v>
      </c>
      <c r="E66" s="89">
        <v>45957</v>
      </c>
      <c r="F66" s="103">
        <v>11028178</v>
      </c>
      <c r="H66" s="52"/>
      <c r="I66" s="53"/>
      <c r="J66" s="53"/>
      <c r="K66" s="54"/>
      <c r="N66" s="25">
        <v>45923</v>
      </c>
      <c r="O66" s="26">
        <v>0.51302083333333337</v>
      </c>
      <c r="P66" s="50" t="s">
        <v>1020</v>
      </c>
      <c r="Q66" s="50" t="s">
        <v>1021</v>
      </c>
      <c r="R66" s="50" t="s">
        <v>1022</v>
      </c>
      <c r="S66" s="50" t="s">
        <v>1783</v>
      </c>
      <c r="T66" s="50">
        <v>-9400</v>
      </c>
      <c r="U66" s="50" t="s">
        <v>1024</v>
      </c>
      <c r="V66" s="50" t="s">
        <v>1025</v>
      </c>
      <c r="W66" s="50" t="s">
        <v>1784</v>
      </c>
      <c r="X66" s="86"/>
      <c r="Y66" s="6"/>
    </row>
    <row r="67" spans="1:25" x14ac:dyDescent="0.4">
      <c r="C67" s="83"/>
      <c r="D67" s="84" t="s">
        <v>1159</v>
      </c>
      <c r="E67" s="89">
        <v>45957</v>
      </c>
      <c r="F67" s="103">
        <f>308384</f>
        <v>308384</v>
      </c>
      <c r="H67" s="52"/>
      <c r="I67" s="53"/>
      <c r="J67" s="53"/>
      <c r="K67" s="54"/>
      <c r="N67" s="25">
        <v>45923</v>
      </c>
      <c r="O67" s="26">
        <v>0.80204861111111114</v>
      </c>
      <c r="P67" s="50" t="s">
        <v>1020</v>
      </c>
      <c r="Q67" s="50" t="s">
        <v>1644</v>
      </c>
      <c r="R67" s="50" t="s">
        <v>1645</v>
      </c>
      <c r="S67" s="50" t="s">
        <v>1645</v>
      </c>
      <c r="T67" s="50">
        <v>-314550</v>
      </c>
      <c r="U67" s="50" t="s">
        <v>1024</v>
      </c>
      <c r="V67" s="50" t="s">
        <v>1036</v>
      </c>
      <c r="W67" s="50"/>
      <c r="X67" s="86"/>
      <c r="Y67" s="6"/>
    </row>
    <row r="68" spans="1:25" x14ac:dyDescent="0.4">
      <c r="C68" s="80"/>
      <c r="D68" s="50" t="s">
        <v>1007</v>
      </c>
      <c r="E68" s="89">
        <v>45717</v>
      </c>
      <c r="F68" s="51">
        <v>1166877</v>
      </c>
      <c r="H68" s="52"/>
      <c r="I68" s="53"/>
      <c r="J68" s="53"/>
      <c r="K68" s="54"/>
      <c r="N68" s="25">
        <v>45923</v>
      </c>
      <c r="O68" s="26">
        <v>0.81172453703703706</v>
      </c>
      <c r="P68" s="50" t="s">
        <v>1020</v>
      </c>
      <c r="Q68" s="50" t="s">
        <v>1026</v>
      </c>
      <c r="R68" s="50" t="s">
        <v>1115</v>
      </c>
      <c r="S68" s="50" t="s">
        <v>1785</v>
      </c>
      <c r="T68" s="50">
        <v>-14232</v>
      </c>
      <c r="U68" s="50" t="s">
        <v>1024</v>
      </c>
      <c r="V68" s="50" t="s">
        <v>1036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45957</v>
      </c>
      <c r="F69" s="51">
        <v>4837996</v>
      </c>
      <c r="H69" s="52"/>
      <c r="I69" s="53"/>
      <c r="J69" s="53"/>
      <c r="K69" s="54"/>
      <c r="N69" s="25">
        <v>45924</v>
      </c>
      <c r="O69" s="26">
        <v>0.17969907407407409</v>
      </c>
      <c r="P69" s="50" t="s">
        <v>1073</v>
      </c>
      <c r="Q69" s="50" t="s">
        <v>1218</v>
      </c>
      <c r="R69" s="50" t="s">
        <v>1054</v>
      </c>
      <c r="S69" s="50" t="s">
        <v>1219</v>
      </c>
      <c r="T69" s="50">
        <v>635</v>
      </c>
      <c r="U69" s="50" t="s">
        <v>1024</v>
      </c>
      <c r="V69" s="50" t="s">
        <v>1216</v>
      </c>
      <c r="W69" s="50"/>
      <c r="X69" s="86"/>
      <c r="Y69" s="6"/>
    </row>
    <row r="70" spans="1:25" x14ac:dyDescent="0.4">
      <c r="C70" s="80"/>
      <c r="D70" s="50" t="s">
        <v>1000</v>
      </c>
      <c r="E70" s="89">
        <v>45957</v>
      </c>
      <c r="F70" s="51">
        <v>1959080</v>
      </c>
      <c r="H70" s="52"/>
      <c r="I70" s="53"/>
      <c r="J70" s="53"/>
      <c r="K70" s="54"/>
      <c r="N70" s="25">
        <v>45924</v>
      </c>
      <c r="O70" s="26">
        <v>0.49930555555555561</v>
      </c>
      <c r="P70" s="50" t="s">
        <v>1020</v>
      </c>
      <c r="Q70" s="50" t="s">
        <v>1021</v>
      </c>
      <c r="R70" s="50" t="s">
        <v>1295</v>
      </c>
      <c r="S70" s="50" t="s">
        <v>1502</v>
      </c>
      <c r="T70" s="50">
        <v>-25600</v>
      </c>
      <c r="U70" s="50" t="s">
        <v>1024</v>
      </c>
      <c r="V70" s="50" t="s">
        <v>1025</v>
      </c>
      <c r="W70" s="50"/>
      <c r="X70" s="86"/>
      <c r="Y70" s="6"/>
    </row>
    <row r="71" spans="1:25" x14ac:dyDescent="0.4">
      <c r="C71" s="80" t="s">
        <v>1796</v>
      </c>
      <c r="D71" s="50" t="s">
        <v>911</v>
      </c>
      <c r="E71" s="89" t="s">
        <v>1797</v>
      </c>
      <c r="F71" s="51">
        <f>VLOOKUP(L1,대출!$B$4:$I$363,6,FALSE)*-1</f>
        <v>-152222270</v>
      </c>
      <c r="H71" s="52"/>
      <c r="I71" s="53"/>
      <c r="J71" s="53"/>
      <c r="K71" s="54"/>
      <c r="N71" s="25">
        <v>45924</v>
      </c>
      <c r="O71" s="26">
        <v>0.56354166666666672</v>
      </c>
      <c r="P71" s="50" t="s">
        <v>1020</v>
      </c>
      <c r="Q71" s="50" t="s">
        <v>1026</v>
      </c>
      <c r="R71" s="50" t="s">
        <v>1105</v>
      </c>
      <c r="S71" s="50" t="s">
        <v>1105</v>
      </c>
      <c r="T71" s="50">
        <v>-276920</v>
      </c>
      <c r="U71" s="50" t="s">
        <v>1024</v>
      </c>
      <c r="V71" s="50" t="s">
        <v>1025</v>
      </c>
      <c r="W71" s="50"/>
      <c r="X71" s="86"/>
      <c r="Y71" s="6"/>
    </row>
    <row r="72" spans="1:25" x14ac:dyDescent="0.4">
      <c r="C72" s="82"/>
      <c r="D72" s="53"/>
      <c r="E72" s="53"/>
      <c r="F72" s="54"/>
      <c r="H72" s="52"/>
      <c r="I72" s="53"/>
      <c r="J72" s="53"/>
      <c r="K72" s="54"/>
      <c r="N72" s="25">
        <v>45925</v>
      </c>
      <c r="O72" s="26">
        <v>0.18211805555555549</v>
      </c>
      <c r="P72" s="50" t="s">
        <v>1073</v>
      </c>
      <c r="Q72" s="50" t="s">
        <v>1218</v>
      </c>
      <c r="R72" s="50" t="s">
        <v>1054</v>
      </c>
      <c r="S72" s="50" t="s">
        <v>1219</v>
      </c>
      <c r="T72" s="50">
        <v>635</v>
      </c>
      <c r="U72" s="50" t="s">
        <v>1024</v>
      </c>
      <c r="V72" s="50" t="s">
        <v>1216</v>
      </c>
      <c r="W72" s="50"/>
      <c r="X72" s="86"/>
      <c r="Y72" s="6"/>
    </row>
    <row r="73" spans="1:25" x14ac:dyDescent="0.4">
      <c r="A73" s="3" t="s">
        <v>926</v>
      </c>
      <c r="H73" s="52"/>
      <c r="I73" s="53"/>
      <c r="J73" s="53"/>
      <c r="K73" s="54"/>
      <c r="N73" s="25">
        <v>45925</v>
      </c>
      <c r="O73" s="26">
        <v>0.25342592592592589</v>
      </c>
      <c r="P73" s="50" t="s">
        <v>1073</v>
      </c>
      <c r="Q73" s="50" t="s">
        <v>1117</v>
      </c>
      <c r="R73" s="50" t="s">
        <v>1054</v>
      </c>
      <c r="S73" s="50" t="s">
        <v>1118</v>
      </c>
      <c r="T73" s="50">
        <v>5708122</v>
      </c>
      <c r="U73" s="50" t="s">
        <v>1024</v>
      </c>
      <c r="V73" s="50" t="s">
        <v>1036</v>
      </c>
      <c r="W73" s="50"/>
      <c r="X73" s="86"/>
      <c r="Y73" s="6"/>
    </row>
    <row r="74" spans="1:25" ht="18" thickBot="1" x14ac:dyDescent="0.45">
      <c r="A74" s="31" t="s">
        <v>900</v>
      </c>
      <c r="B74" s="31" t="s">
        <v>901</v>
      </c>
      <c r="C74" s="61" t="s">
        <v>22</v>
      </c>
      <c r="D74" s="62"/>
      <c r="E74" s="31" t="s">
        <v>977</v>
      </c>
      <c r="F74" s="31" t="s">
        <v>981</v>
      </c>
      <c r="G74" s="31" t="s">
        <v>945</v>
      </c>
      <c r="H74" s="60" t="s">
        <v>0</v>
      </c>
      <c r="I74" s="31" t="s">
        <v>980</v>
      </c>
      <c r="J74" s="53"/>
      <c r="K74" s="54"/>
      <c r="N74" s="25">
        <v>45925</v>
      </c>
      <c r="O74" s="26">
        <v>0.34427083333333341</v>
      </c>
      <c r="P74" s="50" t="s">
        <v>1020</v>
      </c>
      <c r="Q74" s="50" t="s">
        <v>1026</v>
      </c>
      <c r="R74" s="50" t="s">
        <v>1027</v>
      </c>
      <c r="S74" s="50" t="s">
        <v>1143</v>
      </c>
      <c r="T74" s="50">
        <v>-13900</v>
      </c>
      <c r="U74" s="50" t="s">
        <v>1024</v>
      </c>
      <c r="V74" s="50" t="s">
        <v>1025</v>
      </c>
      <c r="W74" s="50"/>
      <c r="X74" s="86"/>
      <c r="Y74" s="6"/>
    </row>
    <row r="75" spans="1:25" ht="18" thickTop="1" x14ac:dyDescent="0.4">
      <c r="A75" s="7">
        <f>$L$1</f>
        <v>202509</v>
      </c>
      <c r="B75" s="7">
        <v>1</v>
      </c>
      <c r="C75" s="69" t="s">
        <v>4</v>
      </c>
      <c r="D75" s="70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5543000</v>
      </c>
      <c r="F75" s="41">
        <f t="shared" ref="F75:F80" ca="1" si="11">INDIRECT($J$1&amp;"!H"&amp;ROW())</f>
        <v>55199</v>
      </c>
      <c r="G75" s="41">
        <f t="shared" ref="G75:G80" ca="1" si="12">H75-F75</f>
        <v>5652923</v>
      </c>
      <c r="H75" s="58">
        <f t="shared" ref="H75:H80" si="13">SUMIFS($T$3:$T$235,$P$3:$P$235,"수입",$Q$3:$Q$235,C75)</f>
        <v>5708122</v>
      </c>
      <c r="I75" s="43">
        <f t="shared" ref="I75:I80" si="14">H75-E75</f>
        <v>165122</v>
      </c>
      <c r="N75" s="25">
        <v>45925</v>
      </c>
      <c r="O75" s="26">
        <v>0.40781250000000002</v>
      </c>
      <c r="P75" s="50" t="s">
        <v>1020</v>
      </c>
      <c r="Q75" s="50" t="s">
        <v>1026</v>
      </c>
      <c r="R75" s="50" t="s">
        <v>1141</v>
      </c>
      <c r="S75" s="50" t="s">
        <v>1142</v>
      </c>
      <c r="T75" s="50">
        <v>-130000</v>
      </c>
      <c r="U75" s="50" t="s">
        <v>1024</v>
      </c>
      <c r="V75" s="50" t="s">
        <v>1036</v>
      </c>
      <c r="W75" s="50"/>
      <c r="X75" s="86"/>
      <c r="Y75" s="6"/>
    </row>
    <row r="76" spans="1:25" x14ac:dyDescent="0.4">
      <c r="A76" s="4">
        <f t="shared" ref="A76:A80" si="15">$L$1</f>
        <v>202509</v>
      </c>
      <c r="B76" s="4">
        <f>B75+1</f>
        <v>2</v>
      </c>
      <c r="C76" s="74" t="s">
        <v>975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55199</v>
      </c>
      <c r="F76" s="41">
        <f t="shared" ca="1" si="11"/>
        <v>0</v>
      </c>
      <c r="G76" s="41">
        <f t="shared" ca="1" si="12"/>
        <v>55199</v>
      </c>
      <c r="H76" s="58">
        <f t="shared" si="13"/>
        <v>55199</v>
      </c>
      <c r="I76" s="43">
        <f t="shared" si="14"/>
        <v>0</v>
      </c>
      <c r="N76" s="25">
        <v>45925</v>
      </c>
      <c r="O76" s="26">
        <v>0.40781250000000002</v>
      </c>
      <c r="P76" s="50" t="s">
        <v>1020</v>
      </c>
      <c r="Q76" s="50" t="s">
        <v>1026</v>
      </c>
      <c r="R76" s="50" t="s">
        <v>1139</v>
      </c>
      <c r="S76" s="50" t="s">
        <v>1140</v>
      </c>
      <c r="T76" s="50">
        <v>-100000</v>
      </c>
      <c r="U76" s="50" t="s">
        <v>1024</v>
      </c>
      <c r="V76" s="50" t="s">
        <v>1036</v>
      </c>
      <c r="W76" s="50"/>
      <c r="X76" s="86"/>
      <c r="Y76" s="6"/>
    </row>
    <row r="77" spans="1:25" x14ac:dyDescent="0.4">
      <c r="A77" s="4">
        <f t="shared" si="15"/>
        <v>202509</v>
      </c>
      <c r="B77" s="4">
        <f>B76+1</f>
        <v>3</v>
      </c>
      <c r="C77" s="74" t="s">
        <v>11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21053</v>
      </c>
      <c r="G77" s="41">
        <f t="shared" ca="1" si="12"/>
        <v>-21053</v>
      </c>
      <c r="H77" s="58">
        <f t="shared" si="13"/>
        <v>0</v>
      </c>
      <c r="I77" s="43">
        <f t="shared" si="14"/>
        <v>0</v>
      </c>
      <c r="N77" s="25">
        <v>45925</v>
      </c>
      <c r="O77" s="26">
        <v>0.4205902777777778</v>
      </c>
      <c r="P77" s="50" t="s">
        <v>1020</v>
      </c>
      <c r="Q77" s="50" t="s">
        <v>1026</v>
      </c>
      <c r="R77" s="50" t="s">
        <v>1137</v>
      </c>
      <c r="S77" s="50" t="s">
        <v>1138</v>
      </c>
      <c r="T77" s="50">
        <v>-100000</v>
      </c>
      <c r="U77" s="50" t="s">
        <v>1024</v>
      </c>
      <c r="V77" s="50" t="s">
        <v>1036</v>
      </c>
      <c r="W77" s="50"/>
      <c r="X77" s="86"/>
      <c r="Y77" s="6"/>
    </row>
    <row r="78" spans="1:25" x14ac:dyDescent="0.4">
      <c r="A78" s="4">
        <f t="shared" si="15"/>
        <v>202509</v>
      </c>
      <c r="B78" s="4">
        <f>B77+1</f>
        <v>4</v>
      </c>
      <c r="C78" s="74" t="s">
        <v>976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1</v>
      </c>
      <c r="G78" s="41">
        <f t="shared" ca="1" si="12"/>
        <v>19028</v>
      </c>
      <c r="H78" s="58">
        <f t="shared" si="13"/>
        <v>19029</v>
      </c>
      <c r="I78" s="43">
        <f t="shared" si="14"/>
        <v>19029</v>
      </c>
      <c r="N78" s="25">
        <v>45925</v>
      </c>
      <c r="O78" s="26">
        <v>0.63810185185185186</v>
      </c>
      <c r="P78" s="50" t="s">
        <v>1020</v>
      </c>
      <c r="Q78" s="50" t="s">
        <v>1026</v>
      </c>
      <c r="R78" s="50" t="s">
        <v>1115</v>
      </c>
      <c r="S78" s="50" t="s">
        <v>1136</v>
      </c>
      <c r="T78" s="50">
        <v>-62690</v>
      </c>
      <c r="U78" s="50" t="s">
        <v>1024</v>
      </c>
      <c r="V78" s="50" t="s">
        <v>1025</v>
      </c>
      <c r="W78" s="50"/>
      <c r="X78" s="86"/>
      <c r="Y78" s="6"/>
    </row>
    <row r="79" spans="1:25" x14ac:dyDescent="0.4">
      <c r="A79" s="4">
        <f t="shared" si="15"/>
        <v>202509</v>
      </c>
      <c r="B79" s="4">
        <f>B78+1</f>
        <v>5</v>
      </c>
      <c r="C79" s="74" t="s">
        <v>5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325000</v>
      </c>
      <c r="G79" s="41">
        <f t="shared" ca="1" si="12"/>
        <v>-324999</v>
      </c>
      <c r="H79" s="58">
        <f t="shared" si="13"/>
        <v>1</v>
      </c>
      <c r="I79" s="43">
        <f t="shared" si="14"/>
        <v>1</v>
      </c>
      <c r="N79" s="25">
        <v>45925</v>
      </c>
      <c r="O79" s="26">
        <v>0.81365740740740744</v>
      </c>
      <c r="P79" s="50" t="s">
        <v>1020</v>
      </c>
      <c r="Q79" s="50" t="s">
        <v>1026</v>
      </c>
      <c r="R79" s="50" t="s">
        <v>1115</v>
      </c>
      <c r="S79" s="50" t="s">
        <v>1786</v>
      </c>
      <c r="T79" s="50">
        <v>-224943</v>
      </c>
      <c r="U79" s="50" t="s">
        <v>1024</v>
      </c>
      <c r="V79" s="50" t="s">
        <v>1036</v>
      </c>
      <c r="W79" s="50"/>
      <c r="X79" s="86"/>
      <c r="Y79" s="6"/>
    </row>
    <row r="80" spans="1:25" x14ac:dyDescent="0.4">
      <c r="A80" s="4">
        <f t="shared" si="15"/>
        <v>202509</v>
      </c>
      <c r="B80" s="4">
        <f>B79+1</f>
        <v>6</v>
      </c>
      <c r="C80" s="105" t="s">
        <v>2</v>
      </c>
      <c r="D80" s="75"/>
      <c r="E80" s="23">
        <f>SUMIFS('수입&amp;예산'!$C$4:$C$11,'수입&amp;예산'!$A$4:$A$11,C80,'수입&amp;예산'!$D$4:$D$11,"M")*10000+SUMIFS('수입&amp;예산'!$C$4:$C$11,'수입&amp;예산'!$A$4:$A$11,C80,'수입&amp;예산'!$D$4:$D$11,"Y",'수입&amp;예산'!$E$4:$E$11,$L$1)*10000</f>
        <v>0</v>
      </c>
      <c r="F80" s="41">
        <f t="shared" ca="1" si="11"/>
        <v>6294894</v>
      </c>
      <c r="G80" s="41">
        <f t="shared" ca="1" si="12"/>
        <v>-6294894</v>
      </c>
      <c r="H80" s="58">
        <f t="shared" si="13"/>
        <v>0</v>
      </c>
      <c r="I80" s="43">
        <f t="shared" si="14"/>
        <v>0</v>
      </c>
      <c r="N80" s="25">
        <v>45925</v>
      </c>
      <c r="O80" s="26">
        <v>0.82791666666666663</v>
      </c>
      <c r="P80" s="50" t="s">
        <v>1020</v>
      </c>
      <c r="Q80" s="50" t="s">
        <v>1148</v>
      </c>
      <c r="R80" s="50" t="s">
        <v>1149</v>
      </c>
      <c r="S80" s="50" t="s">
        <v>1150</v>
      </c>
      <c r="T80" s="50">
        <v>-886434</v>
      </c>
      <c r="U80" s="50" t="s">
        <v>1024</v>
      </c>
      <c r="V80" s="50" t="s">
        <v>1036</v>
      </c>
      <c r="W80" s="50"/>
      <c r="X80" s="86"/>
      <c r="Y80" s="6"/>
    </row>
    <row r="81" spans="1:25" x14ac:dyDescent="0.4">
      <c r="A81" s="71" t="s">
        <v>14</v>
      </c>
      <c r="B81" s="72"/>
      <c r="C81" s="72"/>
      <c r="D81" s="73"/>
      <c r="E81" s="56">
        <f>SUM(E75:E80)</f>
        <v>5598199</v>
      </c>
      <c r="F81" s="56">
        <f ca="1">SUM(F75:F80)</f>
        <v>6696147</v>
      </c>
      <c r="G81" s="57">
        <f ca="1">SUM(G75:G80)</f>
        <v>-913796</v>
      </c>
      <c r="H81" s="59">
        <f>SUM(H75:H80)</f>
        <v>5782351</v>
      </c>
      <c r="I81" s="43">
        <f>SUM(I75:I80)</f>
        <v>184152</v>
      </c>
      <c r="N81" s="25">
        <v>45926</v>
      </c>
      <c r="O81" s="26">
        <v>0.2344097222222222</v>
      </c>
      <c r="P81" s="50" t="s">
        <v>1073</v>
      </c>
      <c r="Q81" s="50" t="s">
        <v>1218</v>
      </c>
      <c r="R81" s="50" t="s">
        <v>1054</v>
      </c>
      <c r="S81" s="50" t="s">
        <v>1219</v>
      </c>
      <c r="T81" s="50">
        <v>635</v>
      </c>
      <c r="U81" s="50" t="s">
        <v>1024</v>
      </c>
      <c r="V81" s="50" t="s">
        <v>1216</v>
      </c>
      <c r="W81" s="50"/>
      <c r="X81" s="86"/>
      <c r="Y81" s="4"/>
    </row>
    <row r="82" spans="1:25" x14ac:dyDescent="0.4">
      <c r="N82" s="25">
        <v>45927</v>
      </c>
      <c r="O82" s="26">
        <v>0.2343402777777778</v>
      </c>
      <c r="P82" s="50" t="s">
        <v>1073</v>
      </c>
      <c r="Q82" s="50" t="s">
        <v>1218</v>
      </c>
      <c r="R82" s="50" t="s">
        <v>1054</v>
      </c>
      <c r="S82" s="50" t="s">
        <v>1219</v>
      </c>
      <c r="T82" s="50">
        <v>635</v>
      </c>
      <c r="U82" s="50" t="s">
        <v>1024</v>
      </c>
      <c r="V82" s="50" t="s">
        <v>1216</v>
      </c>
      <c r="W82" s="50"/>
      <c r="X82" s="86"/>
      <c r="Y82" s="4"/>
    </row>
    <row r="83" spans="1:25" x14ac:dyDescent="0.4">
      <c r="N83" s="25">
        <v>45927</v>
      </c>
      <c r="O83" s="26">
        <v>0.45225694444444442</v>
      </c>
      <c r="P83" s="50" t="s">
        <v>1020</v>
      </c>
      <c r="Q83" s="50" t="s">
        <v>1029</v>
      </c>
      <c r="R83" s="50" t="s">
        <v>1030</v>
      </c>
      <c r="S83" s="50" t="s">
        <v>1031</v>
      </c>
      <c r="T83" s="50">
        <v>-18350</v>
      </c>
      <c r="U83" s="50" t="s">
        <v>1024</v>
      </c>
      <c r="V83" s="50" t="s">
        <v>1025</v>
      </c>
      <c r="W83" s="50" t="s">
        <v>1787</v>
      </c>
      <c r="X83" s="86"/>
      <c r="Y83" s="4"/>
    </row>
    <row r="84" spans="1:25" x14ac:dyDescent="0.4">
      <c r="N84" s="25">
        <v>45927</v>
      </c>
      <c r="O84" s="26">
        <v>0.53559027777777779</v>
      </c>
      <c r="P84" s="50" t="s">
        <v>1020</v>
      </c>
      <c r="Q84" s="50" t="s">
        <v>1029</v>
      </c>
      <c r="R84" s="50" t="s">
        <v>1030</v>
      </c>
      <c r="S84" s="50" t="s">
        <v>1031</v>
      </c>
      <c r="T84" s="50">
        <v>-14980</v>
      </c>
      <c r="U84" s="50" t="s">
        <v>1024</v>
      </c>
      <c r="V84" s="50" t="s">
        <v>1025</v>
      </c>
      <c r="W84" s="50" t="s">
        <v>1788</v>
      </c>
      <c r="X84" s="86"/>
      <c r="Y84" s="4"/>
    </row>
    <row r="85" spans="1:25" x14ac:dyDescent="0.4">
      <c r="N85" s="25">
        <v>45927</v>
      </c>
      <c r="O85" s="26">
        <v>0.65604166666666663</v>
      </c>
      <c r="P85" s="50" t="s">
        <v>1020</v>
      </c>
      <c r="Q85" s="50" t="s">
        <v>1029</v>
      </c>
      <c r="R85" s="50" t="s">
        <v>1030</v>
      </c>
      <c r="S85" s="50" t="s">
        <v>1031</v>
      </c>
      <c r="T85" s="50">
        <v>-4730</v>
      </c>
      <c r="U85" s="50" t="s">
        <v>1024</v>
      </c>
      <c r="V85" s="50" t="s">
        <v>1025</v>
      </c>
      <c r="W85" s="50" t="s">
        <v>1789</v>
      </c>
      <c r="X85" s="86"/>
      <c r="Y85" s="4"/>
    </row>
    <row r="86" spans="1:25" x14ac:dyDescent="0.4">
      <c r="N86" s="25">
        <v>45928</v>
      </c>
      <c r="O86" s="26">
        <v>0.23427083333333329</v>
      </c>
      <c r="P86" s="50" t="s">
        <v>1073</v>
      </c>
      <c r="Q86" s="50" t="s">
        <v>1218</v>
      </c>
      <c r="R86" s="50" t="s">
        <v>1054</v>
      </c>
      <c r="S86" s="50" t="s">
        <v>1219</v>
      </c>
      <c r="T86" s="50">
        <v>635</v>
      </c>
      <c r="U86" s="50" t="s">
        <v>1024</v>
      </c>
      <c r="V86" s="50" t="s">
        <v>1216</v>
      </c>
      <c r="W86" s="50"/>
      <c r="X86" s="86"/>
      <c r="Y86" s="4"/>
    </row>
    <row r="87" spans="1:25" x14ac:dyDescent="0.4">
      <c r="N87" s="25">
        <v>45929</v>
      </c>
      <c r="O87" s="26">
        <v>0.2348958333333333</v>
      </c>
      <c r="P87" s="50" t="s">
        <v>1073</v>
      </c>
      <c r="Q87" s="50" t="s">
        <v>1218</v>
      </c>
      <c r="R87" s="50" t="s">
        <v>1054</v>
      </c>
      <c r="S87" s="50" t="s">
        <v>1219</v>
      </c>
      <c r="T87" s="50">
        <v>635</v>
      </c>
      <c r="U87" s="50" t="s">
        <v>1024</v>
      </c>
      <c r="V87" s="50" t="s">
        <v>1216</v>
      </c>
      <c r="W87" s="50"/>
      <c r="X87" s="86"/>
      <c r="Y87" s="4"/>
    </row>
    <row r="88" spans="1:25" x14ac:dyDescent="0.4">
      <c r="N88" s="25">
        <v>45929</v>
      </c>
      <c r="O88" s="26">
        <v>0.8182638888888889</v>
      </c>
      <c r="P88" s="50" t="s">
        <v>1020</v>
      </c>
      <c r="Q88" s="50" t="s">
        <v>1029</v>
      </c>
      <c r="R88" s="50" t="s">
        <v>1030</v>
      </c>
      <c r="S88" s="50" t="s">
        <v>1707</v>
      </c>
      <c r="T88" s="50">
        <v>-5500</v>
      </c>
      <c r="U88" s="50" t="s">
        <v>1024</v>
      </c>
      <c r="V88" s="50" t="s">
        <v>1099</v>
      </c>
      <c r="W88" s="50" t="s">
        <v>1790</v>
      </c>
      <c r="X88" s="86"/>
      <c r="Y88" s="4"/>
    </row>
    <row r="89" spans="1:25" x14ac:dyDescent="0.4">
      <c r="N89" s="25">
        <v>45930</v>
      </c>
      <c r="O89" s="26">
        <v>0.1801736111111111</v>
      </c>
      <c r="P89" s="50" t="s">
        <v>1073</v>
      </c>
      <c r="Q89" s="50" t="s">
        <v>1218</v>
      </c>
      <c r="R89" s="50" t="s">
        <v>1054</v>
      </c>
      <c r="S89" s="50" t="s">
        <v>1219</v>
      </c>
      <c r="T89" s="50">
        <v>635</v>
      </c>
      <c r="U89" s="50" t="s">
        <v>1024</v>
      </c>
      <c r="V89" s="50" t="s">
        <v>1216</v>
      </c>
      <c r="W89" s="50"/>
      <c r="X89" s="86"/>
      <c r="Y89" s="4"/>
    </row>
    <row r="90" spans="1:25" x14ac:dyDescent="0.4">
      <c r="N90" s="25">
        <v>45930</v>
      </c>
      <c r="O90" s="26">
        <v>0.48457175925925933</v>
      </c>
      <c r="P90" s="50" t="s">
        <v>1020</v>
      </c>
      <c r="Q90" s="50" t="s">
        <v>1022</v>
      </c>
      <c r="R90" s="50" t="s">
        <v>1032</v>
      </c>
      <c r="S90" s="50" t="s">
        <v>1519</v>
      </c>
      <c r="T90" s="50">
        <v>-31600</v>
      </c>
      <c r="U90" s="50" t="s">
        <v>1024</v>
      </c>
      <c r="V90" s="50" t="s">
        <v>1025</v>
      </c>
      <c r="W90" s="50"/>
      <c r="X90" s="86"/>
      <c r="Y90" s="6"/>
    </row>
    <row r="91" spans="1:25" x14ac:dyDescent="0.4">
      <c r="N91" s="25">
        <v>45930</v>
      </c>
      <c r="O91" s="26">
        <v>0.48758101851851848</v>
      </c>
      <c r="P91" s="50" t="s">
        <v>1020</v>
      </c>
      <c r="Q91" s="50" t="s">
        <v>1022</v>
      </c>
      <c r="R91" s="50" t="s">
        <v>1032</v>
      </c>
      <c r="S91" s="50" t="s">
        <v>1521</v>
      </c>
      <c r="T91" s="50">
        <v>-25800</v>
      </c>
      <c r="U91" s="50" t="s">
        <v>1024</v>
      </c>
      <c r="V91" s="50" t="s">
        <v>1350</v>
      </c>
      <c r="W91" s="50"/>
      <c r="X91" s="86"/>
      <c r="Y91" s="6"/>
    </row>
    <row r="92" spans="1:25" x14ac:dyDescent="0.4">
      <c r="N92" s="25">
        <v>45930</v>
      </c>
      <c r="O92" s="26">
        <v>0.83723379629629635</v>
      </c>
      <c r="P92" s="50" t="s">
        <v>1020</v>
      </c>
      <c r="Q92" s="50" t="s">
        <v>1029</v>
      </c>
      <c r="R92" s="50" t="s">
        <v>1030</v>
      </c>
      <c r="S92" s="50" t="s">
        <v>1781</v>
      </c>
      <c r="T92" s="50">
        <v>-6000</v>
      </c>
      <c r="U92" s="50" t="s">
        <v>1024</v>
      </c>
      <c r="V92" s="50" t="s">
        <v>1099</v>
      </c>
      <c r="W92" s="50" t="s">
        <v>1791</v>
      </c>
      <c r="X92" s="86"/>
      <c r="Y92" s="6"/>
    </row>
    <row r="93" spans="1:25" x14ac:dyDescent="0.4">
      <c r="N93" s="25">
        <v>45930</v>
      </c>
      <c r="O93" s="26">
        <v>0.84054398148148146</v>
      </c>
      <c r="P93" s="50" t="s">
        <v>1020</v>
      </c>
      <c r="Q93" s="50" t="s">
        <v>1029</v>
      </c>
      <c r="R93" s="50" t="s">
        <v>1030</v>
      </c>
      <c r="S93" s="50" t="s">
        <v>1561</v>
      </c>
      <c r="T93" s="50">
        <v>-4500</v>
      </c>
      <c r="U93" s="50" t="s">
        <v>1024</v>
      </c>
      <c r="V93" s="50" t="s">
        <v>1025</v>
      </c>
      <c r="W93" s="50" t="s">
        <v>1792</v>
      </c>
      <c r="X93" s="86"/>
      <c r="Y93" s="6"/>
    </row>
    <row r="94" spans="1:25" x14ac:dyDescent="0.4">
      <c r="N94" s="25">
        <v>45930</v>
      </c>
      <c r="O94" s="26">
        <v>0.90982638888888889</v>
      </c>
      <c r="P94" s="50" t="s">
        <v>1020</v>
      </c>
      <c r="Q94" s="50" t="s">
        <v>1022</v>
      </c>
      <c r="R94" s="50" t="s">
        <v>1032</v>
      </c>
      <c r="S94" s="50" t="s">
        <v>1793</v>
      </c>
      <c r="T94" s="50">
        <v>-106688</v>
      </c>
      <c r="U94" s="50" t="s">
        <v>1024</v>
      </c>
      <c r="V94" s="50" t="s">
        <v>1350</v>
      </c>
      <c r="W94" s="50" t="s">
        <v>1794</v>
      </c>
      <c r="X94" s="86"/>
      <c r="Y94" s="6"/>
    </row>
    <row r="95" spans="1:25" x14ac:dyDescent="0.4">
      <c r="N95" s="25"/>
      <c r="O95" s="26"/>
      <c r="P95" s="50"/>
      <c r="Q95" s="50"/>
      <c r="R95" s="50"/>
      <c r="S95" s="50"/>
      <c r="T95" s="50"/>
      <c r="U95" s="50"/>
      <c r="V95" s="50"/>
      <c r="W95" s="50"/>
      <c r="X95" s="86"/>
      <c r="Y95" s="6"/>
    </row>
    <row r="96" spans="1:25" x14ac:dyDescent="0.4">
      <c r="N96" s="25"/>
      <c r="O96" s="26"/>
      <c r="P96" s="50"/>
      <c r="Q96" s="50"/>
      <c r="R96" s="50"/>
      <c r="S96" s="50"/>
      <c r="T96" s="50"/>
      <c r="U96" s="50"/>
      <c r="V96" s="50"/>
      <c r="W96" s="50"/>
      <c r="X96" s="86"/>
      <c r="Y96" s="6"/>
    </row>
    <row r="97" spans="14:25" x14ac:dyDescent="0.4">
      <c r="N97" s="25"/>
      <c r="O97" s="26"/>
      <c r="P97" s="50"/>
      <c r="Q97" s="50"/>
      <c r="R97" s="50"/>
      <c r="S97" s="50"/>
      <c r="T97" s="50"/>
      <c r="U97" s="50"/>
      <c r="V97" s="50"/>
      <c r="W97" s="50"/>
      <c r="X97" s="86"/>
      <c r="Y97" s="6"/>
    </row>
    <row r="98" spans="14:25" x14ac:dyDescent="0.4">
      <c r="N98" s="25"/>
      <c r="O98" s="26"/>
      <c r="P98" s="50"/>
      <c r="Q98" s="50"/>
      <c r="R98" s="50"/>
      <c r="S98" s="50"/>
      <c r="T98" s="50"/>
      <c r="U98" s="50"/>
      <c r="V98" s="50"/>
      <c r="W98" s="50"/>
      <c r="X98" s="86"/>
      <c r="Y98" s="6"/>
    </row>
    <row r="99" spans="14:25" x14ac:dyDescent="0.4">
      <c r="N99" s="25"/>
      <c r="O99" s="26"/>
      <c r="P99" s="50"/>
      <c r="Q99" s="50"/>
      <c r="R99" s="50"/>
      <c r="S99" s="50"/>
      <c r="T99" s="50"/>
      <c r="U99" s="50"/>
      <c r="V99" s="50"/>
      <c r="W99" s="50"/>
      <c r="X99" s="86"/>
      <c r="Y99" s="6"/>
    </row>
    <row r="100" spans="14:25" x14ac:dyDescent="0.4">
      <c r="N100" s="25"/>
      <c r="O100" s="26"/>
      <c r="P100" s="50"/>
      <c r="Q100" s="50"/>
      <c r="R100" s="50"/>
      <c r="S100" s="50"/>
      <c r="T100" s="50"/>
      <c r="U100" s="50"/>
      <c r="V100" s="50"/>
      <c r="W100" s="50"/>
      <c r="X100" s="86"/>
      <c r="Y100" s="6"/>
    </row>
    <row r="101" spans="14:25" x14ac:dyDescent="0.4">
      <c r="N101" s="25"/>
      <c r="O101" s="26"/>
      <c r="P101" s="50"/>
      <c r="Q101" s="50"/>
      <c r="R101" s="50"/>
      <c r="S101" s="50"/>
      <c r="T101" s="50"/>
      <c r="U101" s="50"/>
      <c r="V101" s="50"/>
      <c r="W101" s="50"/>
      <c r="X101" s="86"/>
      <c r="Y101" s="6"/>
    </row>
    <row r="102" spans="14:25" x14ac:dyDescent="0.4">
      <c r="N102" s="25"/>
      <c r="O102" s="26"/>
      <c r="P102" s="50"/>
      <c r="Q102" s="50"/>
      <c r="R102" s="50"/>
      <c r="S102" s="50"/>
      <c r="T102" s="50"/>
      <c r="U102" s="50"/>
      <c r="V102" s="50"/>
      <c r="W102" s="50"/>
      <c r="X102" s="86"/>
      <c r="Y102" s="6"/>
    </row>
    <row r="103" spans="14:25" x14ac:dyDescent="0.4">
      <c r="N103" s="25"/>
      <c r="O103" s="26"/>
      <c r="P103" s="50"/>
      <c r="Q103" s="50"/>
      <c r="R103" s="50"/>
      <c r="S103" s="50"/>
      <c r="T103" s="50"/>
      <c r="U103" s="50"/>
      <c r="V103" s="50"/>
      <c r="W103" s="50"/>
      <c r="X103" s="86"/>
      <c r="Y103" s="6"/>
    </row>
    <row r="104" spans="14:25" x14ac:dyDescent="0.4">
      <c r="N104" s="25"/>
      <c r="O104" s="26"/>
      <c r="P104" s="50"/>
      <c r="Q104" s="50"/>
      <c r="R104" s="50"/>
      <c r="S104" s="50"/>
      <c r="T104" s="50"/>
      <c r="U104" s="50"/>
      <c r="V104" s="50"/>
      <c r="W104" s="50"/>
      <c r="X104" s="86"/>
      <c r="Y104" s="6"/>
    </row>
    <row r="105" spans="14:25" x14ac:dyDescent="0.4">
      <c r="N105" s="25"/>
      <c r="O105" s="26"/>
      <c r="P105" s="50"/>
      <c r="Q105" s="50"/>
      <c r="R105" s="50"/>
      <c r="S105" s="50"/>
      <c r="T105" s="50"/>
      <c r="U105" s="50"/>
      <c r="V105" s="50"/>
      <c r="W105" s="50"/>
      <c r="X105" s="86"/>
      <c r="Y105" s="6"/>
    </row>
    <row r="106" spans="14:25" x14ac:dyDescent="0.4">
      <c r="N106" s="25"/>
      <c r="O106" s="26"/>
      <c r="P106" s="50"/>
      <c r="Q106" s="50"/>
      <c r="R106" s="50"/>
      <c r="S106" s="50"/>
      <c r="T106" s="50"/>
      <c r="U106" s="50"/>
      <c r="V106" s="50"/>
      <c r="W106" s="50"/>
      <c r="X106" s="86"/>
      <c r="Y106" s="6"/>
    </row>
    <row r="107" spans="14:25" x14ac:dyDescent="0.4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</row>
    <row r="108" spans="14:25" x14ac:dyDescent="0.4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6"/>
      <c r="Y108" s="6"/>
    </row>
    <row r="109" spans="14:25" x14ac:dyDescent="0.4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6"/>
      <c r="Y109" s="6"/>
    </row>
    <row r="110" spans="14:25" x14ac:dyDescent="0.4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6"/>
      <c r="Y110" s="6"/>
    </row>
    <row r="111" spans="14:25" x14ac:dyDescent="0.4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"/>
      <c r="Y111" s="6"/>
    </row>
    <row r="112" spans="14:25" x14ac:dyDescent="0.4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6"/>
      <c r="Y112" s="6"/>
    </row>
    <row r="113" spans="14:25" x14ac:dyDescent="0.4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6"/>
      <c r="Y113" s="6"/>
    </row>
    <row r="114" spans="14:25" x14ac:dyDescent="0.4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6"/>
      <c r="Y114" s="6"/>
    </row>
    <row r="115" spans="14:25" x14ac:dyDescent="0.4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6"/>
      <c r="Y115" s="6"/>
    </row>
    <row r="116" spans="14:25" x14ac:dyDescent="0.4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6"/>
      <c r="Y116" s="6"/>
    </row>
    <row r="117" spans="14:25" x14ac:dyDescent="0.4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6"/>
      <c r="Y117" s="6"/>
    </row>
    <row r="118" spans="14:25" x14ac:dyDescent="0.4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/>
    </row>
    <row r="119" spans="14:25" x14ac:dyDescent="0.4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</row>
    <row r="120" spans="14:25" x14ac:dyDescent="0.4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6"/>
      <c r="Y120" s="6"/>
    </row>
    <row r="121" spans="14:25" x14ac:dyDescent="0.4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</row>
    <row r="122" spans="14:25" x14ac:dyDescent="0.4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  <row r="219" spans="14:25" x14ac:dyDescent="0.4"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6"/>
      <c r="Y219" s="6"/>
    </row>
  </sheetData>
  <autoFilter ref="N2:Y106" xr:uid="{11B47028-C17C-47C6-A882-4705ECF29BE6}"/>
  <mergeCells count="3">
    <mergeCell ref="O1:P1"/>
    <mergeCell ref="A19:D19"/>
    <mergeCell ref="I20:J20"/>
  </mergeCells>
  <phoneticPr fontId="2" type="noConversion"/>
  <conditionalFormatting sqref="G75:G81 I75:I81">
    <cfRule type="cellIs" dxfId="39" priority="1" operator="lessThan">
      <formula>0</formula>
    </cfRule>
    <cfRule type="cellIs" dxfId="38" priority="2" operator="greaterThan">
      <formula>0</formula>
    </cfRule>
  </conditionalFormatting>
  <conditionalFormatting sqref="I3:I18">
    <cfRule type="cellIs" dxfId="37" priority="4" operator="greaterThan">
      <formula>0</formula>
    </cfRule>
    <cfRule type="cellIs" dxfId="36" priority="5" operator="lessThan">
      <formula>0</formula>
    </cfRule>
  </conditionalFormatting>
  <conditionalFormatting sqref="K6:K20">
    <cfRule type="cellIs" dxfId="35" priority="3" operator="lessThan">
      <formula>0</formula>
    </cfRule>
  </conditionalFormatting>
  <conditionalFormatting sqref="L3:L20">
    <cfRule type="cellIs" dxfId="34" priority="6" operator="greaterThan">
      <formula>1</formula>
    </cfRule>
    <cfRule type="cellIs" dxfId="33" priority="7" operator="equal">
      <formula>1</formula>
    </cfRule>
    <cfRule type="cellIs" dxfId="32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543E-9FF6-4DEA-8A26-2C784C2C278A}">
  <dimension ref="A1:Y219"/>
  <sheetViews>
    <sheetView topLeftCell="C1" zoomScaleNormal="100" workbookViewId="0">
      <pane ySplit="2" topLeftCell="A27" activePane="bottomLeft" state="frozen"/>
      <selection activeCell="E1" sqref="E1"/>
      <selection pane="bottomLeft" activeCell="K53" sqref="K53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202509</v>
      </c>
      <c r="K1" s="46" t="s">
        <v>923</v>
      </c>
      <c r="L1" s="46">
        <v>202510</v>
      </c>
      <c r="N1" s="27" t="s">
        <v>950</v>
      </c>
      <c r="O1" s="133">
        <f>SUMIF(P3:P235,"지출",T3:T235)</f>
        <v>-5234682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202510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-886434</v>
      </c>
      <c r="I3" s="41">
        <f ca="1">J3-H3</f>
        <v>11838</v>
      </c>
      <c r="J3" s="43">
        <f>VLOOKUP(A3,대출!$B$4:$G$363,3,FALSE)*-1</f>
        <v>-874596</v>
      </c>
      <c r="K3" s="43">
        <f>G3+J3</f>
        <v>25404</v>
      </c>
      <c r="L3" s="24">
        <f>IF(G3=0,0,-J3/G3)</f>
        <v>0.97177333333333338</v>
      </c>
      <c r="N3" s="25">
        <v>45961</v>
      </c>
      <c r="O3" s="26">
        <v>0.71326388888888892</v>
      </c>
      <c r="P3" s="50" t="s">
        <v>1020</v>
      </c>
      <c r="Q3" s="50" t="s">
        <v>1029</v>
      </c>
      <c r="R3" s="50" t="s">
        <v>1030</v>
      </c>
      <c r="S3" s="50" t="s">
        <v>1798</v>
      </c>
      <c r="T3" s="50">
        <v>-2600</v>
      </c>
      <c r="U3" s="50" t="s">
        <v>1024</v>
      </c>
      <c r="V3" s="50" t="s">
        <v>1099</v>
      </c>
      <c r="W3" s="50" t="s">
        <v>1799</v>
      </c>
      <c r="X3" s="86"/>
      <c r="Y3" s="6"/>
    </row>
    <row r="4" spans="1:25" x14ac:dyDescent="0.4">
      <c r="A4" s="4">
        <f t="shared" ref="A4:A18" si="0">$L$1</f>
        <v>202510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SUMIFS($T$3:$T$235,$P$3:$P$235,"지출",$Q$3:$Q$235,C4,$R$3:$R$235,D4)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45961</v>
      </c>
      <c r="O4" s="26">
        <v>0.70819444444444446</v>
      </c>
      <c r="P4" s="50" t="s">
        <v>1020</v>
      </c>
      <c r="Q4" s="50" t="s">
        <v>1029</v>
      </c>
      <c r="R4" s="50" t="s">
        <v>1070</v>
      </c>
      <c r="S4" s="50" t="s">
        <v>1800</v>
      </c>
      <c r="T4" s="50">
        <v>-6259</v>
      </c>
      <c r="U4" s="50" t="s">
        <v>1024</v>
      </c>
      <c r="V4" s="50" t="s">
        <v>1036</v>
      </c>
      <c r="W4" s="50" t="s">
        <v>1801</v>
      </c>
      <c r="X4" s="86"/>
      <c r="Y4" s="4"/>
    </row>
    <row r="5" spans="1:25" x14ac:dyDescent="0.4">
      <c r="A5" s="4">
        <f t="shared" si="0"/>
        <v>202510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-64790</v>
      </c>
      <c r="I5" s="41">
        <f ca="1">J5-H5</f>
        <v>1100</v>
      </c>
      <c r="J5" s="44">
        <f t="shared" si="3"/>
        <v>-63690</v>
      </c>
      <c r="K5" s="44">
        <f t="shared" si="4"/>
        <v>-19690</v>
      </c>
      <c r="L5" s="19">
        <f t="shared" si="5"/>
        <v>1.4475</v>
      </c>
      <c r="N5" s="25">
        <v>45961</v>
      </c>
      <c r="O5" s="26">
        <v>0.68997685185185187</v>
      </c>
      <c r="P5" s="50" t="s">
        <v>1020</v>
      </c>
      <c r="Q5" s="50" t="s">
        <v>1029</v>
      </c>
      <c r="R5" s="50" t="s">
        <v>1045</v>
      </c>
      <c r="S5" s="50" t="s">
        <v>1802</v>
      </c>
      <c r="T5" s="50">
        <v>-42468</v>
      </c>
      <c r="U5" s="50" t="s">
        <v>1024</v>
      </c>
      <c r="V5" s="50" t="s">
        <v>1025</v>
      </c>
      <c r="W5" s="50" t="s">
        <v>1803</v>
      </c>
      <c r="X5" s="86"/>
      <c r="Y5" s="6"/>
    </row>
    <row r="6" spans="1:25" x14ac:dyDescent="0.4">
      <c r="A6" s="4">
        <f t="shared" si="0"/>
        <v>202510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-276920</v>
      </c>
      <c r="I6" s="41">
        <f t="shared" ref="I6:I18" ca="1" si="7">J6-H6</f>
        <v>21630</v>
      </c>
      <c r="J6" s="44">
        <f t="shared" si="3"/>
        <v>-255290</v>
      </c>
      <c r="K6" s="44">
        <f t="shared" si="4"/>
        <v>74710</v>
      </c>
      <c r="L6" s="19">
        <f t="shared" si="5"/>
        <v>0.77360606060606063</v>
      </c>
      <c r="N6" s="25">
        <v>45961</v>
      </c>
      <c r="O6" s="26">
        <v>0.42498842592592601</v>
      </c>
      <c r="P6" s="50" t="s">
        <v>1020</v>
      </c>
      <c r="Q6" s="50" t="s">
        <v>1029</v>
      </c>
      <c r="R6" s="50" t="s">
        <v>1070</v>
      </c>
      <c r="S6" s="50" t="s">
        <v>1071</v>
      </c>
      <c r="T6" s="50">
        <v>-21000</v>
      </c>
      <c r="U6" s="50" t="s">
        <v>1024</v>
      </c>
      <c r="V6" s="50" t="s">
        <v>1025</v>
      </c>
      <c r="W6" s="50" t="s">
        <v>1804</v>
      </c>
      <c r="X6" s="86"/>
      <c r="Y6" s="6"/>
    </row>
    <row r="7" spans="1:25" x14ac:dyDescent="0.4">
      <c r="A7" s="4">
        <f t="shared" si="0"/>
        <v>202510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45961</v>
      </c>
      <c r="O7" s="26">
        <v>0.23881944444444439</v>
      </c>
      <c r="P7" s="50" t="s">
        <v>1073</v>
      </c>
      <c r="Q7" s="50" t="s">
        <v>1218</v>
      </c>
      <c r="R7" s="50" t="s">
        <v>1054</v>
      </c>
      <c r="S7" s="50" t="s">
        <v>1219</v>
      </c>
      <c r="T7" s="50">
        <v>920</v>
      </c>
      <c r="U7" s="50" t="s">
        <v>1024</v>
      </c>
      <c r="V7" s="50" t="s">
        <v>1216</v>
      </c>
      <c r="W7" s="50"/>
      <c r="X7" s="86"/>
      <c r="Y7" s="6"/>
    </row>
    <row r="8" spans="1:25" x14ac:dyDescent="0.4">
      <c r="A8" s="4">
        <f>$L$1</f>
        <v>202510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45960</v>
      </c>
      <c r="O8" s="26">
        <v>0.99274305555555553</v>
      </c>
      <c r="P8" s="50" t="s">
        <v>1020</v>
      </c>
      <c r="Q8" s="50" t="s">
        <v>1047</v>
      </c>
      <c r="R8" s="50" t="s">
        <v>1086</v>
      </c>
      <c r="S8" s="50" t="s">
        <v>1031</v>
      </c>
      <c r="T8" s="50">
        <v>-41600</v>
      </c>
      <c r="U8" s="50" t="s">
        <v>1024</v>
      </c>
      <c r="V8" s="50" t="s">
        <v>1025</v>
      </c>
      <c r="W8" s="50" t="s">
        <v>1805</v>
      </c>
      <c r="X8" s="86"/>
      <c r="Y8" s="6"/>
    </row>
    <row r="9" spans="1:25" x14ac:dyDescent="0.4">
      <c r="A9" s="4">
        <f t="shared" si="0"/>
        <v>202510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45960</v>
      </c>
      <c r="O9" s="26">
        <v>0.9435648148148148</v>
      </c>
      <c r="P9" s="50" t="s">
        <v>1020</v>
      </c>
      <c r="Q9" s="50" t="s">
        <v>1029</v>
      </c>
      <c r="R9" s="50" t="s">
        <v>1045</v>
      </c>
      <c r="S9" s="50" t="s">
        <v>1051</v>
      </c>
      <c r="T9" s="50">
        <v>-37000</v>
      </c>
      <c r="U9" s="50" t="s">
        <v>1024</v>
      </c>
      <c r="V9" s="50" t="s">
        <v>1036</v>
      </c>
      <c r="W9" s="50" t="s">
        <v>1806</v>
      </c>
      <c r="X9" s="86"/>
      <c r="Y9" s="6"/>
    </row>
    <row r="10" spans="1:25" x14ac:dyDescent="0.4">
      <c r="A10" s="4">
        <f t="shared" si="0"/>
        <v>202510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-10000</v>
      </c>
      <c r="I10" s="41">
        <f t="shared" ca="1" si="7"/>
        <v>-20000</v>
      </c>
      <c r="J10" s="44">
        <f t="shared" si="3"/>
        <v>-30000</v>
      </c>
      <c r="K10" s="44">
        <f t="shared" si="4"/>
        <v>130000</v>
      </c>
      <c r="L10" s="19">
        <f t="shared" si="5"/>
        <v>0.1875</v>
      </c>
      <c r="N10" s="25">
        <v>45960</v>
      </c>
      <c r="O10" s="26">
        <v>0.94240740740740736</v>
      </c>
      <c r="P10" s="50" t="s">
        <v>1020</v>
      </c>
      <c r="Q10" s="50" t="s">
        <v>1026</v>
      </c>
      <c r="R10" s="50" t="s">
        <v>1151</v>
      </c>
      <c r="S10" s="50" t="s">
        <v>1639</v>
      </c>
      <c r="T10" s="50">
        <v>-10000</v>
      </c>
      <c r="U10" s="50" t="s">
        <v>1024</v>
      </c>
      <c r="V10" s="50" t="s">
        <v>1025</v>
      </c>
      <c r="W10" s="50"/>
      <c r="X10" s="86"/>
      <c r="Y10" s="6"/>
    </row>
    <row r="11" spans="1:25" x14ac:dyDescent="0.4">
      <c r="A11" s="4">
        <f t="shared" si="0"/>
        <v>202510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45960</v>
      </c>
      <c r="O11" s="26">
        <v>0.92684027777777778</v>
      </c>
      <c r="P11" s="50" t="s">
        <v>1020</v>
      </c>
      <c r="Q11" s="50" t="s">
        <v>1021</v>
      </c>
      <c r="R11" s="50" t="s">
        <v>1022</v>
      </c>
      <c r="S11" s="50" t="s">
        <v>1807</v>
      </c>
      <c r="T11" s="50">
        <v>-35000</v>
      </c>
      <c r="U11" s="50" t="s">
        <v>1024</v>
      </c>
      <c r="V11" s="50" t="s">
        <v>1025</v>
      </c>
      <c r="W11" s="50" t="s">
        <v>1808</v>
      </c>
      <c r="X11" s="86"/>
      <c r="Y11" s="6"/>
    </row>
    <row r="12" spans="1:25" x14ac:dyDescent="0.4">
      <c r="A12" s="4">
        <f t="shared" si="0"/>
        <v>202510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-372360</v>
      </c>
      <c r="I12" s="41">
        <f t="shared" ca="1" si="7"/>
        <v>-706875</v>
      </c>
      <c r="J12" s="44">
        <f t="shared" ref="J12:J18" si="8">SUMIFS($T$3:$T$235,$P$3:$P$235,"지출",$Q$3:$Q$235,C12)</f>
        <v>-1079235</v>
      </c>
      <c r="K12" s="45">
        <f t="shared" si="4"/>
        <v>-729235</v>
      </c>
      <c r="L12" s="19">
        <f t="shared" si="5"/>
        <v>3.0835285714285714</v>
      </c>
      <c r="N12" s="25">
        <v>45960</v>
      </c>
      <c r="O12" s="26">
        <v>0.23776620370370369</v>
      </c>
      <c r="P12" s="50" t="s">
        <v>1073</v>
      </c>
      <c r="Q12" s="50" t="s">
        <v>1218</v>
      </c>
      <c r="R12" s="50" t="s">
        <v>1054</v>
      </c>
      <c r="S12" s="50" t="s">
        <v>1219</v>
      </c>
      <c r="T12" s="50">
        <v>920</v>
      </c>
      <c r="U12" s="50" t="s">
        <v>1024</v>
      </c>
      <c r="V12" s="50" t="s">
        <v>1216</v>
      </c>
      <c r="W12" s="50"/>
      <c r="X12" s="86"/>
      <c r="Y12" s="6"/>
    </row>
    <row r="13" spans="1:25" x14ac:dyDescent="0.4">
      <c r="A13" s="4">
        <f t="shared" si="0"/>
        <v>202510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158100</v>
      </c>
      <c r="G13" s="18">
        <f t="shared" si="1"/>
        <v>158100</v>
      </c>
      <c r="H13" s="41">
        <f t="shared" ca="1" si="2"/>
        <v>0</v>
      </c>
      <c r="I13" s="41">
        <f t="shared" ca="1" si="7"/>
        <v>-158100</v>
      </c>
      <c r="J13" s="44">
        <f t="shared" si="8"/>
        <v>-158100</v>
      </c>
      <c r="K13" s="44">
        <f t="shared" si="4"/>
        <v>0</v>
      </c>
      <c r="L13" s="19">
        <f t="shared" si="5"/>
        <v>1</v>
      </c>
      <c r="N13" s="25">
        <v>45959</v>
      </c>
      <c r="O13" s="26">
        <v>0.77223379629629629</v>
      </c>
      <c r="P13" s="50" t="s">
        <v>1020</v>
      </c>
      <c r="Q13" s="50" t="s">
        <v>1029</v>
      </c>
      <c r="R13" s="50" t="s">
        <v>1070</v>
      </c>
      <c r="S13" s="50" t="s">
        <v>1809</v>
      </c>
      <c r="T13" s="50">
        <v>-9500</v>
      </c>
      <c r="U13" s="50" t="s">
        <v>1024</v>
      </c>
      <c r="V13" s="50" t="s">
        <v>1036</v>
      </c>
      <c r="W13" s="50" t="s">
        <v>1810</v>
      </c>
      <c r="X13" s="86"/>
      <c r="Y13" s="6"/>
    </row>
    <row r="14" spans="1:25" x14ac:dyDescent="0.4">
      <c r="A14" s="4">
        <f t="shared" si="0"/>
        <v>202510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595200</v>
      </c>
      <c r="G14" s="18">
        <f t="shared" si="1"/>
        <v>595200</v>
      </c>
      <c r="H14" s="41">
        <f ca="1">INDIRECT($J$1&amp;"!J"&amp;ROW())</f>
        <v>-182088</v>
      </c>
      <c r="I14" s="41">
        <f t="shared" ca="1" si="7"/>
        <v>-413112</v>
      </c>
      <c r="J14" s="44">
        <f t="shared" si="8"/>
        <v>-595200</v>
      </c>
      <c r="K14" s="44">
        <f t="shared" si="4"/>
        <v>0</v>
      </c>
      <c r="L14" s="19">
        <f t="shared" si="5"/>
        <v>1</v>
      </c>
      <c r="N14" s="25">
        <v>45959</v>
      </c>
      <c r="O14" s="26">
        <v>0.75975694444444442</v>
      </c>
      <c r="P14" s="50" t="s">
        <v>1020</v>
      </c>
      <c r="Q14" s="50" t="s">
        <v>1029</v>
      </c>
      <c r="R14" s="50" t="s">
        <v>1070</v>
      </c>
      <c r="S14" s="50" t="s">
        <v>1811</v>
      </c>
      <c r="T14" s="50">
        <v>-22000</v>
      </c>
      <c r="U14" s="50" t="s">
        <v>1024</v>
      </c>
      <c r="V14" s="50" t="s">
        <v>1099</v>
      </c>
      <c r="W14" s="50"/>
      <c r="X14" s="86"/>
      <c r="Y14" s="6"/>
    </row>
    <row r="15" spans="1:25" x14ac:dyDescent="0.4">
      <c r="A15" s="4">
        <f t="shared" si="0"/>
        <v>202510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-203800</v>
      </c>
      <c r="I15" s="41">
        <f t="shared" ca="1" si="7"/>
        <v>53000</v>
      </c>
      <c r="J15" s="44">
        <f t="shared" si="8"/>
        <v>-150800</v>
      </c>
      <c r="K15" s="44">
        <f t="shared" si="4"/>
        <v>-150800</v>
      </c>
      <c r="L15" s="19">
        <f t="shared" si="5"/>
        <v>0</v>
      </c>
      <c r="N15" s="25">
        <v>45959</v>
      </c>
      <c r="O15" s="26">
        <v>0.23754629629629631</v>
      </c>
      <c r="P15" s="50" t="s">
        <v>1073</v>
      </c>
      <c r="Q15" s="50" t="s">
        <v>1218</v>
      </c>
      <c r="R15" s="50" t="s">
        <v>1054</v>
      </c>
      <c r="S15" s="50" t="s">
        <v>1219</v>
      </c>
      <c r="T15" s="50">
        <v>920</v>
      </c>
      <c r="U15" s="50" t="s">
        <v>1024</v>
      </c>
      <c r="V15" s="50" t="s">
        <v>1216</v>
      </c>
      <c r="W15" s="50"/>
      <c r="X15" s="86"/>
      <c r="Y15" s="6"/>
    </row>
    <row r="16" spans="1:25" x14ac:dyDescent="0.4">
      <c r="A16" s="4">
        <f t="shared" si="0"/>
        <v>202510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-211230</v>
      </c>
      <c r="I16" s="41">
        <f t="shared" ca="1" si="7"/>
        <v>101230</v>
      </c>
      <c r="J16" s="44">
        <f t="shared" si="8"/>
        <v>-110000</v>
      </c>
      <c r="K16" s="44">
        <f t="shared" si="4"/>
        <v>-110000</v>
      </c>
      <c r="L16" s="19">
        <f t="shared" si="5"/>
        <v>0</v>
      </c>
      <c r="N16" s="25">
        <v>45958</v>
      </c>
      <c r="O16" s="26">
        <v>0.90387731481481481</v>
      </c>
      <c r="P16" s="50" t="s">
        <v>1020</v>
      </c>
      <c r="Q16" s="50" t="s">
        <v>1026</v>
      </c>
      <c r="R16" s="50" t="s">
        <v>1151</v>
      </c>
      <c r="S16" s="50" t="s">
        <v>1639</v>
      </c>
      <c r="T16" s="50">
        <v>-10000</v>
      </c>
      <c r="U16" s="50" t="s">
        <v>1024</v>
      </c>
      <c r="V16" s="50" t="s">
        <v>1025</v>
      </c>
      <c r="W16" s="50"/>
      <c r="X16" s="86"/>
      <c r="Y16" s="6"/>
    </row>
    <row r="17" spans="1:25" x14ac:dyDescent="0.4">
      <c r="A17" s="4">
        <f t="shared" si="0"/>
        <v>202510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-314550</v>
      </c>
      <c r="I17" s="41">
        <f t="shared" ca="1" si="7"/>
        <v>314550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45958</v>
      </c>
      <c r="O17" s="26">
        <v>0.74346064814814816</v>
      </c>
      <c r="P17" s="50" t="s">
        <v>1020</v>
      </c>
      <c r="Q17" s="50" t="s">
        <v>1047</v>
      </c>
      <c r="R17" s="50" t="s">
        <v>1086</v>
      </c>
      <c r="S17" s="50" t="s">
        <v>1122</v>
      </c>
      <c r="T17" s="50">
        <v>-99000</v>
      </c>
      <c r="U17" s="50" t="s">
        <v>1024</v>
      </c>
      <c r="V17" s="50" t="s">
        <v>1350</v>
      </c>
      <c r="W17" s="50" t="s">
        <v>1812</v>
      </c>
      <c r="X17" s="86"/>
      <c r="Y17" s="6"/>
    </row>
    <row r="18" spans="1:25" x14ac:dyDescent="0.4">
      <c r="A18" s="4">
        <f t="shared" si="0"/>
        <v>202510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1264116</v>
      </c>
      <c r="G18" s="18">
        <f t="shared" si="1"/>
        <v>1614116</v>
      </c>
      <c r="H18" s="41">
        <f t="shared" ca="1" si="2"/>
        <v>-186329</v>
      </c>
      <c r="I18" s="41">
        <f t="shared" ca="1" si="7"/>
        <v>-1077787</v>
      </c>
      <c r="J18" s="44">
        <f t="shared" si="8"/>
        <v>-1264116</v>
      </c>
      <c r="K18" s="44">
        <f t="shared" si="4"/>
        <v>350000</v>
      </c>
      <c r="L18" s="19">
        <f t="shared" si="5"/>
        <v>0.78316304404392245</v>
      </c>
      <c r="N18" s="25">
        <v>45958</v>
      </c>
      <c r="O18" s="26">
        <v>0.18365740740740741</v>
      </c>
      <c r="P18" s="50" t="s">
        <v>1073</v>
      </c>
      <c r="Q18" s="50" t="s">
        <v>1218</v>
      </c>
      <c r="R18" s="50" t="s">
        <v>1054</v>
      </c>
      <c r="S18" s="50" t="s">
        <v>1219</v>
      </c>
      <c r="T18" s="50">
        <v>920</v>
      </c>
      <c r="U18" s="50" t="s">
        <v>1024</v>
      </c>
      <c r="V18" s="50" t="s">
        <v>1216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2017416</v>
      </c>
      <c r="G19" s="20">
        <f t="shared" si="9"/>
        <v>4842416</v>
      </c>
      <c r="H19" s="42">
        <f t="shared" ca="1" si="9"/>
        <v>-3362156</v>
      </c>
      <c r="I19" s="42">
        <f t="shared" ca="1" si="9"/>
        <v>-1872526</v>
      </c>
      <c r="J19" s="45">
        <f t="shared" si="9"/>
        <v>-5234682</v>
      </c>
      <c r="K19" s="45">
        <f t="shared" si="9"/>
        <v>-392266</v>
      </c>
      <c r="L19" s="21">
        <f>IF(G19=0,0,-J19/G19)</f>
        <v>1.0810062580331801</v>
      </c>
      <c r="N19" s="25">
        <v>45957</v>
      </c>
      <c r="O19" s="26">
        <v>0.84760416666666671</v>
      </c>
      <c r="P19" s="50" t="s">
        <v>1053</v>
      </c>
      <c r="Q19" s="50" t="s">
        <v>1053</v>
      </c>
      <c r="R19" s="50" t="s">
        <v>1054</v>
      </c>
      <c r="S19" s="50" t="s">
        <v>1215</v>
      </c>
      <c r="T19" s="50">
        <v>500000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-2409682</v>
      </c>
      <c r="L20" s="22">
        <f>IF(E19=0,0,-J19/E19)</f>
        <v>1.852984778761062</v>
      </c>
      <c r="N20" s="25">
        <v>45957</v>
      </c>
      <c r="O20" s="26">
        <v>0.84760416666666671</v>
      </c>
      <c r="P20" s="50" t="s">
        <v>1053</v>
      </c>
      <c r="Q20" s="50" t="s">
        <v>1053</v>
      </c>
      <c r="R20" s="50" t="s">
        <v>1054</v>
      </c>
      <c r="S20" s="50" t="s">
        <v>1217</v>
      </c>
      <c r="T20" s="50">
        <v>-500000</v>
      </c>
      <c r="U20" s="50" t="s">
        <v>1024</v>
      </c>
      <c r="V20" s="50" t="s">
        <v>1214</v>
      </c>
      <c r="W20" s="50"/>
      <c r="X20" s="86"/>
      <c r="Y20" s="6"/>
    </row>
    <row r="21" spans="1:25" x14ac:dyDescent="0.4">
      <c r="N21" s="25">
        <v>45957</v>
      </c>
      <c r="O21" s="26">
        <v>0.84745370370370365</v>
      </c>
      <c r="P21" s="50" t="s">
        <v>1053</v>
      </c>
      <c r="Q21" s="50" t="s">
        <v>1053</v>
      </c>
      <c r="R21" s="50" t="s">
        <v>1054</v>
      </c>
      <c r="S21" s="50" t="s">
        <v>1330</v>
      </c>
      <c r="T21" s="50">
        <v>-500000</v>
      </c>
      <c r="U21" s="50" t="s">
        <v>1024</v>
      </c>
      <c r="V21" s="50" t="s">
        <v>1036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45957</v>
      </c>
      <c r="O22" s="26">
        <v>0.84745370370370365</v>
      </c>
      <c r="P22" s="50" t="s">
        <v>1053</v>
      </c>
      <c r="Q22" s="50" t="s">
        <v>1053</v>
      </c>
      <c r="R22" s="50" t="s">
        <v>1054</v>
      </c>
      <c r="S22" s="50" t="s">
        <v>1103</v>
      </c>
      <c r="T22" s="50">
        <v>500000</v>
      </c>
      <c r="U22" s="50" t="s">
        <v>1024</v>
      </c>
      <c r="V22" s="50" t="s">
        <v>1214</v>
      </c>
      <c r="W22" s="50"/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SUMIFS($T$3:$T$235,$P$3:$P$235,"지출",$Q$3:$Q$235,C23,$R$3:$R$235,D23)</f>
        <v>-159970</v>
      </c>
      <c r="N23" s="25">
        <v>45957</v>
      </c>
      <c r="O23" s="26">
        <v>0.84666666666666668</v>
      </c>
      <c r="P23" s="50" t="s">
        <v>1053</v>
      </c>
      <c r="Q23" s="50" t="s">
        <v>1054</v>
      </c>
      <c r="R23" s="50" t="s">
        <v>1054</v>
      </c>
      <c r="S23" s="50" t="s">
        <v>1103</v>
      </c>
      <c r="T23" s="50">
        <v>-1100000</v>
      </c>
      <c r="U23" s="50" t="s">
        <v>1024</v>
      </c>
      <c r="V23" s="50" t="s">
        <v>1214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SUMIFS($T$3:$T$235,$P$3:$P$235,"지출",$Q$3:$Q$235,C24,$R$3:$R$235,D24)</f>
        <v>-278812</v>
      </c>
      <c r="N24" s="25">
        <v>45957</v>
      </c>
      <c r="O24" s="26">
        <v>0.84666666666666668</v>
      </c>
      <c r="P24" s="50" t="s">
        <v>1053</v>
      </c>
      <c r="Q24" s="50" t="s">
        <v>1053</v>
      </c>
      <c r="R24" s="50" t="s">
        <v>1054</v>
      </c>
      <c r="S24" s="50" t="s">
        <v>1103</v>
      </c>
      <c r="T24" s="50">
        <v>1100000</v>
      </c>
      <c r="U24" s="50" t="s">
        <v>1024</v>
      </c>
      <c r="V24" s="50" t="s">
        <v>1036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SUMIFS($T$3:$T$235,$P$3:$P$235,"지출",$Q$3:$Q$235,C25,$R$3:$R$235,D25)</f>
        <v>-640453</v>
      </c>
      <c r="N25" s="25">
        <v>45957</v>
      </c>
      <c r="O25" s="26">
        <v>0.8464814814814815</v>
      </c>
      <c r="P25" s="50" t="s">
        <v>1053</v>
      </c>
      <c r="Q25" s="50" t="s">
        <v>1053</v>
      </c>
      <c r="R25" s="50" t="s">
        <v>1054</v>
      </c>
      <c r="S25" s="50" t="s">
        <v>1256</v>
      </c>
      <c r="T25" s="50">
        <v>-1100000</v>
      </c>
      <c r="U25" s="50" t="s">
        <v>1024</v>
      </c>
      <c r="V25" s="50" t="s">
        <v>1216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SUMIFS($T$3:$T$235,$P$3:$P$235,"지출",$Q$3:$Q$235,C26,$R$3:$R$235,D26)</f>
        <v>0</v>
      </c>
      <c r="N26" s="25">
        <v>45957</v>
      </c>
      <c r="O26" s="26">
        <v>0.8464814814814815</v>
      </c>
      <c r="P26" s="50" t="s">
        <v>1053</v>
      </c>
      <c r="Q26" s="50" t="s">
        <v>1053</v>
      </c>
      <c r="R26" s="50" t="s">
        <v>1054</v>
      </c>
      <c r="S26" s="50" t="s">
        <v>1217</v>
      </c>
      <c r="T26" s="50">
        <v>1100000</v>
      </c>
      <c r="U26" s="50" t="s">
        <v>1024</v>
      </c>
      <c r="V26" s="50" t="s">
        <v>1214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-1079235</v>
      </c>
      <c r="N27" s="25">
        <v>45957</v>
      </c>
      <c r="O27" s="26">
        <v>0.8258564814814815</v>
      </c>
      <c r="P27" s="50" t="s">
        <v>1020</v>
      </c>
      <c r="Q27" s="50" t="s">
        <v>1148</v>
      </c>
      <c r="R27" s="50" t="s">
        <v>1149</v>
      </c>
      <c r="S27" s="50" t="s">
        <v>1150</v>
      </c>
      <c r="T27" s="50">
        <v>-874596</v>
      </c>
      <c r="U27" s="50" t="s">
        <v>1024</v>
      </c>
      <c r="V27" s="50" t="s">
        <v>1036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SUMIFS($T$3:$T$235,$P$3:$P$235,"지출",$Q$3:$Q$235,C28,$R$3:$R$235,D28)</f>
        <v>-337500</v>
      </c>
      <c r="N28" s="25">
        <v>45957</v>
      </c>
      <c r="O28" s="26">
        <v>0.81239583333333332</v>
      </c>
      <c r="P28" s="50" t="s">
        <v>1020</v>
      </c>
      <c r="Q28" s="50" t="s">
        <v>1026</v>
      </c>
      <c r="R28" s="50" t="s">
        <v>1115</v>
      </c>
      <c r="S28" s="50" t="s">
        <v>1813</v>
      </c>
      <c r="T28" s="50">
        <v>-224943</v>
      </c>
      <c r="U28" s="50" t="s">
        <v>1024</v>
      </c>
      <c r="V28" s="50" t="s">
        <v>1036</v>
      </c>
      <c r="W28" s="50"/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SUMIFS($T$3:$T$235,$P$3:$P$235,"지출",$Q$3:$Q$235,C29,$R$3:$R$235,D29)</f>
        <v>-182700</v>
      </c>
      <c r="N29" s="25">
        <v>45957</v>
      </c>
      <c r="O29" s="26">
        <v>0.69666666666666666</v>
      </c>
      <c r="P29" s="50" t="s">
        <v>1020</v>
      </c>
      <c r="Q29" s="50" t="s">
        <v>1047</v>
      </c>
      <c r="R29" s="50" t="s">
        <v>1406</v>
      </c>
      <c r="S29" s="50" t="s">
        <v>1122</v>
      </c>
      <c r="T29" s="50">
        <v>-16000</v>
      </c>
      <c r="U29" s="50" t="s">
        <v>1024</v>
      </c>
      <c r="V29" s="50" t="s">
        <v>1350</v>
      </c>
      <c r="W29" s="50" t="s">
        <v>1814</v>
      </c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SUMIFS($T$3:$T$235,$P$3:$P$235,"지출",$Q$3:$Q$235,C30,$R$3:$R$235,D30)</f>
        <v>-75000</v>
      </c>
      <c r="N30" s="25">
        <v>45957</v>
      </c>
      <c r="O30" s="26">
        <v>0.68829861111111112</v>
      </c>
      <c r="P30" s="50" t="s">
        <v>1020</v>
      </c>
      <c r="Q30" s="50" t="s">
        <v>1029</v>
      </c>
      <c r="R30" s="50" t="s">
        <v>1070</v>
      </c>
      <c r="S30" s="50" t="s">
        <v>1815</v>
      </c>
      <c r="T30" s="50">
        <v>-3000</v>
      </c>
      <c r="U30" s="50" t="s">
        <v>1024</v>
      </c>
      <c r="V30" s="50" t="s">
        <v>1297</v>
      </c>
      <c r="W30" s="50" t="s">
        <v>1816</v>
      </c>
      <c r="X30" s="86"/>
      <c r="Y30" s="6"/>
    </row>
    <row r="31" spans="1:25" x14ac:dyDescent="0.4">
      <c r="C31" s="92" t="s">
        <v>960</v>
      </c>
      <c r="D31" s="68"/>
      <c r="E31" s="49">
        <f>SUM(E28:E30)</f>
        <v>-595200</v>
      </c>
      <c r="N31" s="25">
        <v>45957</v>
      </c>
      <c r="O31" s="26">
        <v>0.60063657407407411</v>
      </c>
      <c r="P31" s="50" t="s">
        <v>1073</v>
      </c>
      <c r="Q31" s="50" t="s">
        <v>1047</v>
      </c>
      <c r="R31" s="50" t="s">
        <v>1054</v>
      </c>
      <c r="S31" s="50" t="s">
        <v>1055</v>
      </c>
      <c r="T31" s="50">
        <v>1000</v>
      </c>
      <c r="U31" s="50" t="s">
        <v>1024</v>
      </c>
      <c r="V31" s="50" t="s">
        <v>1166</v>
      </c>
      <c r="W31" s="50" t="s">
        <v>1817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SUMIFS($T$3:$T$235,$P$3:$P$235,"지출",$Q$3:$Q$235,C32,$R$3:$R$235,D32)</f>
        <v>0</v>
      </c>
      <c r="N32" s="25">
        <v>45957</v>
      </c>
      <c r="O32" s="26">
        <v>0.56237268518518524</v>
      </c>
      <c r="P32" s="50" t="s">
        <v>1020</v>
      </c>
      <c r="Q32" s="50" t="s">
        <v>1026</v>
      </c>
      <c r="R32" s="50" t="s">
        <v>1105</v>
      </c>
      <c r="S32" s="50" t="s">
        <v>1105</v>
      </c>
      <c r="T32" s="50">
        <v>-255290</v>
      </c>
      <c r="U32" s="50" t="s">
        <v>1024</v>
      </c>
      <c r="V32" s="50" t="s">
        <v>1025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-176370</v>
      </c>
      <c r="N33" s="25">
        <v>45957</v>
      </c>
      <c r="O33" s="26">
        <v>0.56076388888888884</v>
      </c>
      <c r="P33" s="50" t="s">
        <v>1020</v>
      </c>
      <c r="Q33" s="50" t="s">
        <v>1029</v>
      </c>
      <c r="R33" s="50" t="s">
        <v>1030</v>
      </c>
      <c r="S33" s="50" t="s">
        <v>1031</v>
      </c>
      <c r="T33" s="50">
        <v>-11400</v>
      </c>
      <c r="U33" s="50" t="s">
        <v>1024</v>
      </c>
      <c r="V33" s="50" t="s">
        <v>1025</v>
      </c>
      <c r="W33" s="50"/>
      <c r="X33" s="8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-157900</v>
      </c>
      <c r="N34" s="25">
        <v>45957</v>
      </c>
      <c r="O34" s="26">
        <v>0.49312499999999998</v>
      </c>
      <c r="P34" s="50" t="s">
        <v>1020</v>
      </c>
      <c r="Q34" s="50" t="s">
        <v>1026</v>
      </c>
      <c r="R34" s="50" t="s">
        <v>1115</v>
      </c>
      <c r="S34" s="50" t="s">
        <v>1136</v>
      </c>
      <c r="T34" s="50">
        <v>-62690</v>
      </c>
      <c r="U34" s="50" t="s">
        <v>1024</v>
      </c>
      <c r="V34" s="50" t="s">
        <v>1025</v>
      </c>
      <c r="W34" s="50"/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-130200</v>
      </c>
      <c r="N35" s="25">
        <v>45957</v>
      </c>
      <c r="O35" s="26">
        <v>0.47894675925925928</v>
      </c>
      <c r="P35" s="50" t="s">
        <v>1020</v>
      </c>
      <c r="Q35" s="50" t="s">
        <v>1026</v>
      </c>
      <c r="R35" s="50" t="s">
        <v>1027</v>
      </c>
      <c r="S35" s="50" t="s">
        <v>1143</v>
      </c>
      <c r="T35" s="50">
        <v>-13900</v>
      </c>
      <c r="U35" s="50" t="s">
        <v>1024</v>
      </c>
      <c r="V35" s="50" t="s">
        <v>1025</v>
      </c>
      <c r="W35" s="50"/>
      <c r="X35" s="8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45957</v>
      </c>
      <c r="O36" s="26">
        <v>0.42158564814814808</v>
      </c>
      <c r="P36" s="50" t="s">
        <v>1020</v>
      </c>
      <c r="Q36" s="50" t="s">
        <v>1026</v>
      </c>
      <c r="R36" s="50" t="s">
        <v>1137</v>
      </c>
      <c r="S36" s="50" t="s">
        <v>1138</v>
      </c>
      <c r="T36" s="50">
        <v>-100000</v>
      </c>
      <c r="U36" s="50" t="s">
        <v>1024</v>
      </c>
      <c r="V36" s="50" t="s">
        <v>1036</v>
      </c>
      <c r="W36" s="50"/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>
        <v>45957</v>
      </c>
      <c r="O37" s="26">
        <v>0.4112615740740741</v>
      </c>
      <c r="P37" s="50" t="s">
        <v>1020</v>
      </c>
      <c r="Q37" s="50" t="s">
        <v>1026</v>
      </c>
      <c r="R37" s="50" t="s">
        <v>1141</v>
      </c>
      <c r="S37" s="50" t="s">
        <v>1142</v>
      </c>
      <c r="T37" s="50">
        <v>-130000</v>
      </c>
      <c r="U37" s="50" t="s">
        <v>1024</v>
      </c>
      <c r="V37" s="50" t="s">
        <v>1036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-562046</v>
      </c>
      <c r="N38" s="25">
        <v>45957</v>
      </c>
      <c r="O38" s="26">
        <v>0.4112615740740741</v>
      </c>
      <c r="P38" s="50" t="s">
        <v>1020</v>
      </c>
      <c r="Q38" s="50" t="s">
        <v>1026</v>
      </c>
      <c r="R38" s="50" t="s">
        <v>1139</v>
      </c>
      <c r="S38" s="50" t="s">
        <v>1140</v>
      </c>
      <c r="T38" s="50">
        <v>-100000</v>
      </c>
      <c r="U38" s="50" t="s">
        <v>1024</v>
      </c>
      <c r="V38" s="50" t="s">
        <v>1036</v>
      </c>
      <c r="W38" s="50"/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-237600</v>
      </c>
      <c r="N39" s="25">
        <v>45957</v>
      </c>
      <c r="O39" s="26">
        <v>0.35851851851851851</v>
      </c>
      <c r="P39" s="50" t="s">
        <v>1020</v>
      </c>
      <c r="Q39" s="50" t="s">
        <v>1047</v>
      </c>
      <c r="R39" s="50" t="s">
        <v>1406</v>
      </c>
      <c r="S39" s="50" t="s">
        <v>1031</v>
      </c>
      <c r="T39" s="50">
        <v>-22500</v>
      </c>
      <c r="U39" s="50" t="s">
        <v>1024</v>
      </c>
      <c r="V39" s="50" t="s">
        <v>1025</v>
      </c>
      <c r="W39" s="50"/>
      <c r="X39" s="86"/>
      <c r="Y39" s="6"/>
    </row>
    <row r="40" spans="3:25" x14ac:dyDescent="0.4">
      <c r="C40" s="94" t="s">
        <v>962</v>
      </c>
      <c r="D40" s="93"/>
      <c r="E40" s="20">
        <f>SUM(E32:E39)</f>
        <v>-1264116</v>
      </c>
      <c r="N40" s="25">
        <v>45957</v>
      </c>
      <c r="O40" s="26">
        <v>0.3414814814814815</v>
      </c>
      <c r="P40" s="50" t="s">
        <v>1020</v>
      </c>
      <c r="Q40" s="50" t="s">
        <v>1029</v>
      </c>
      <c r="R40" s="50" t="s">
        <v>1030</v>
      </c>
      <c r="S40" s="50" t="s">
        <v>1818</v>
      </c>
      <c r="T40" s="50">
        <v>-3500</v>
      </c>
      <c r="U40" s="50" t="s">
        <v>1024</v>
      </c>
      <c r="V40" s="50" t="s">
        <v>1099</v>
      </c>
      <c r="W40" s="50" t="s">
        <v>1819</v>
      </c>
      <c r="X40" s="86"/>
      <c r="Y40" s="6"/>
    </row>
    <row r="41" spans="3:25" x14ac:dyDescent="0.4">
      <c r="C41" s="4" t="s">
        <v>1</v>
      </c>
      <c r="D41" s="95" t="s">
        <v>1013</v>
      </c>
      <c r="E41" s="23">
        <f>SUMIFS($T$3:$T$235,$P$3:$P$235,"지출",$Q$3:$Q$235,C41,$R$3:$R$235,D41)</f>
        <v>-5900</v>
      </c>
      <c r="N41" s="25">
        <v>45957</v>
      </c>
      <c r="O41" s="26">
        <v>0.21604166666666669</v>
      </c>
      <c r="P41" s="50" t="s">
        <v>1020</v>
      </c>
      <c r="Q41" s="50" t="s">
        <v>1047</v>
      </c>
      <c r="R41" s="50" t="s">
        <v>1406</v>
      </c>
      <c r="S41" s="50" t="s">
        <v>1122</v>
      </c>
      <c r="T41" s="50">
        <v>-67900</v>
      </c>
      <c r="U41" s="50" t="s">
        <v>1024</v>
      </c>
      <c r="V41" s="50" t="s">
        <v>1350</v>
      </c>
      <c r="W41" s="50" t="s">
        <v>1820</v>
      </c>
      <c r="X41" s="86"/>
      <c r="Y41" s="6"/>
    </row>
    <row r="42" spans="3:25" x14ac:dyDescent="0.4">
      <c r="C42" s="4" t="s">
        <v>1</v>
      </c>
      <c r="D42" s="95" t="s">
        <v>954</v>
      </c>
      <c r="E42" s="23">
        <f>SUMIFS($T$3:$T$235,$P$3:$P$235,"지출",$Q$3:$Q$235,C42,$R$3:$R$235,D42)</f>
        <v>-122000</v>
      </c>
      <c r="N42" s="25">
        <v>45957</v>
      </c>
      <c r="O42" s="26">
        <v>0.18456018518518519</v>
      </c>
      <c r="P42" s="50" t="s">
        <v>1073</v>
      </c>
      <c r="Q42" s="50" t="s">
        <v>1218</v>
      </c>
      <c r="R42" s="50" t="s">
        <v>1054</v>
      </c>
      <c r="S42" s="50" t="s">
        <v>1219</v>
      </c>
      <c r="T42" s="50">
        <v>936</v>
      </c>
      <c r="U42" s="50" t="s">
        <v>1024</v>
      </c>
      <c r="V42" s="50" t="s">
        <v>1216</v>
      </c>
      <c r="W42" s="50"/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SUMIFS($T$3:$T$235,$P$3:$P$235,"지출",$Q$3:$Q$235,C43,$R$3:$R$235,D43)</f>
        <v>-22900</v>
      </c>
      <c r="N43" s="25">
        <v>45956</v>
      </c>
      <c r="O43" s="26">
        <v>0.5693287037037037</v>
      </c>
      <c r="P43" s="50" t="s">
        <v>1053</v>
      </c>
      <c r="Q43" s="50" t="s">
        <v>1053</v>
      </c>
      <c r="R43" s="50" t="s">
        <v>1054</v>
      </c>
      <c r="S43" s="50" t="s">
        <v>1103</v>
      </c>
      <c r="T43" s="50">
        <v>29690</v>
      </c>
      <c r="U43" s="50" t="s">
        <v>1024</v>
      </c>
      <c r="V43" s="50" t="s">
        <v>1036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SUMIFS($T$3:$T$235,$P$3:$P$235,"지출",$Q$3:$Q$235,C44,$R$3:$R$235,D44)</f>
        <v>0</v>
      </c>
      <c r="N44" s="25">
        <v>45956</v>
      </c>
      <c r="O44" s="26">
        <v>0.18471064814814811</v>
      </c>
      <c r="P44" s="50" t="s">
        <v>1073</v>
      </c>
      <c r="Q44" s="50" t="s">
        <v>1218</v>
      </c>
      <c r="R44" s="50" t="s">
        <v>1054</v>
      </c>
      <c r="S44" s="50" t="s">
        <v>1219</v>
      </c>
      <c r="T44" s="50">
        <v>936</v>
      </c>
      <c r="U44" s="50" t="s">
        <v>1024</v>
      </c>
      <c r="V44" s="50" t="s">
        <v>1216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-150800</v>
      </c>
      <c r="N45" s="25">
        <v>45955</v>
      </c>
      <c r="O45" s="26">
        <v>0.84817129629629628</v>
      </c>
      <c r="P45" s="50" t="s">
        <v>1020</v>
      </c>
      <c r="Q45" s="50" t="s">
        <v>1029</v>
      </c>
      <c r="R45" s="50" t="s">
        <v>1030</v>
      </c>
      <c r="S45" s="50" t="s">
        <v>1031</v>
      </c>
      <c r="T45" s="50">
        <v>-10170</v>
      </c>
      <c r="U45" s="50" t="s">
        <v>1024</v>
      </c>
      <c r="V45" s="50" t="s">
        <v>1025</v>
      </c>
      <c r="W45" s="50" t="s">
        <v>1821</v>
      </c>
      <c r="X45" s="86"/>
      <c r="Y45" s="6"/>
    </row>
    <row r="46" spans="3:25" x14ac:dyDescent="0.4">
      <c r="C46" s="4" t="s">
        <v>2</v>
      </c>
      <c r="D46" s="95" t="s">
        <v>1013</v>
      </c>
      <c r="E46" s="23">
        <f>SUMIFS($T$3:$T$235,$P$3:$P$235,"지출",$Q$3:$Q$235,C46,$R$3:$R$235,D46)</f>
        <v>0</v>
      </c>
      <c r="N46" s="25">
        <v>45955</v>
      </c>
      <c r="O46" s="26">
        <v>0.71486111111111106</v>
      </c>
      <c r="P46" s="50" t="s">
        <v>1020</v>
      </c>
      <c r="Q46" s="50" t="s">
        <v>1029</v>
      </c>
      <c r="R46" s="50" t="s">
        <v>1030</v>
      </c>
      <c r="S46" s="50" t="s">
        <v>1781</v>
      </c>
      <c r="T46" s="50">
        <v>-7400</v>
      </c>
      <c r="U46" s="50" t="s">
        <v>1024</v>
      </c>
      <c r="V46" s="50" t="s">
        <v>1099</v>
      </c>
      <c r="W46" s="50" t="s">
        <v>1822</v>
      </c>
      <c r="X46" s="86"/>
      <c r="Y46" s="6"/>
    </row>
    <row r="47" spans="3:25" x14ac:dyDescent="0.4">
      <c r="C47" s="4" t="s">
        <v>2</v>
      </c>
      <c r="D47" s="95" t="s">
        <v>954</v>
      </c>
      <c r="E47" s="23">
        <f>SUMIFS($T$3:$T$235,$P$3:$P$235,"지출",$Q$3:$Q$235,C47,$R$3:$R$235,D47)</f>
        <v>0</v>
      </c>
      <c r="N47" s="25">
        <v>45955</v>
      </c>
      <c r="O47" s="26">
        <v>0.70898148148148143</v>
      </c>
      <c r="P47" s="50" t="s">
        <v>1020</v>
      </c>
      <c r="Q47" s="50" t="s">
        <v>1047</v>
      </c>
      <c r="R47" s="50" t="s">
        <v>1063</v>
      </c>
      <c r="S47" s="50" t="s">
        <v>1823</v>
      </c>
      <c r="T47" s="50">
        <v>-38500</v>
      </c>
      <c r="U47" s="50" t="s">
        <v>1024</v>
      </c>
      <c r="V47" s="50" t="s">
        <v>1099</v>
      </c>
      <c r="W47" s="50" t="s">
        <v>1824</v>
      </c>
      <c r="X47" s="86"/>
      <c r="Y47" s="6"/>
    </row>
    <row r="48" spans="3:25" x14ac:dyDescent="0.4">
      <c r="C48" s="4" t="s">
        <v>2</v>
      </c>
      <c r="D48" s="95" t="s">
        <v>1015</v>
      </c>
      <c r="E48" s="23">
        <f>SUMIFS($T$3:$T$235,$P$3:$P$235,"지출",$Q$3:$Q$235,C48,$R$3:$R$235,D48)</f>
        <v>0</v>
      </c>
      <c r="N48" s="25">
        <v>45955</v>
      </c>
      <c r="O48" s="26">
        <v>0.59394675925925922</v>
      </c>
      <c r="P48" s="50" t="s">
        <v>1020</v>
      </c>
      <c r="Q48" s="50" t="s">
        <v>1022</v>
      </c>
      <c r="R48" s="50" t="s">
        <v>1032</v>
      </c>
      <c r="S48" s="50" t="s">
        <v>1825</v>
      </c>
      <c r="T48" s="50">
        <v>-8000</v>
      </c>
      <c r="U48" s="50" t="s">
        <v>1024</v>
      </c>
      <c r="V48" s="50" t="s">
        <v>1099</v>
      </c>
      <c r="W48" s="50" t="s">
        <v>1826</v>
      </c>
      <c r="X48" s="86"/>
      <c r="Y48" s="6"/>
    </row>
    <row r="49" spans="1:25" x14ac:dyDescent="0.4">
      <c r="C49" s="4" t="s">
        <v>2</v>
      </c>
      <c r="D49" s="95" t="s">
        <v>5</v>
      </c>
      <c r="E49" s="23">
        <f>SUMIFS($T$3:$T$235,$P$3:$P$235,"지출",$Q$3:$Q$235,C49,$R$3:$R$235,D49)</f>
        <v>-30000</v>
      </c>
      <c r="N49" s="25">
        <v>45955</v>
      </c>
      <c r="O49" s="26">
        <v>0.58909722222222227</v>
      </c>
      <c r="P49" s="50" t="s">
        <v>1020</v>
      </c>
      <c r="Q49" s="50" t="s">
        <v>1029</v>
      </c>
      <c r="R49" s="50" t="s">
        <v>1070</v>
      </c>
      <c r="S49" s="50" t="s">
        <v>1827</v>
      </c>
      <c r="T49" s="50">
        <v>-24000</v>
      </c>
      <c r="U49" s="50" t="s">
        <v>1024</v>
      </c>
      <c r="V49" s="50" t="s">
        <v>1099</v>
      </c>
      <c r="W49" s="50" t="s">
        <v>1828</v>
      </c>
      <c r="X49" s="86"/>
      <c r="Y49" s="6"/>
    </row>
    <row r="50" spans="1:25" x14ac:dyDescent="0.4">
      <c r="C50" s="94" t="s">
        <v>1017</v>
      </c>
      <c r="D50" s="93"/>
      <c r="E50" s="20">
        <f>SUM(E46:E49)</f>
        <v>-30000</v>
      </c>
      <c r="J50" s="53"/>
      <c r="K50" s="54"/>
      <c r="N50" s="25">
        <v>45955</v>
      </c>
      <c r="O50" s="26">
        <v>0.5516550925925926</v>
      </c>
      <c r="P50" s="50" t="s">
        <v>1020</v>
      </c>
      <c r="Q50" s="50" t="s">
        <v>1029</v>
      </c>
      <c r="R50" s="50" t="s">
        <v>1070</v>
      </c>
      <c r="S50" s="50" t="s">
        <v>1829</v>
      </c>
      <c r="T50" s="50">
        <v>-1500</v>
      </c>
      <c r="U50" s="50" t="s">
        <v>1024</v>
      </c>
      <c r="V50" s="50" t="s">
        <v>1036</v>
      </c>
      <c r="W50" s="50" t="s">
        <v>1830</v>
      </c>
      <c r="X50" s="86"/>
      <c r="Y50" s="6"/>
    </row>
    <row r="51" spans="1:25" ht="18" thickBot="1" x14ac:dyDescent="0.45">
      <c r="J51" s="53"/>
      <c r="K51" s="54"/>
      <c r="N51" s="25">
        <v>45955</v>
      </c>
      <c r="O51" s="26">
        <v>0.54878472222222219</v>
      </c>
      <c r="P51" s="50" t="s">
        <v>1020</v>
      </c>
      <c r="Q51" s="50" t="s">
        <v>1029</v>
      </c>
      <c r="R51" s="50" t="s">
        <v>1070</v>
      </c>
      <c r="S51" s="50" t="s">
        <v>1831</v>
      </c>
      <c r="T51" s="50">
        <v>-1500</v>
      </c>
      <c r="U51" s="50" t="s">
        <v>1024</v>
      </c>
      <c r="V51" s="50" t="s">
        <v>1036</v>
      </c>
      <c r="W51" s="50" t="s">
        <v>1832</v>
      </c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J52" s="96" t="s">
        <v>922</v>
      </c>
      <c r="K52" s="29">
        <f ca="1">INDIRECT(J1&amp;"!J53")</f>
        <v>36678977</v>
      </c>
      <c r="N52" s="25">
        <v>45955</v>
      </c>
      <c r="O52" s="26">
        <v>0.53715277777777781</v>
      </c>
      <c r="P52" s="50" t="s">
        <v>1020</v>
      </c>
      <c r="Q52" s="50" t="s">
        <v>1029</v>
      </c>
      <c r="R52" s="50" t="s">
        <v>1070</v>
      </c>
      <c r="S52" s="50" t="s">
        <v>1833</v>
      </c>
      <c r="T52" s="50">
        <v>-10500</v>
      </c>
      <c r="U52" s="50" t="s">
        <v>1024</v>
      </c>
      <c r="V52" s="50" t="s">
        <v>1166</v>
      </c>
      <c r="W52" s="50" t="s">
        <v>1834</v>
      </c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J53" s="97" t="s">
        <v>921</v>
      </c>
      <c r="K53" s="29">
        <f>SUM(F54:F72)</f>
        <v>32920964.607229978</v>
      </c>
      <c r="N53" s="25">
        <v>45955</v>
      </c>
      <c r="O53" s="26">
        <v>0.51413194444444443</v>
      </c>
      <c r="P53" s="50" t="s">
        <v>1020</v>
      </c>
      <c r="Q53" s="50" t="s">
        <v>1047</v>
      </c>
      <c r="R53" s="50" t="s">
        <v>1063</v>
      </c>
      <c r="S53" s="50" t="s">
        <v>1031</v>
      </c>
      <c r="T53" s="50">
        <v>-26790</v>
      </c>
      <c r="U53" s="50" t="s">
        <v>1024</v>
      </c>
      <c r="V53" s="50" t="s">
        <v>1025</v>
      </c>
      <c r="W53" s="50" t="s">
        <v>1835</v>
      </c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45962</v>
      </c>
      <c r="F54" s="51">
        <v>2441319</v>
      </c>
      <c r="G54">
        <f ca="1">INDIRECT($J$1&amp;"!F"&amp;ROW())</f>
        <v>3118217</v>
      </c>
      <c r="H54" s="109">
        <f ca="1">F54-G54</f>
        <v>-676898</v>
      </c>
      <c r="J54" s="98" t="s">
        <v>907</v>
      </c>
      <c r="K54" s="30">
        <f ca="1">K53-K52</f>
        <v>-3758012.3927700222</v>
      </c>
      <c r="N54" s="25">
        <v>45955</v>
      </c>
      <c r="O54" s="26">
        <v>0.39597222222222223</v>
      </c>
      <c r="P54" s="50" t="s">
        <v>1020</v>
      </c>
      <c r="Q54" s="50" t="s">
        <v>1029</v>
      </c>
      <c r="R54" s="50" t="s">
        <v>1030</v>
      </c>
      <c r="S54" s="50" t="s">
        <v>1781</v>
      </c>
      <c r="T54" s="50">
        <v>-2000</v>
      </c>
      <c r="U54" s="50" t="s">
        <v>1024</v>
      </c>
      <c r="V54" s="50" t="s">
        <v>1099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45962</v>
      </c>
      <c r="F55" s="51">
        <v>24423954</v>
      </c>
      <c r="G55">
        <f ca="1">INDIRECT($J$1&amp;"!F"&amp;ROW())</f>
        <v>25019354</v>
      </c>
      <c r="H55" s="109">
        <f ca="1">F55-G55</f>
        <v>-595400</v>
      </c>
      <c r="I55" s="53"/>
      <c r="J55" s="53"/>
      <c r="K55" s="54"/>
      <c r="N55" s="25">
        <v>45955</v>
      </c>
      <c r="O55" s="26">
        <v>0.27869212962962958</v>
      </c>
      <c r="P55" s="50" t="s">
        <v>1020</v>
      </c>
      <c r="Q55" s="50" t="s">
        <v>1047</v>
      </c>
      <c r="R55" s="50" t="s">
        <v>1406</v>
      </c>
      <c r="S55" s="50" t="s">
        <v>1031</v>
      </c>
      <c r="T55" s="50">
        <v>-25000</v>
      </c>
      <c r="U55" s="50" t="s">
        <v>1024</v>
      </c>
      <c r="V55" s="50" t="s">
        <v>1025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45962</v>
      </c>
      <c r="F56" s="107">
        <v>10000000</v>
      </c>
      <c r="G56">
        <f ca="1">INDIRECT($J$1&amp;"!F"&amp;ROW())</f>
        <v>10000000</v>
      </c>
      <c r="H56" s="109">
        <f ca="1">F56-G56</f>
        <v>0</v>
      </c>
      <c r="I56" s="53"/>
      <c r="J56" s="53"/>
      <c r="K56" s="54"/>
      <c r="N56" s="25">
        <v>45955</v>
      </c>
      <c r="O56" s="26">
        <v>0.18377314814814821</v>
      </c>
      <c r="P56" s="50" t="s">
        <v>1073</v>
      </c>
      <c r="Q56" s="50" t="s">
        <v>1218</v>
      </c>
      <c r="R56" s="50" t="s">
        <v>1054</v>
      </c>
      <c r="S56" s="50" t="s">
        <v>1219</v>
      </c>
      <c r="T56" s="50">
        <v>936</v>
      </c>
      <c r="U56" s="50" t="s">
        <v>1024</v>
      </c>
      <c r="V56" s="50" t="s">
        <v>1216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45954</v>
      </c>
      <c r="O57" s="26">
        <v>0.84652777777777777</v>
      </c>
      <c r="P57" s="50" t="s">
        <v>1020</v>
      </c>
      <c r="Q57" s="50" t="s">
        <v>1021</v>
      </c>
      <c r="R57" s="50" t="s">
        <v>1022</v>
      </c>
      <c r="S57" s="50" t="s">
        <v>1836</v>
      </c>
      <c r="T57" s="50">
        <v>-87000</v>
      </c>
      <c r="U57" s="50" t="s">
        <v>1024</v>
      </c>
      <c r="V57" s="50" t="s">
        <v>1025</v>
      </c>
      <c r="W57" s="50"/>
      <c r="X57" s="86"/>
      <c r="Y57" s="6"/>
    </row>
    <row r="58" spans="1:25" x14ac:dyDescent="0.4">
      <c r="C58" s="81" t="s">
        <v>992</v>
      </c>
      <c r="D58" s="99" t="s">
        <v>1005</v>
      </c>
      <c r="E58" s="89">
        <v>45962</v>
      </c>
      <c r="F58" s="104">
        <v>6000000</v>
      </c>
      <c r="G58">
        <f t="shared" ref="G58:G64" ca="1" si="11">INDIRECT($J$1&amp;"!F"&amp;ROW())</f>
        <v>6000000</v>
      </c>
      <c r="H58" s="109">
        <f t="shared" ref="H58:H64" ca="1" si="12">F58-G58</f>
        <v>0</v>
      </c>
      <c r="I58" s="53"/>
      <c r="J58" s="53"/>
      <c r="K58" s="54"/>
      <c r="N58" s="25">
        <v>45954</v>
      </c>
      <c r="O58" s="26">
        <v>0.53355324074074073</v>
      </c>
      <c r="P58" s="50" t="s">
        <v>1020</v>
      </c>
      <c r="Q58" s="50" t="s">
        <v>1047</v>
      </c>
      <c r="R58" s="50" t="s">
        <v>1406</v>
      </c>
      <c r="S58" s="50" t="s">
        <v>1031</v>
      </c>
      <c r="T58" s="50">
        <v>-29690</v>
      </c>
      <c r="U58" s="50" t="s">
        <v>1024</v>
      </c>
      <c r="V58" s="50" t="s">
        <v>1025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45962</v>
      </c>
      <c r="F59" s="51">
        <v>93285</v>
      </c>
      <c r="G59">
        <f t="shared" ca="1" si="11"/>
        <v>93285</v>
      </c>
      <c r="H59" s="109">
        <f t="shared" ca="1" si="12"/>
        <v>0</v>
      </c>
      <c r="I59" s="53"/>
      <c r="J59" s="53"/>
      <c r="K59" s="54"/>
      <c r="N59" s="25">
        <v>45954</v>
      </c>
      <c r="O59" s="26">
        <v>0.50369212962962961</v>
      </c>
      <c r="P59" s="50" t="s">
        <v>1053</v>
      </c>
      <c r="Q59" s="50" t="s">
        <v>1053</v>
      </c>
      <c r="R59" s="50" t="s">
        <v>1054</v>
      </c>
      <c r="S59" s="50" t="s">
        <v>1215</v>
      </c>
      <c r="T59" s="50">
        <v>8000000</v>
      </c>
      <c r="U59" s="50" t="s">
        <v>1024</v>
      </c>
      <c r="V59" s="50" t="s">
        <v>1216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45962</v>
      </c>
      <c r="F60" s="51">
        <v>47150</v>
      </c>
      <c r="G60">
        <f t="shared" ca="1" si="11"/>
        <v>47150</v>
      </c>
      <c r="H60" s="109">
        <f t="shared" ca="1" si="12"/>
        <v>0</v>
      </c>
      <c r="I60" s="53"/>
      <c r="J60" s="53"/>
      <c r="K60" s="54"/>
      <c r="N60" s="25">
        <v>45954</v>
      </c>
      <c r="O60" s="26">
        <v>0.50368055555555558</v>
      </c>
      <c r="P60" s="50" t="s">
        <v>1053</v>
      </c>
      <c r="Q60" s="50" t="s">
        <v>1053</v>
      </c>
      <c r="R60" s="50" t="s">
        <v>1054</v>
      </c>
      <c r="S60" s="50" t="s">
        <v>1217</v>
      </c>
      <c r="T60" s="50">
        <v>-8000000</v>
      </c>
      <c r="U60" s="50" t="s">
        <v>1024</v>
      </c>
      <c r="V60" s="50" t="s">
        <v>1214</v>
      </c>
      <c r="W60" s="50"/>
      <c r="X60" s="86"/>
      <c r="Y60" s="6"/>
    </row>
    <row r="61" spans="1:25" x14ac:dyDescent="0.4">
      <c r="C61" s="83"/>
      <c r="D61" s="50" t="s">
        <v>946</v>
      </c>
      <c r="E61" s="89">
        <v>45962</v>
      </c>
      <c r="F61" s="51">
        <v>0</v>
      </c>
      <c r="G61">
        <f t="shared" ca="1" si="11"/>
        <v>0</v>
      </c>
      <c r="H61" s="109">
        <f t="shared" ca="1" si="12"/>
        <v>0</v>
      </c>
      <c r="I61" s="53"/>
      <c r="J61" s="53"/>
      <c r="K61" s="54"/>
      <c r="N61" s="25">
        <v>45954</v>
      </c>
      <c r="O61" s="26">
        <v>0.50342592592592594</v>
      </c>
      <c r="P61" s="50" t="s">
        <v>1053</v>
      </c>
      <c r="Q61" s="50" t="s">
        <v>1053</v>
      </c>
      <c r="R61" s="50" t="s">
        <v>1054</v>
      </c>
      <c r="S61" s="50" t="s">
        <v>1103</v>
      </c>
      <c r="T61" s="50">
        <v>8000000</v>
      </c>
      <c r="U61" s="50" t="s">
        <v>1024</v>
      </c>
      <c r="V61" s="50" t="s">
        <v>1214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45962</v>
      </c>
      <c r="F62" s="101">
        <v>11000000</v>
      </c>
      <c r="G62">
        <f t="shared" ca="1" si="11"/>
        <v>11000000</v>
      </c>
      <c r="H62" s="109">
        <f t="shared" ca="1" si="12"/>
        <v>0</v>
      </c>
      <c r="I62" s="53"/>
      <c r="J62" s="53"/>
      <c r="K62" s="54"/>
      <c r="N62" s="25">
        <v>45954</v>
      </c>
      <c r="O62" s="26">
        <v>0.50342592592592594</v>
      </c>
      <c r="P62" s="50" t="s">
        <v>1053</v>
      </c>
      <c r="Q62" s="50" t="s">
        <v>1053</v>
      </c>
      <c r="R62" s="50" t="s">
        <v>1054</v>
      </c>
      <c r="S62" s="50" t="s">
        <v>1330</v>
      </c>
      <c r="T62" s="50">
        <v>-8000000</v>
      </c>
      <c r="U62" s="50" t="s">
        <v>1024</v>
      </c>
      <c r="V62" s="50" t="s">
        <v>1036</v>
      </c>
      <c r="W62" s="50"/>
      <c r="X62" s="86"/>
      <c r="Y62" s="6"/>
    </row>
    <row r="63" spans="1:25" x14ac:dyDescent="0.4">
      <c r="C63" s="80"/>
      <c r="D63" s="50" t="s">
        <v>1004</v>
      </c>
      <c r="E63" s="89">
        <v>45962</v>
      </c>
      <c r="F63" s="51">
        <v>504300</v>
      </c>
      <c r="G63">
        <f t="shared" ca="1" si="11"/>
        <v>503300</v>
      </c>
      <c r="H63" s="109">
        <f t="shared" ca="1" si="12"/>
        <v>1000</v>
      </c>
      <c r="I63" s="53"/>
      <c r="J63" s="53"/>
      <c r="K63" s="54"/>
      <c r="N63" s="25">
        <v>45954</v>
      </c>
      <c r="O63" s="26">
        <v>0.50134259259259262</v>
      </c>
      <c r="P63" s="50" t="s">
        <v>1053</v>
      </c>
      <c r="Q63" s="50" t="s">
        <v>1837</v>
      </c>
      <c r="R63" s="50" t="s">
        <v>1054</v>
      </c>
      <c r="S63" s="50" t="s">
        <v>1132</v>
      </c>
      <c r="T63" s="50">
        <v>-600000</v>
      </c>
      <c r="U63" s="50" t="s">
        <v>1024</v>
      </c>
      <c r="V63" s="50" t="s">
        <v>1036</v>
      </c>
      <c r="W63" s="50"/>
      <c r="X63" s="86"/>
      <c r="Y63" s="6"/>
    </row>
    <row r="64" spans="1:25" x14ac:dyDescent="0.4">
      <c r="C64" s="79" t="s">
        <v>1001</v>
      </c>
      <c r="D64" s="50" t="s">
        <v>1795</v>
      </c>
      <c r="E64" s="89">
        <v>45962</v>
      </c>
      <c r="F64" s="51">
        <v>76827370.538000003</v>
      </c>
      <c r="G64">
        <f t="shared" ca="1" si="11"/>
        <v>113819426</v>
      </c>
      <c r="H64" s="109">
        <f t="shared" ca="1" si="12"/>
        <v>-36992055.461999997</v>
      </c>
      <c r="I64" s="53"/>
      <c r="J64" s="53"/>
      <c r="K64" s="54"/>
      <c r="N64" s="25">
        <v>45954</v>
      </c>
      <c r="O64" s="26">
        <v>0.48869212962962971</v>
      </c>
      <c r="P64" s="50" t="s">
        <v>1020</v>
      </c>
      <c r="Q64" s="50" t="s">
        <v>1184</v>
      </c>
      <c r="R64" s="50" t="s">
        <v>1047</v>
      </c>
      <c r="S64" s="50" t="s">
        <v>1838</v>
      </c>
      <c r="T64" s="50">
        <v>-30000</v>
      </c>
      <c r="U64" s="50" t="s">
        <v>1024</v>
      </c>
      <c r="V64" s="50" t="s">
        <v>1099</v>
      </c>
      <c r="W64" s="50" t="s">
        <v>1839</v>
      </c>
      <c r="X64" s="86"/>
      <c r="Y64" s="6"/>
    </row>
    <row r="65" spans="1:25" x14ac:dyDescent="0.4">
      <c r="C65" s="83"/>
      <c r="D65" s="84"/>
      <c r="E65" s="102"/>
      <c r="F65" s="103"/>
      <c r="H65" s="52"/>
      <c r="I65" s="53"/>
      <c r="J65" s="53"/>
      <c r="K65" s="54"/>
      <c r="N65" s="25">
        <v>45954</v>
      </c>
      <c r="O65" s="26">
        <v>0.2603240740740741</v>
      </c>
      <c r="P65" s="50" t="s">
        <v>1020</v>
      </c>
      <c r="Q65" s="50" t="s">
        <v>1026</v>
      </c>
      <c r="R65" s="50" t="s">
        <v>1151</v>
      </c>
      <c r="S65" s="50" t="s">
        <v>1639</v>
      </c>
      <c r="T65" s="50">
        <v>-10000</v>
      </c>
      <c r="U65" s="50" t="s">
        <v>1024</v>
      </c>
      <c r="V65" s="50" t="s">
        <v>1025</v>
      </c>
      <c r="W65" s="50"/>
      <c r="X65" s="86"/>
      <c r="Y65" s="6"/>
    </row>
    <row r="66" spans="1:25" x14ac:dyDescent="0.4">
      <c r="C66" s="83"/>
      <c r="D66" s="84" t="s">
        <v>1158</v>
      </c>
      <c r="E66" s="89">
        <v>45962</v>
      </c>
      <c r="F66" s="51">
        <v>45147635.209399998</v>
      </c>
      <c r="G66">
        <f ca="1">INDIRECT($J$1&amp;"!F"&amp;ROW())</f>
        <v>11028178</v>
      </c>
      <c r="H66" s="109">
        <f ca="1">F66-G66</f>
        <v>34119457.209399998</v>
      </c>
      <c r="I66" s="53"/>
      <c r="J66" s="53"/>
      <c r="K66" s="54"/>
      <c r="N66" s="25">
        <v>45954</v>
      </c>
      <c r="O66" s="26">
        <v>0.25320601851851848</v>
      </c>
      <c r="P66" s="50" t="s">
        <v>1073</v>
      </c>
      <c r="Q66" s="50" t="s">
        <v>1117</v>
      </c>
      <c r="R66" s="50" t="s">
        <v>1054</v>
      </c>
      <c r="S66" s="50" t="s">
        <v>1118</v>
      </c>
      <c r="T66" s="50">
        <v>5299664</v>
      </c>
      <c r="U66" s="50" t="s">
        <v>1024</v>
      </c>
      <c r="V66" s="50" t="s">
        <v>1036</v>
      </c>
      <c r="W66" s="50"/>
      <c r="X66" s="86"/>
      <c r="Y66" s="6"/>
    </row>
    <row r="67" spans="1:25" x14ac:dyDescent="0.4">
      <c r="C67" s="83"/>
      <c r="D67" s="84" t="s">
        <v>1159</v>
      </c>
      <c r="E67" s="89">
        <v>45962</v>
      </c>
      <c r="F67" s="51">
        <v>308384</v>
      </c>
      <c r="G67">
        <f ca="1">INDIRECT($J$1&amp;"!F"&amp;ROW())</f>
        <v>308384</v>
      </c>
      <c r="H67" s="109">
        <f ca="1">F67-G67</f>
        <v>0</v>
      </c>
      <c r="I67" s="53"/>
      <c r="J67" s="53"/>
      <c r="K67" s="54"/>
      <c r="N67" s="25">
        <v>45954</v>
      </c>
      <c r="O67" s="26">
        <v>0.1839351851851852</v>
      </c>
      <c r="P67" s="50" t="s">
        <v>1073</v>
      </c>
      <c r="Q67" s="50" t="s">
        <v>1218</v>
      </c>
      <c r="R67" s="50" t="s">
        <v>1054</v>
      </c>
      <c r="S67" s="50" t="s">
        <v>1219</v>
      </c>
      <c r="T67" s="50">
        <v>635</v>
      </c>
      <c r="U67" s="50" t="s">
        <v>1024</v>
      </c>
      <c r="V67" s="50" t="s">
        <v>1216</v>
      </c>
      <c r="W67" s="50"/>
      <c r="X67" s="86"/>
      <c r="Y67" s="6"/>
    </row>
    <row r="68" spans="1:25" x14ac:dyDescent="0.4">
      <c r="C68" s="80"/>
      <c r="D68" s="50" t="s">
        <v>1007</v>
      </c>
      <c r="E68" s="89">
        <v>45962</v>
      </c>
      <c r="F68" s="51">
        <v>1164919.85983</v>
      </c>
      <c r="G68">
        <f ca="1">INDIRECT($J$1&amp;"!F"&amp;ROW())</f>
        <v>1166877</v>
      </c>
      <c r="H68" s="109">
        <f ca="1">F68-G68</f>
        <v>-1957.1401700000279</v>
      </c>
      <c r="I68" s="53"/>
      <c r="J68" s="53"/>
      <c r="K68" s="54"/>
      <c r="N68" s="25">
        <v>45953</v>
      </c>
      <c r="O68" s="26">
        <v>0.81162037037037038</v>
      </c>
      <c r="P68" s="50" t="s">
        <v>1020</v>
      </c>
      <c r="Q68" s="50" t="s">
        <v>1026</v>
      </c>
      <c r="R68" s="50" t="s">
        <v>1115</v>
      </c>
      <c r="S68" s="50" t="s">
        <v>1840</v>
      </c>
      <c r="T68" s="50">
        <v>-14232</v>
      </c>
      <c r="U68" s="50" t="s">
        <v>1024</v>
      </c>
      <c r="V68" s="50" t="s">
        <v>1036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45962</v>
      </c>
      <c r="F69" s="51">
        <v>4670282</v>
      </c>
      <c r="G69">
        <f ca="1">INDIRECT($J$1&amp;"!F"&amp;ROW())</f>
        <v>4837996</v>
      </c>
      <c r="H69" s="109">
        <f ca="1">F69-G69</f>
        <v>-167714</v>
      </c>
      <c r="I69" s="53"/>
      <c r="J69" s="53"/>
      <c r="K69" s="54"/>
      <c r="N69" s="25">
        <v>45953</v>
      </c>
      <c r="O69" s="26">
        <v>0.73032407407407407</v>
      </c>
      <c r="P69" s="50" t="s">
        <v>1020</v>
      </c>
      <c r="Q69" s="50" t="s">
        <v>1029</v>
      </c>
      <c r="R69" s="50" t="s">
        <v>1070</v>
      </c>
      <c r="S69" s="50" t="s">
        <v>1071</v>
      </c>
      <c r="T69" s="50">
        <v>-22053</v>
      </c>
      <c r="U69" s="50" t="s">
        <v>1024</v>
      </c>
      <c r="V69" s="50" t="s">
        <v>1025</v>
      </c>
      <c r="W69" s="50" t="s">
        <v>1676</v>
      </c>
      <c r="X69" s="86"/>
      <c r="Y69" s="6"/>
    </row>
    <row r="70" spans="1:25" x14ac:dyDescent="0.4">
      <c r="C70" s="80"/>
      <c r="D70" s="50" t="s">
        <v>1000</v>
      </c>
      <c r="E70" s="89">
        <v>45962</v>
      </c>
      <c r="F70" s="51">
        <v>1959080</v>
      </c>
      <c r="G70">
        <f ca="1">INDIRECT($J$1&amp;"!F"&amp;ROW())</f>
        <v>1959080</v>
      </c>
      <c r="H70" s="109">
        <f ca="1">F70-G70</f>
        <v>0</v>
      </c>
      <c r="I70" s="53"/>
      <c r="J70" s="53"/>
      <c r="K70" s="54"/>
      <c r="N70" s="25">
        <v>45953</v>
      </c>
      <c r="O70" s="26">
        <v>0.30902777777777779</v>
      </c>
      <c r="P70" s="50" t="s">
        <v>1020</v>
      </c>
      <c r="Q70" s="50" t="s">
        <v>1029</v>
      </c>
      <c r="R70" s="50" t="s">
        <v>1030</v>
      </c>
      <c r="S70" s="50" t="s">
        <v>1031</v>
      </c>
      <c r="T70" s="50">
        <v>-6490</v>
      </c>
      <c r="U70" s="50" t="s">
        <v>1024</v>
      </c>
      <c r="V70" s="50" t="s">
        <v>1025</v>
      </c>
      <c r="W70" s="50" t="s">
        <v>1841</v>
      </c>
      <c r="X70" s="86"/>
      <c r="Y70" s="6"/>
    </row>
    <row r="71" spans="1:25" x14ac:dyDescent="0.4">
      <c r="C71" s="80" t="s">
        <v>1796</v>
      </c>
      <c r="D71" s="50" t="s">
        <v>911</v>
      </c>
      <c r="E71" s="89" t="s">
        <v>1797</v>
      </c>
      <c r="F71" s="108">
        <v>-151666715</v>
      </c>
      <c r="H71" s="52"/>
      <c r="I71" s="53"/>
      <c r="J71" s="53"/>
      <c r="K71" s="54"/>
      <c r="N71" s="25">
        <v>45953</v>
      </c>
      <c r="O71" s="26">
        <v>0.27207175925925919</v>
      </c>
      <c r="P71" s="50" t="s">
        <v>1020</v>
      </c>
      <c r="Q71" s="50" t="s">
        <v>1029</v>
      </c>
      <c r="R71" s="50" t="s">
        <v>1030</v>
      </c>
      <c r="S71" s="50" t="s">
        <v>1031</v>
      </c>
      <c r="T71" s="50">
        <v>-3270</v>
      </c>
      <c r="U71" s="50" t="s">
        <v>1024</v>
      </c>
      <c r="V71" s="50" t="s">
        <v>1025</v>
      </c>
      <c r="W71" s="50" t="s">
        <v>1842</v>
      </c>
      <c r="X71" s="86"/>
      <c r="Y71" s="6"/>
    </row>
    <row r="72" spans="1:25" x14ac:dyDescent="0.4">
      <c r="C72" s="82"/>
      <c r="D72" s="53"/>
      <c r="E72" s="53"/>
      <c r="F72" s="54"/>
      <c r="H72" s="52"/>
      <c r="I72" s="53"/>
      <c r="J72" s="53"/>
      <c r="K72" s="54"/>
      <c r="N72" s="25">
        <v>45953</v>
      </c>
      <c r="O72" s="26">
        <v>0.22084490740740739</v>
      </c>
      <c r="P72" s="50" t="s">
        <v>1020</v>
      </c>
      <c r="Q72" s="50" t="s">
        <v>1047</v>
      </c>
      <c r="R72" s="50" t="s">
        <v>1406</v>
      </c>
      <c r="S72" s="50" t="s">
        <v>1031</v>
      </c>
      <c r="T72" s="50">
        <v>-7200</v>
      </c>
      <c r="U72" s="50" t="s">
        <v>1024</v>
      </c>
      <c r="V72" s="50" t="s">
        <v>1025</v>
      </c>
      <c r="W72" s="50" t="s">
        <v>1843</v>
      </c>
      <c r="X72" s="86"/>
      <c r="Y72" s="6"/>
    </row>
    <row r="73" spans="1:25" x14ac:dyDescent="0.4">
      <c r="A73" s="3" t="s">
        <v>926</v>
      </c>
      <c r="H73" s="52"/>
      <c r="I73" s="53"/>
      <c r="J73" s="53"/>
      <c r="K73" s="54"/>
      <c r="N73" s="25">
        <v>45953</v>
      </c>
      <c r="O73" s="26">
        <v>0.1829166666666667</v>
      </c>
      <c r="P73" s="50" t="s">
        <v>1073</v>
      </c>
      <c r="Q73" s="50" t="s">
        <v>1218</v>
      </c>
      <c r="R73" s="50" t="s">
        <v>1054</v>
      </c>
      <c r="S73" s="50" t="s">
        <v>1219</v>
      </c>
      <c r="T73" s="50">
        <v>635</v>
      </c>
      <c r="U73" s="50" t="s">
        <v>1024</v>
      </c>
      <c r="V73" s="50" t="s">
        <v>1216</v>
      </c>
      <c r="W73" s="50"/>
      <c r="X73" s="86"/>
      <c r="Y73" s="6"/>
    </row>
    <row r="74" spans="1:25" ht="18" thickBot="1" x14ac:dyDescent="0.45">
      <c r="A74" s="31" t="s">
        <v>900</v>
      </c>
      <c r="B74" s="31" t="s">
        <v>901</v>
      </c>
      <c r="C74" s="61" t="s">
        <v>22</v>
      </c>
      <c r="D74" s="62"/>
      <c r="E74" s="31" t="s">
        <v>977</v>
      </c>
      <c r="F74" s="31" t="s">
        <v>981</v>
      </c>
      <c r="G74" s="31" t="s">
        <v>945</v>
      </c>
      <c r="H74" s="60" t="s">
        <v>0</v>
      </c>
      <c r="I74" s="31" t="s">
        <v>980</v>
      </c>
      <c r="J74" s="53"/>
      <c r="K74" s="54"/>
      <c r="N74" s="25">
        <v>45952</v>
      </c>
      <c r="O74" s="26">
        <v>0.83954861111111112</v>
      </c>
      <c r="P74" s="50" t="s">
        <v>1020</v>
      </c>
      <c r="Q74" s="50" t="s">
        <v>1029</v>
      </c>
      <c r="R74" s="50" t="s">
        <v>1030</v>
      </c>
      <c r="S74" s="50" t="s">
        <v>1069</v>
      </c>
      <c r="T74" s="50">
        <v>-3600</v>
      </c>
      <c r="U74" s="50" t="s">
        <v>1024</v>
      </c>
      <c r="V74" s="50" t="s">
        <v>1025</v>
      </c>
      <c r="W74" s="50" t="s">
        <v>1844</v>
      </c>
      <c r="X74" s="86"/>
      <c r="Y74" s="6"/>
    </row>
    <row r="75" spans="1:25" ht="18" thickTop="1" x14ac:dyDescent="0.4">
      <c r="A75" s="7">
        <f>$L$1</f>
        <v>202510</v>
      </c>
      <c r="B75" s="7">
        <v>1</v>
      </c>
      <c r="C75" s="69" t="s">
        <v>4</v>
      </c>
      <c r="D75" s="70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5543000</v>
      </c>
      <c r="F75" s="41">
        <f t="shared" ref="F75:F80" ca="1" si="13">INDIRECT($J$1&amp;"!H"&amp;ROW())</f>
        <v>5708122</v>
      </c>
      <c r="G75" s="41">
        <f t="shared" ref="G75:G80" ca="1" si="14">H75-F75</f>
        <v>-408458</v>
      </c>
      <c r="H75" s="58">
        <f t="shared" ref="H75:H80" si="15">SUMIFS($T$3:$T$235,$P$3:$P$235,"수입",$Q$3:$Q$235,C75)</f>
        <v>5299664</v>
      </c>
      <c r="I75" s="43">
        <f t="shared" ref="I75:I80" si="16">H75-E75</f>
        <v>-243336</v>
      </c>
      <c r="N75" s="25">
        <v>45952</v>
      </c>
      <c r="O75" s="26">
        <v>0.182650462962963</v>
      </c>
      <c r="P75" s="50" t="s">
        <v>1073</v>
      </c>
      <c r="Q75" s="50" t="s">
        <v>1218</v>
      </c>
      <c r="R75" s="50" t="s">
        <v>1054</v>
      </c>
      <c r="S75" s="50" t="s">
        <v>1219</v>
      </c>
      <c r="T75" s="50">
        <v>635</v>
      </c>
      <c r="U75" s="50" t="s">
        <v>1024</v>
      </c>
      <c r="V75" s="50" t="s">
        <v>1216</v>
      </c>
      <c r="W75" s="50"/>
      <c r="X75" s="86"/>
      <c r="Y75" s="6"/>
    </row>
    <row r="76" spans="1:25" x14ac:dyDescent="0.4">
      <c r="A76" s="4">
        <f t="shared" ref="A76:A80" si="17">$L$1</f>
        <v>202510</v>
      </c>
      <c r="B76" s="4">
        <f>B75+1</f>
        <v>2</v>
      </c>
      <c r="C76" s="74" t="s">
        <v>975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825199</v>
      </c>
      <c r="F76" s="41">
        <f t="shared" ca="1" si="13"/>
        <v>55199</v>
      </c>
      <c r="G76" s="41">
        <f t="shared" ca="1" si="14"/>
        <v>1100000</v>
      </c>
      <c r="H76" s="58">
        <f t="shared" si="15"/>
        <v>1155199</v>
      </c>
      <c r="I76" s="43">
        <f t="shared" si="16"/>
        <v>330000</v>
      </c>
      <c r="N76" s="25">
        <v>45951</v>
      </c>
      <c r="O76" s="26">
        <v>0.9382638888888889</v>
      </c>
      <c r="P76" s="50" t="s">
        <v>1020</v>
      </c>
      <c r="Q76" s="50" t="s">
        <v>1029</v>
      </c>
      <c r="R76" s="50" t="s">
        <v>1045</v>
      </c>
      <c r="S76" s="50" t="s">
        <v>1051</v>
      </c>
      <c r="T76" s="50">
        <v>-32000</v>
      </c>
      <c r="U76" s="50" t="s">
        <v>1024</v>
      </c>
      <c r="V76" s="50" t="s">
        <v>1036</v>
      </c>
      <c r="W76" s="50" t="s">
        <v>1845</v>
      </c>
      <c r="X76" s="86"/>
      <c r="Y76" s="6"/>
    </row>
    <row r="77" spans="1:25" x14ac:dyDescent="0.4">
      <c r="A77" s="4">
        <f t="shared" si="17"/>
        <v>202510</v>
      </c>
      <c r="B77" s="4">
        <f>B76+1</f>
        <v>3</v>
      </c>
      <c r="C77" s="74" t="s">
        <v>11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3"/>
        <v>0</v>
      </c>
      <c r="G77" s="41">
        <f t="shared" ca="1" si="14"/>
        <v>63200</v>
      </c>
      <c r="H77" s="58">
        <f t="shared" si="15"/>
        <v>63200</v>
      </c>
      <c r="I77" s="43">
        <f t="shared" si="16"/>
        <v>63200</v>
      </c>
      <c r="N77" s="25">
        <v>45951</v>
      </c>
      <c r="O77" s="26">
        <v>0.93570601851851853</v>
      </c>
      <c r="P77" s="50" t="s">
        <v>1020</v>
      </c>
      <c r="Q77" s="50" t="s">
        <v>1047</v>
      </c>
      <c r="R77" s="50" t="s">
        <v>1406</v>
      </c>
      <c r="S77" s="50" t="s">
        <v>1122</v>
      </c>
      <c r="T77" s="50">
        <v>-65000</v>
      </c>
      <c r="U77" s="50" t="s">
        <v>1024</v>
      </c>
      <c r="V77" s="50" t="s">
        <v>1350</v>
      </c>
      <c r="W77" s="50" t="s">
        <v>1846</v>
      </c>
      <c r="X77" s="86"/>
      <c r="Y77" s="6"/>
    </row>
    <row r="78" spans="1:25" x14ac:dyDescent="0.4">
      <c r="A78" s="4">
        <f t="shared" si="17"/>
        <v>202510</v>
      </c>
      <c r="B78" s="4">
        <f>B77+1</f>
        <v>4</v>
      </c>
      <c r="C78" s="74" t="s">
        <v>976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3"/>
        <v>19029</v>
      </c>
      <c r="G78" s="41">
        <f t="shared" ca="1" si="14"/>
        <v>2700</v>
      </c>
      <c r="H78" s="58">
        <f t="shared" si="15"/>
        <v>21729</v>
      </c>
      <c r="I78" s="43">
        <f t="shared" si="16"/>
        <v>21729</v>
      </c>
      <c r="N78" s="25">
        <v>45951</v>
      </c>
      <c r="O78" s="26">
        <v>0.87907407407407412</v>
      </c>
      <c r="P78" s="50" t="s">
        <v>1020</v>
      </c>
      <c r="Q78" s="50" t="s">
        <v>1047</v>
      </c>
      <c r="R78" s="50" t="s">
        <v>1406</v>
      </c>
      <c r="S78" s="50" t="s">
        <v>1122</v>
      </c>
      <c r="T78" s="50">
        <v>-129000</v>
      </c>
      <c r="U78" s="50" t="s">
        <v>1024</v>
      </c>
      <c r="V78" s="50" t="s">
        <v>1350</v>
      </c>
      <c r="W78" s="50" t="s">
        <v>1847</v>
      </c>
      <c r="X78" s="86"/>
      <c r="Y78" s="6"/>
    </row>
    <row r="79" spans="1:25" x14ac:dyDescent="0.4">
      <c r="A79" s="4">
        <f t="shared" si="17"/>
        <v>202510</v>
      </c>
      <c r="B79" s="4">
        <f>B78+1</f>
        <v>5</v>
      </c>
      <c r="C79" s="74" t="s">
        <v>5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3"/>
        <v>1</v>
      </c>
      <c r="G79" s="41">
        <f t="shared" ca="1" si="14"/>
        <v>999</v>
      </c>
      <c r="H79" s="58">
        <f t="shared" si="15"/>
        <v>1000</v>
      </c>
      <c r="I79" s="43">
        <f t="shared" si="16"/>
        <v>1000</v>
      </c>
      <c r="N79" s="25">
        <v>45951</v>
      </c>
      <c r="O79" s="26">
        <v>0.70508101851851857</v>
      </c>
      <c r="P79" s="50" t="s">
        <v>1020</v>
      </c>
      <c r="Q79" s="50" t="s">
        <v>1029</v>
      </c>
      <c r="R79" s="50" t="s">
        <v>1030</v>
      </c>
      <c r="S79" s="50" t="s">
        <v>1781</v>
      </c>
      <c r="T79" s="50">
        <v>-11900</v>
      </c>
      <c r="U79" s="50" t="s">
        <v>1024</v>
      </c>
      <c r="V79" s="50" t="s">
        <v>1099</v>
      </c>
      <c r="W79" s="50" t="s">
        <v>1848</v>
      </c>
      <c r="X79" s="86"/>
      <c r="Y79" s="6"/>
    </row>
    <row r="80" spans="1:25" x14ac:dyDescent="0.4">
      <c r="A80" s="4">
        <f t="shared" si="17"/>
        <v>202510</v>
      </c>
      <c r="B80" s="4">
        <f>B79+1</f>
        <v>6</v>
      </c>
      <c r="C80" s="105" t="s">
        <v>2</v>
      </c>
      <c r="D80" s="75"/>
      <c r="E80" s="23">
        <f>SUMIFS('수입&amp;예산'!$C$4:$C$11,'수입&amp;예산'!$A$4:$A$11,C80,'수입&amp;예산'!$D$4:$D$11,"M")*10000+SUMIFS('수입&amp;예산'!$C$4:$C$11,'수입&amp;예산'!$A$4:$A$11,C80,'수입&amp;예산'!$D$4:$D$11,"Y",'수입&amp;예산'!$E$4:$E$11,$L$1)*10000</f>
        <v>0</v>
      </c>
      <c r="F80" s="41">
        <f t="shared" ca="1" si="13"/>
        <v>0</v>
      </c>
      <c r="G80" s="41">
        <f t="shared" ca="1" si="14"/>
        <v>0</v>
      </c>
      <c r="H80" s="58">
        <f t="shared" si="15"/>
        <v>0</v>
      </c>
      <c r="I80" s="43">
        <f t="shared" si="16"/>
        <v>0</v>
      </c>
      <c r="N80" s="25">
        <v>45951</v>
      </c>
      <c r="O80" s="26">
        <v>0.23749999999999999</v>
      </c>
      <c r="P80" s="50" t="s">
        <v>1073</v>
      </c>
      <c r="Q80" s="50" t="s">
        <v>1218</v>
      </c>
      <c r="R80" s="50" t="s">
        <v>1054</v>
      </c>
      <c r="S80" s="50" t="s">
        <v>1219</v>
      </c>
      <c r="T80" s="50">
        <v>635</v>
      </c>
      <c r="U80" s="50" t="s">
        <v>1024</v>
      </c>
      <c r="V80" s="50" t="s">
        <v>1216</v>
      </c>
      <c r="W80" s="50"/>
      <c r="X80" s="86"/>
      <c r="Y80" s="6"/>
    </row>
    <row r="81" spans="1:25" x14ac:dyDescent="0.4">
      <c r="A81" s="71" t="s">
        <v>14</v>
      </c>
      <c r="B81" s="72"/>
      <c r="C81" s="72"/>
      <c r="D81" s="73"/>
      <c r="E81" s="56">
        <f>SUM(E75:E80)</f>
        <v>6368199</v>
      </c>
      <c r="F81" s="56">
        <f ca="1">SUM(F75:F80)</f>
        <v>5782351</v>
      </c>
      <c r="G81" s="57">
        <f ca="1">SUM(G75:G80)</f>
        <v>758441</v>
      </c>
      <c r="H81" s="59">
        <f>SUM(H75:H80)</f>
        <v>6540792</v>
      </c>
      <c r="I81" s="43">
        <f>SUM(I75:I80)</f>
        <v>172593</v>
      </c>
      <c r="N81" s="25">
        <v>45950</v>
      </c>
      <c r="O81" s="26">
        <v>0.36487268518518517</v>
      </c>
      <c r="P81" s="50" t="s">
        <v>1020</v>
      </c>
      <c r="Q81" s="50" t="s">
        <v>1026</v>
      </c>
      <c r="R81" s="50" t="s">
        <v>1093</v>
      </c>
      <c r="S81" s="50" t="s">
        <v>1095</v>
      </c>
      <c r="T81" s="50">
        <v>-41690</v>
      </c>
      <c r="U81" s="50" t="s">
        <v>1024</v>
      </c>
      <c r="V81" s="50" t="s">
        <v>1025</v>
      </c>
      <c r="W81" s="50"/>
      <c r="X81" s="86"/>
      <c r="Y81" s="4"/>
    </row>
    <row r="82" spans="1:25" x14ac:dyDescent="0.4">
      <c r="N82" s="25">
        <v>45950</v>
      </c>
      <c r="O82" s="26">
        <v>0.36487268518518517</v>
      </c>
      <c r="P82" s="50" t="s">
        <v>1020</v>
      </c>
      <c r="Q82" s="50" t="s">
        <v>1026</v>
      </c>
      <c r="R82" s="50" t="s">
        <v>1093</v>
      </c>
      <c r="S82" s="50" t="s">
        <v>1094</v>
      </c>
      <c r="T82" s="50">
        <v>-22000</v>
      </c>
      <c r="U82" s="50" t="s">
        <v>1024</v>
      </c>
      <c r="V82" s="50" t="s">
        <v>1025</v>
      </c>
      <c r="W82" s="50"/>
      <c r="X82" s="86"/>
      <c r="Y82" s="4"/>
    </row>
    <row r="83" spans="1:25" x14ac:dyDescent="0.4">
      <c r="N83" s="25">
        <v>45950</v>
      </c>
      <c r="O83" s="26">
        <v>0.1839699074074074</v>
      </c>
      <c r="P83" s="50" t="s">
        <v>1073</v>
      </c>
      <c r="Q83" s="50" t="s">
        <v>1218</v>
      </c>
      <c r="R83" s="50" t="s">
        <v>1054</v>
      </c>
      <c r="S83" s="50" t="s">
        <v>1219</v>
      </c>
      <c r="T83" s="50">
        <v>635</v>
      </c>
      <c r="U83" s="50" t="s">
        <v>1024</v>
      </c>
      <c r="V83" s="50" t="s">
        <v>1216</v>
      </c>
      <c r="W83" s="50"/>
      <c r="X83" s="86"/>
      <c r="Y83" s="4"/>
    </row>
    <row r="84" spans="1:25" x14ac:dyDescent="0.4">
      <c r="N84" s="25">
        <v>45949</v>
      </c>
      <c r="O84" s="26">
        <v>0.45025462962962959</v>
      </c>
      <c r="P84" s="50" t="s">
        <v>1020</v>
      </c>
      <c r="Q84" s="50" t="s">
        <v>1047</v>
      </c>
      <c r="R84" s="50" t="s">
        <v>1048</v>
      </c>
      <c r="S84" s="50" t="s">
        <v>1122</v>
      </c>
      <c r="T84" s="50">
        <v>-76000</v>
      </c>
      <c r="U84" s="50" t="s">
        <v>1024</v>
      </c>
      <c r="V84" s="50" t="s">
        <v>1350</v>
      </c>
      <c r="W84" s="50" t="s">
        <v>1849</v>
      </c>
      <c r="X84" s="86"/>
      <c r="Y84" s="4"/>
    </row>
    <row r="85" spans="1:25" x14ac:dyDescent="0.4">
      <c r="N85" s="25">
        <v>45949</v>
      </c>
      <c r="O85" s="26">
        <v>0.18349537037037039</v>
      </c>
      <c r="P85" s="50" t="s">
        <v>1073</v>
      </c>
      <c r="Q85" s="50" t="s">
        <v>1218</v>
      </c>
      <c r="R85" s="50" t="s">
        <v>1054</v>
      </c>
      <c r="S85" s="50" t="s">
        <v>1219</v>
      </c>
      <c r="T85" s="50">
        <v>635</v>
      </c>
      <c r="U85" s="50" t="s">
        <v>1024</v>
      </c>
      <c r="V85" s="50" t="s">
        <v>1216</v>
      </c>
      <c r="W85" s="50"/>
      <c r="X85" s="86"/>
      <c r="Y85" s="4"/>
    </row>
    <row r="86" spans="1:25" x14ac:dyDescent="0.4">
      <c r="N86" s="25">
        <v>45948</v>
      </c>
      <c r="O86" s="26">
        <v>0.68784722222222228</v>
      </c>
      <c r="P86" s="50" t="s">
        <v>1020</v>
      </c>
      <c r="Q86" s="50" t="s">
        <v>1029</v>
      </c>
      <c r="R86" s="50" t="s">
        <v>1030</v>
      </c>
      <c r="S86" s="50" t="s">
        <v>1781</v>
      </c>
      <c r="T86" s="50">
        <v>-9900</v>
      </c>
      <c r="U86" s="50" t="s">
        <v>1024</v>
      </c>
      <c r="V86" s="50" t="s">
        <v>1099</v>
      </c>
      <c r="W86" s="50" t="s">
        <v>1850</v>
      </c>
      <c r="X86" s="86"/>
      <c r="Y86" s="4"/>
    </row>
    <row r="87" spans="1:25" x14ac:dyDescent="0.4">
      <c r="N87" s="25">
        <v>45948</v>
      </c>
      <c r="O87" s="26">
        <v>0.68405092592592598</v>
      </c>
      <c r="P87" s="50" t="s">
        <v>1020</v>
      </c>
      <c r="Q87" s="50" t="s">
        <v>1029</v>
      </c>
      <c r="R87" s="50" t="s">
        <v>1045</v>
      </c>
      <c r="S87" s="50" t="s">
        <v>1122</v>
      </c>
      <c r="T87" s="50">
        <v>-70000</v>
      </c>
      <c r="U87" s="50" t="s">
        <v>1024</v>
      </c>
      <c r="V87" s="50" t="s">
        <v>1350</v>
      </c>
      <c r="W87" s="50" t="s">
        <v>1847</v>
      </c>
      <c r="X87" s="86"/>
      <c r="Y87" s="4"/>
    </row>
    <row r="88" spans="1:25" x14ac:dyDescent="0.4">
      <c r="N88" s="25">
        <v>45948</v>
      </c>
      <c r="O88" s="26">
        <v>0.59915509259259259</v>
      </c>
      <c r="P88" s="50" t="s">
        <v>1020</v>
      </c>
      <c r="Q88" s="50" t="s">
        <v>1047</v>
      </c>
      <c r="R88" s="50" t="s">
        <v>1406</v>
      </c>
      <c r="S88" s="50" t="s">
        <v>1851</v>
      </c>
      <c r="T88" s="50">
        <v>-9851</v>
      </c>
      <c r="U88" s="50" t="s">
        <v>1024</v>
      </c>
      <c r="V88" s="50" t="s">
        <v>1036</v>
      </c>
      <c r="W88" s="50" t="s">
        <v>1852</v>
      </c>
      <c r="X88" s="86"/>
      <c r="Y88" s="4"/>
    </row>
    <row r="89" spans="1:25" x14ac:dyDescent="0.4">
      <c r="N89" s="25">
        <v>45948</v>
      </c>
      <c r="O89" s="26">
        <v>0.5805555555555556</v>
      </c>
      <c r="P89" s="50" t="s">
        <v>1020</v>
      </c>
      <c r="Q89" s="50" t="s">
        <v>1029</v>
      </c>
      <c r="R89" s="50" t="s">
        <v>1070</v>
      </c>
      <c r="S89" s="50" t="s">
        <v>1853</v>
      </c>
      <c r="T89" s="50">
        <v>-9000</v>
      </c>
      <c r="U89" s="50" t="s">
        <v>1024</v>
      </c>
      <c r="V89" s="50" t="s">
        <v>1099</v>
      </c>
      <c r="W89" s="50" t="s">
        <v>1854</v>
      </c>
      <c r="X89" s="86"/>
      <c r="Y89" s="4"/>
    </row>
    <row r="90" spans="1:25" x14ac:dyDescent="0.4">
      <c r="N90" s="25">
        <v>45948</v>
      </c>
      <c r="O90" s="26">
        <v>0.57429398148148147</v>
      </c>
      <c r="P90" s="50" t="s">
        <v>1020</v>
      </c>
      <c r="Q90" s="50" t="s">
        <v>1029</v>
      </c>
      <c r="R90" s="50" t="s">
        <v>1070</v>
      </c>
      <c r="S90" s="50" t="s">
        <v>1853</v>
      </c>
      <c r="T90" s="50">
        <v>-3900</v>
      </c>
      <c r="U90" s="50" t="s">
        <v>1024</v>
      </c>
      <c r="V90" s="50" t="s">
        <v>1099</v>
      </c>
      <c r="W90" s="50" t="s">
        <v>1855</v>
      </c>
      <c r="X90" s="86"/>
      <c r="Y90" s="6"/>
    </row>
    <row r="91" spans="1:25" x14ac:dyDescent="0.4">
      <c r="N91" s="25">
        <v>45948</v>
      </c>
      <c r="O91" s="26">
        <v>0.5709143518518518</v>
      </c>
      <c r="P91" s="50" t="s">
        <v>1020</v>
      </c>
      <c r="Q91" s="50" t="s">
        <v>1047</v>
      </c>
      <c r="R91" s="50" t="s">
        <v>1406</v>
      </c>
      <c r="S91" s="50" t="s">
        <v>1856</v>
      </c>
      <c r="T91" s="50">
        <v>-10945</v>
      </c>
      <c r="U91" s="50" t="s">
        <v>1024</v>
      </c>
      <c r="V91" s="50" t="s">
        <v>1036</v>
      </c>
      <c r="W91" s="50" t="s">
        <v>1857</v>
      </c>
      <c r="X91" s="86"/>
      <c r="Y91" s="6"/>
    </row>
    <row r="92" spans="1:25" x14ac:dyDescent="0.4">
      <c r="N92" s="25">
        <v>45948</v>
      </c>
      <c r="O92" s="26">
        <v>0.56379629629629635</v>
      </c>
      <c r="P92" s="50" t="s">
        <v>1020</v>
      </c>
      <c r="Q92" s="50" t="s">
        <v>1047</v>
      </c>
      <c r="R92" s="50" t="s">
        <v>1406</v>
      </c>
      <c r="S92" s="50" t="s">
        <v>1853</v>
      </c>
      <c r="T92" s="50">
        <v>-77300</v>
      </c>
      <c r="U92" s="50" t="s">
        <v>1024</v>
      </c>
      <c r="V92" s="50" t="s">
        <v>1099</v>
      </c>
      <c r="W92" s="50" t="s">
        <v>1858</v>
      </c>
      <c r="X92" s="86"/>
      <c r="Y92" s="6"/>
    </row>
    <row r="93" spans="1:25" x14ac:dyDescent="0.4">
      <c r="N93" s="25">
        <v>45948</v>
      </c>
      <c r="O93" s="26">
        <v>0.52946759259259257</v>
      </c>
      <c r="P93" s="50" t="s">
        <v>1020</v>
      </c>
      <c r="Q93" s="50" t="s">
        <v>1047</v>
      </c>
      <c r="R93" s="50" t="s">
        <v>1406</v>
      </c>
      <c r="S93" s="50" t="s">
        <v>1859</v>
      </c>
      <c r="T93" s="50">
        <v>-5000</v>
      </c>
      <c r="U93" s="50" t="s">
        <v>1024</v>
      </c>
      <c r="V93" s="50" t="s">
        <v>1099</v>
      </c>
      <c r="W93" s="50" t="s">
        <v>1860</v>
      </c>
      <c r="X93" s="86"/>
      <c r="Y93" s="6"/>
    </row>
    <row r="94" spans="1:25" x14ac:dyDescent="0.4">
      <c r="N94" s="25">
        <v>45948</v>
      </c>
      <c r="O94" s="26">
        <v>0.5280555555555555</v>
      </c>
      <c r="P94" s="50" t="s">
        <v>1020</v>
      </c>
      <c r="Q94" s="50" t="s">
        <v>1047</v>
      </c>
      <c r="R94" s="50" t="s">
        <v>1406</v>
      </c>
      <c r="S94" s="50" t="s">
        <v>1859</v>
      </c>
      <c r="T94" s="50">
        <v>-5000</v>
      </c>
      <c r="U94" s="50" t="s">
        <v>1024</v>
      </c>
      <c r="V94" s="50" t="s">
        <v>1099</v>
      </c>
      <c r="W94" s="50" t="s">
        <v>1860</v>
      </c>
      <c r="X94" s="86"/>
      <c r="Y94" s="6"/>
    </row>
    <row r="95" spans="1:25" x14ac:dyDescent="0.4">
      <c r="N95" s="25">
        <v>45948</v>
      </c>
      <c r="O95" s="26">
        <v>0.49460648148148151</v>
      </c>
      <c r="P95" s="50" t="s">
        <v>1020</v>
      </c>
      <c r="Q95" s="50" t="s">
        <v>1029</v>
      </c>
      <c r="R95" s="50" t="s">
        <v>1070</v>
      </c>
      <c r="S95" s="50" t="s">
        <v>1861</v>
      </c>
      <c r="T95" s="50">
        <v>-23000</v>
      </c>
      <c r="U95" s="50" t="s">
        <v>1024</v>
      </c>
      <c r="V95" s="50" t="s">
        <v>1099</v>
      </c>
      <c r="W95" s="50"/>
      <c r="X95" s="86"/>
      <c r="Y95" s="6"/>
    </row>
    <row r="96" spans="1:25" x14ac:dyDescent="0.4">
      <c r="N96" s="25">
        <v>45948</v>
      </c>
      <c r="O96" s="26">
        <v>0.38894675925925931</v>
      </c>
      <c r="P96" s="50" t="s">
        <v>1020</v>
      </c>
      <c r="Q96" s="50" t="s">
        <v>1029</v>
      </c>
      <c r="R96" s="50" t="s">
        <v>1070</v>
      </c>
      <c r="S96" s="50" t="s">
        <v>1862</v>
      </c>
      <c r="T96" s="50">
        <v>-4000</v>
      </c>
      <c r="U96" s="50" t="s">
        <v>1024</v>
      </c>
      <c r="V96" s="50" t="s">
        <v>1099</v>
      </c>
      <c r="W96" s="50"/>
      <c r="X96" s="86"/>
      <c r="Y96" s="6"/>
    </row>
    <row r="97" spans="14:25" x14ac:dyDescent="0.4">
      <c r="N97" s="25">
        <v>45948</v>
      </c>
      <c r="O97" s="26">
        <v>0.1880324074074074</v>
      </c>
      <c r="P97" s="50" t="s">
        <v>1073</v>
      </c>
      <c r="Q97" s="50" t="s">
        <v>1218</v>
      </c>
      <c r="R97" s="50" t="s">
        <v>1054</v>
      </c>
      <c r="S97" s="50" t="s">
        <v>1219</v>
      </c>
      <c r="T97" s="50">
        <v>635</v>
      </c>
      <c r="U97" s="50" t="s">
        <v>1024</v>
      </c>
      <c r="V97" s="50" t="s">
        <v>1216</v>
      </c>
      <c r="W97" s="50"/>
      <c r="X97" s="86"/>
      <c r="Y97" s="6"/>
    </row>
    <row r="98" spans="14:25" x14ac:dyDescent="0.4">
      <c r="N98" s="25">
        <v>45947</v>
      </c>
      <c r="O98" s="26">
        <v>0.72045138888888893</v>
      </c>
      <c r="P98" s="50" t="s">
        <v>1073</v>
      </c>
      <c r="Q98" s="50" t="s">
        <v>1863</v>
      </c>
      <c r="R98" s="50" t="s">
        <v>1054</v>
      </c>
      <c r="S98" s="50" t="s">
        <v>1864</v>
      </c>
      <c r="T98" s="50">
        <v>63200</v>
      </c>
      <c r="U98" s="50" t="s">
        <v>1024</v>
      </c>
      <c r="V98" s="50" t="s">
        <v>1036</v>
      </c>
      <c r="W98" s="50" t="s">
        <v>1021</v>
      </c>
      <c r="X98" s="86"/>
      <c r="Y98" s="6"/>
    </row>
    <row r="99" spans="14:25" x14ac:dyDescent="0.4">
      <c r="N99" s="25">
        <v>45947</v>
      </c>
      <c r="O99" s="26">
        <v>0.65719907407407407</v>
      </c>
      <c r="P99" s="50" t="s">
        <v>1020</v>
      </c>
      <c r="Q99" s="50" t="s">
        <v>1029</v>
      </c>
      <c r="R99" s="50" t="s">
        <v>1030</v>
      </c>
      <c r="S99" s="50" t="s">
        <v>1769</v>
      </c>
      <c r="T99" s="50">
        <v>-5000</v>
      </c>
      <c r="U99" s="50" t="s">
        <v>1024</v>
      </c>
      <c r="V99" s="50" t="s">
        <v>1025</v>
      </c>
      <c r="W99" s="50" t="s">
        <v>1865</v>
      </c>
      <c r="X99" s="86"/>
      <c r="Y99" s="6"/>
    </row>
    <row r="100" spans="14:25" x14ac:dyDescent="0.4">
      <c r="N100" s="25">
        <v>45947</v>
      </c>
      <c r="O100" s="26">
        <v>0.61425925925925928</v>
      </c>
      <c r="P100" s="50" t="s">
        <v>1073</v>
      </c>
      <c r="Q100" s="50" t="s">
        <v>1074</v>
      </c>
      <c r="R100" s="50" t="s">
        <v>1054</v>
      </c>
      <c r="S100" s="50" t="s">
        <v>1075</v>
      </c>
      <c r="T100" s="50">
        <v>55199</v>
      </c>
      <c r="U100" s="50" t="s">
        <v>1024</v>
      </c>
      <c r="V100" s="50" t="s">
        <v>1036</v>
      </c>
      <c r="W100" s="50"/>
      <c r="X100" s="86"/>
      <c r="Y100" s="6"/>
    </row>
    <row r="101" spans="14:25" x14ac:dyDescent="0.4">
      <c r="N101" s="25">
        <v>45947</v>
      </c>
      <c r="O101" s="26">
        <v>0.60260416666666672</v>
      </c>
      <c r="P101" s="50" t="s">
        <v>1020</v>
      </c>
      <c r="Q101" s="50" t="s">
        <v>1047</v>
      </c>
      <c r="R101" s="50" t="s">
        <v>1063</v>
      </c>
      <c r="S101" s="50" t="s">
        <v>1866</v>
      </c>
      <c r="T101" s="50">
        <v>-57780</v>
      </c>
      <c r="U101" s="50" t="s">
        <v>1024</v>
      </c>
      <c r="V101" s="50" t="s">
        <v>1025</v>
      </c>
      <c r="W101" s="50" t="s">
        <v>1867</v>
      </c>
      <c r="X101" s="86"/>
      <c r="Y101" s="6"/>
    </row>
    <row r="102" spans="14:25" x14ac:dyDescent="0.4">
      <c r="N102" s="25">
        <v>45947</v>
      </c>
      <c r="O102" s="26">
        <v>0.58368055555555554</v>
      </c>
      <c r="P102" s="50" t="s">
        <v>1020</v>
      </c>
      <c r="Q102" s="50" t="s">
        <v>1029</v>
      </c>
      <c r="R102" s="50" t="s">
        <v>1045</v>
      </c>
      <c r="S102" s="50" t="s">
        <v>1046</v>
      </c>
      <c r="T102" s="50">
        <v>-24200</v>
      </c>
      <c r="U102" s="50" t="s">
        <v>1024</v>
      </c>
      <c r="V102" s="50" t="s">
        <v>1025</v>
      </c>
      <c r="W102" s="50" t="s">
        <v>1868</v>
      </c>
      <c r="X102" s="86"/>
      <c r="Y102" s="6"/>
    </row>
    <row r="103" spans="14:25" x14ac:dyDescent="0.4">
      <c r="N103" s="25">
        <v>45947</v>
      </c>
      <c r="O103" s="26">
        <v>0.55556712962962962</v>
      </c>
      <c r="P103" s="50" t="s">
        <v>1020</v>
      </c>
      <c r="Q103" s="50" t="s">
        <v>1029</v>
      </c>
      <c r="R103" s="50" t="s">
        <v>1070</v>
      </c>
      <c r="S103" s="50" t="s">
        <v>1869</v>
      </c>
      <c r="T103" s="50">
        <v>-12000</v>
      </c>
      <c r="U103" s="50" t="s">
        <v>1024</v>
      </c>
      <c r="V103" s="50" t="s">
        <v>1036</v>
      </c>
      <c r="W103" s="50" t="s">
        <v>1265</v>
      </c>
      <c r="X103" s="86"/>
      <c r="Y103" s="6"/>
    </row>
    <row r="104" spans="14:25" x14ac:dyDescent="0.4">
      <c r="N104" s="25">
        <v>45947</v>
      </c>
      <c r="O104" s="26">
        <v>0.51957175925925925</v>
      </c>
      <c r="P104" s="50" t="s">
        <v>1020</v>
      </c>
      <c r="Q104" s="50" t="s">
        <v>1029</v>
      </c>
      <c r="R104" s="50" t="s">
        <v>1070</v>
      </c>
      <c r="S104" s="50" t="s">
        <v>1870</v>
      </c>
      <c r="T104" s="50">
        <v>-18000</v>
      </c>
      <c r="U104" s="50" t="s">
        <v>1024</v>
      </c>
      <c r="V104" s="50" t="s">
        <v>1166</v>
      </c>
      <c r="W104" s="50"/>
      <c r="X104" s="86"/>
      <c r="Y104" s="6"/>
    </row>
    <row r="105" spans="14:25" x14ac:dyDescent="0.4">
      <c r="N105" s="25">
        <v>45947</v>
      </c>
      <c r="O105" s="26">
        <v>0.49148148148148152</v>
      </c>
      <c r="P105" s="50" t="s">
        <v>1020</v>
      </c>
      <c r="Q105" s="50" t="s">
        <v>1042</v>
      </c>
      <c r="R105" s="50" t="s">
        <v>1043</v>
      </c>
      <c r="S105" s="50" t="s">
        <v>1871</v>
      </c>
      <c r="T105" s="50">
        <v>-6700</v>
      </c>
      <c r="U105" s="50" t="s">
        <v>1024</v>
      </c>
      <c r="V105" s="50" t="s">
        <v>1025</v>
      </c>
      <c r="W105" s="50"/>
      <c r="X105" s="86"/>
      <c r="Y105" s="6"/>
    </row>
    <row r="106" spans="14:25" x14ac:dyDescent="0.4">
      <c r="N106" s="25">
        <v>45947</v>
      </c>
      <c r="O106" s="26">
        <v>0.49081018518518521</v>
      </c>
      <c r="P106" s="50" t="s">
        <v>1020</v>
      </c>
      <c r="Q106" s="50" t="s">
        <v>1042</v>
      </c>
      <c r="R106" s="50" t="s">
        <v>1043</v>
      </c>
      <c r="S106" s="50" t="s">
        <v>1871</v>
      </c>
      <c r="T106" s="50">
        <v>-5000</v>
      </c>
      <c r="U106" s="50" t="s">
        <v>1024</v>
      </c>
      <c r="V106" s="50" t="s">
        <v>1025</v>
      </c>
      <c r="W106" s="50"/>
      <c r="X106" s="86"/>
      <c r="Y106" s="6"/>
    </row>
    <row r="107" spans="14:25" x14ac:dyDescent="0.4">
      <c r="N107" s="4">
        <v>45947</v>
      </c>
      <c r="O107" s="4">
        <v>0.47335648148148152</v>
      </c>
      <c r="P107" s="4" t="s">
        <v>1020</v>
      </c>
      <c r="Q107" s="4" t="s">
        <v>1029</v>
      </c>
      <c r="R107" s="4" t="s">
        <v>1030</v>
      </c>
      <c r="S107" s="4" t="s">
        <v>1031</v>
      </c>
      <c r="T107" s="4">
        <v>-22720</v>
      </c>
      <c r="U107" s="4" t="s">
        <v>1024</v>
      </c>
      <c r="V107" s="4" t="s">
        <v>1025</v>
      </c>
      <c r="W107" s="4"/>
      <c r="X107" s="6"/>
      <c r="Y107" s="6"/>
    </row>
    <row r="108" spans="14:25" x14ac:dyDescent="0.4">
      <c r="N108" s="4">
        <v>45947</v>
      </c>
      <c r="O108" s="4">
        <v>0.46021990740740742</v>
      </c>
      <c r="P108" s="4" t="s">
        <v>1020</v>
      </c>
      <c r="Q108" s="4" t="s">
        <v>1042</v>
      </c>
      <c r="R108" s="4" t="s">
        <v>1054</v>
      </c>
      <c r="S108" s="4" t="s">
        <v>1872</v>
      </c>
      <c r="T108" s="4">
        <v>-73200</v>
      </c>
      <c r="U108" s="4" t="s">
        <v>1024</v>
      </c>
      <c r="V108" s="4" t="s">
        <v>1025</v>
      </c>
      <c r="W108" s="4"/>
      <c r="X108" s="6"/>
      <c r="Y108" s="6"/>
    </row>
    <row r="109" spans="14:25" x14ac:dyDescent="0.4">
      <c r="N109" s="4">
        <v>45947</v>
      </c>
      <c r="O109" s="4">
        <v>0.45989583333333328</v>
      </c>
      <c r="P109" s="4" t="s">
        <v>1020</v>
      </c>
      <c r="Q109" s="4" t="s">
        <v>1042</v>
      </c>
      <c r="R109" s="4" t="s">
        <v>1054</v>
      </c>
      <c r="S109" s="4" t="s">
        <v>1872</v>
      </c>
      <c r="T109" s="4">
        <v>-73200</v>
      </c>
      <c r="U109" s="4" t="s">
        <v>1024</v>
      </c>
      <c r="V109" s="4" t="s">
        <v>1025</v>
      </c>
      <c r="W109" s="4"/>
      <c r="X109" s="6"/>
      <c r="Y109" s="6"/>
    </row>
    <row r="110" spans="14:25" x14ac:dyDescent="0.4">
      <c r="N110" s="4">
        <v>45947</v>
      </c>
      <c r="O110" s="4">
        <v>0.38850694444444439</v>
      </c>
      <c r="P110" s="4" t="s">
        <v>1020</v>
      </c>
      <c r="Q110" s="4" t="s">
        <v>1029</v>
      </c>
      <c r="R110" s="4" t="s">
        <v>1045</v>
      </c>
      <c r="S110" s="4" t="s">
        <v>1122</v>
      </c>
      <c r="T110" s="4">
        <v>-113900</v>
      </c>
      <c r="U110" s="4" t="s">
        <v>1024</v>
      </c>
      <c r="V110" s="4" t="s">
        <v>1350</v>
      </c>
      <c r="W110" s="4"/>
      <c r="X110" s="6"/>
      <c r="Y110" s="6"/>
    </row>
    <row r="111" spans="14:25" x14ac:dyDescent="0.4">
      <c r="N111" s="4">
        <v>45947</v>
      </c>
      <c r="O111" s="4">
        <v>0.1834722222222222</v>
      </c>
      <c r="P111" s="4" t="s">
        <v>1073</v>
      </c>
      <c r="Q111" s="4" t="s">
        <v>1218</v>
      </c>
      <c r="R111" s="4" t="s">
        <v>1054</v>
      </c>
      <c r="S111" s="4" t="s">
        <v>1219</v>
      </c>
      <c r="T111" s="4">
        <v>635</v>
      </c>
      <c r="U111" s="4" t="s">
        <v>1024</v>
      </c>
      <c r="V111" s="4" t="s">
        <v>1216</v>
      </c>
      <c r="W111" s="4"/>
      <c r="X111" s="6"/>
      <c r="Y111" s="6"/>
    </row>
    <row r="112" spans="14:25" x14ac:dyDescent="0.4">
      <c r="N112" s="4">
        <v>45946</v>
      </c>
      <c r="O112" s="4">
        <v>0.18417824074074071</v>
      </c>
      <c r="P112" s="4" t="s">
        <v>1073</v>
      </c>
      <c r="Q112" s="4" t="s">
        <v>1218</v>
      </c>
      <c r="R112" s="4" t="s">
        <v>1054</v>
      </c>
      <c r="S112" s="4" t="s">
        <v>1219</v>
      </c>
      <c r="T112" s="4">
        <v>635</v>
      </c>
      <c r="U112" s="4" t="s">
        <v>1024</v>
      </c>
      <c r="V112" s="4" t="s">
        <v>1216</v>
      </c>
      <c r="W112" s="4"/>
      <c r="X112" s="6"/>
      <c r="Y112" s="6"/>
    </row>
    <row r="113" spans="14:25" x14ac:dyDescent="0.4">
      <c r="N113" s="4">
        <v>45945</v>
      </c>
      <c r="O113" s="4">
        <v>0.18289351851851851</v>
      </c>
      <c r="P113" s="4" t="s">
        <v>1073</v>
      </c>
      <c r="Q113" s="4" t="s">
        <v>1218</v>
      </c>
      <c r="R113" s="4" t="s">
        <v>1054</v>
      </c>
      <c r="S113" s="4" t="s">
        <v>1219</v>
      </c>
      <c r="T113" s="4">
        <v>635</v>
      </c>
      <c r="U113" s="4" t="s">
        <v>1024</v>
      </c>
      <c r="V113" s="4" t="s">
        <v>1216</v>
      </c>
      <c r="W113" s="4"/>
      <c r="X113" s="6"/>
      <c r="Y113" s="6"/>
    </row>
    <row r="114" spans="14:25" x14ac:dyDescent="0.4">
      <c r="N114" s="4">
        <v>45944</v>
      </c>
      <c r="O114" s="4">
        <v>0.60515046296296293</v>
      </c>
      <c r="P114" s="4" t="s">
        <v>1020</v>
      </c>
      <c r="Q114" s="4" t="s">
        <v>1021</v>
      </c>
      <c r="R114" s="4" t="s">
        <v>1295</v>
      </c>
      <c r="S114" s="4" t="s">
        <v>1502</v>
      </c>
      <c r="T114" s="4">
        <v>-14400</v>
      </c>
      <c r="U114" s="4" t="s">
        <v>1024</v>
      </c>
      <c r="V114" s="4" t="s">
        <v>1025</v>
      </c>
      <c r="W114" s="4"/>
      <c r="X114" s="6"/>
      <c r="Y114" s="6"/>
    </row>
    <row r="115" spans="14:25" x14ac:dyDescent="0.4">
      <c r="N115" s="4">
        <v>45944</v>
      </c>
      <c r="O115" s="4">
        <v>0.1841666666666667</v>
      </c>
      <c r="P115" s="4" t="s">
        <v>1073</v>
      </c>
      <c r="Q115" s="4" t="s">
        <v>1218</v>
      </c>
      <c r="R115" s="4" t="s">
        <v>1054</v>
      </c>
      <c r="S115" s="4" t="s">
        <v>1219</v>
      </c>
      <c r="T115" s="4">
        <v>635</v>
      </c>
      <c r="U115" s="4" t="s">
        <v>1024</v>
      </c>
      <c r="V115" s="4" t="s">
        <v>1216</v>
      </c>
      <c r="W115" s="4"/>
      <c r="X115" s="6"/>
      <c r="Y115" s="6"/>
    </row>
    <row r="116" spans="14:25" x14ac:dyDescent="0.4">
      <c r="N116" s="4">
        <v>45943</v>
      </c>
      <c r="O116" s="4">
        <v>0.85129629629629633</v>
      </c>
      <c r="P116" s="4" t="s">
        <v>1020</v>
      </c>
      <c r="Q116" s="4" t="s">
        <v>1029</v>
      </c>
      <c r="R116" s="4" t="s">
        <v>1030</v>
      </c>
      <c r="S116" s="4" t="s">
        <v>1031</v>
      </c>
      <c r="T116" s="4">
        <v>-14120</v>
      </c>
      <c r="U116" s="4" t="s">
        <v>1024</v>
      </c>
      <c r="V116" s="4" t="s">
        <v>1025</v>
      </c>
      <c r="W116" s="4"/>
      <c r="X116" s="6"/>
      <c r="Y116" s="6"/>
    </row>
    <row r="117" spans="14:25" x14ac:dyDescent="0.4">
      <c r="N117" s="4">
        <v>45943</v>
      </c>
      <c r="O117" s="4">
        <v>0.80761574074074072</v>
      </c>
      <c r="P117" s="4" t="s">
        <v>1053</v>
      </c>
      <c r="Q117" s="4" t="s">
        <v>1066</v>
      </c>
      <c r="R117" s="4" t="s">
        <v>1054</v>
      </c>
      <c r="S117" s="4" t="s">
        <v>1067</v>
      </c>
      <c r="T117" s="4">
        <v>-1046253</v>
      </c>
      <c r="U117" s="4" t="s">
        <v>1024</v>
      </c>
      <c r="V117" s="4" t="s">
        <v>1036</v>
      </c>
      <c r="W117" s="4"/>
      <c r="X117" s="6"/>
      <c r="Y117" s="6"/>
    </row>
    <row r="118" spans="14:25" x14ac:dyDescent="0.4">
      <c r="N118" s="4">
        <v>45943</v>
      </c>
      <c r="O118" s="4">
        <v>0.2364236111111111</v>
      </c>
      <c r="P118" s="4" t="s">
        <v>1073</v>
      </c>
      <c r="Q118" s="4" t="s">
        <v>1218</v>
      </c>
      <c r="R118" s="4" t="s">
        <v>1054</v>
      </c>
      <c r="S118" s="4" t="s">
        <v>1219</v>
      </c>
      <c r="T118" s="4">
        <v>635</v>
      </c>
      <c r="U118" s="4" t="s">
        <v>1024</v>
      </c>
      <c r="V118" s="4" t="s">
        <v>1216</v>
      </c>
      <c r="W118" s="4"/>
      <c r="X118" s="6"/>
      <c r="Y118" s="6"/>
    </row>
    <row r="119" spans="14:25" x14ac:dyDescent="0.4">
      <c r="N119" s="4">
        <v>45942</v>
      </c>
      <c r="O119" s="4">
        <v>0.7087268518518518</v>
      </c>
      <c r="P119" s="4" t="s">
        <v>1020</v>
      </c>
      <c r="Q119" s="4" t="s">
        <v>1029</v>
      </c>
      <c r="R119" s="4" t="s">
        <v>1070</v>
      </c>
      <c r="S119" s="4" t="s">
        <v>1873</v>
      </c>
      <c r="T119" s="4">
        <v>-14000</v>
      </c>
      <c r="U119" s="4" t="s">
        <v>1024</v>
      </c>
      <c r="V119" s="4" t="s">
        <v>1350</v>
      </c>
      <c r="W119" s="4" t="s">
        <v>1874</v>
      </c>
      <c r="X119" s="6"/>
      <c r="Y119" s="6"/>
    </row>
    <row r="120" spans="14:25" x14ac:dyDescent="0.4">
      <c r="N120" s="4">
        <v>45942</v>
      </c>
      <c r="O120" s="4">
        <v>0.40612268518518518</v>
      </c>
      <c r="P120" s="4" t="s">
        <v>1020</v>
      </c>
      <c r="Q120" s="4" t="s">
        <v>1029</v>
      </c>
      <c r="R120" s="4" t="s">
        <v>1030</v>
      </c>
      <c r="S120" s="4" t="s">
        <v>1031</v>
      </c>
      <c r="T120" s="4">
        <v>-14900</v>
      </c>
      <c r="U120" s="4" t="s">
        <v>1024</v>
      </c>
      <c r="V120" s="4" t="s">
        <v>1025</v>
      </c>
      <c r="W120" s="4" t="s">
        <v>1875</v>
      </c>
      <c r="X120" s="6"/>
      <c r="Y120" s="6"/>
    </row>
    <row r="121" spans="14:25" x14ac:dyDescent="0.4">
      <c r="N121" s="4">
        <v>45942</v>
      </c>
      <c r="O121" s="4">
        <v>0.24611111111111111</v>
      </c>
      <c r="P121" s="4" t="s">
        <v>1073</v>
      </c>
      <c r="Q121" s="4" t="s">
        <v>1218</v>
      </c>
      <c r="R121" s="4" t="s">
        <v>1054</v>
      </c>
      <c r="S121" s="4" t="s">
        <v>1219</v>
      </c>
      <c r="T121" s="4">
        <v>635</v>
      </c>
      <c r="U121" s="4" t="s">
        <v>1024</v>
      </c>
      <c r="V121" s="4" t="s">
        <v>1216</v>
      </c>
      <c r="W121" s="4"/>
      <c r="X121" s="6"/>
      <c r="Y121" s="6"/>
    </row>
    <row r="122" spans="14:25" x14ac:dyDescent="0.4">
      <c r="N122" s="4">
        <v>45941</v>
      </c>
      <c r="O122" s="4">
        <v>0.77997685185185184</v>
      </c>
      <c r="P122" s="4" t="s">
        <v>1020</v>
      </c>
      <c r="Q122" s="4" t="s">
        <v>1029</v>
      </c>
      <c r="R122" s="4" t="s">
        <v>1030</v>
      </c>
      <c r="S122" s="4" t="s">
        <v>1769</v>
      </c>
      <c r="T122" s="4">
        <v>-1500</v>
      </c>
      <c r="U122" s="4" t="s">
        <v>1024</v>
      </c>
      <c r="V122" s="4" t="s">
        <v>1125</v>
      </c>
      <c r="W122" s="4" t="s">
        <v>1876</v>
      </c>
      <c r="X122" s="6"/>
      <c r="Y122" s="6"/>
    </row>
    <row r="123" spans="14:25" x14ac:dyDescent="0.4">
      <c r="N123" s="4">
        <v>45941</v>
      </c>
      <c r="O123" s="4">
        <v>0.77348379629629627</v>
      </c>
      <c r="P123" s="4" t="s">
        <v>1020</v>
      </c>
      <c r="Q123" s="4" t="s">
        <v>1047</v>
      </c>
      <c r="R123" s="4" t="s">
        <v>1063</v>
      </c>
      <c r="S123" s="4" t="s">
        <v>1225</v>
      </c>
      <c r="T123" s="4">
        <v>-28000</v>
      </c>
      <c r="U123" s="4" t="s">
        <v>1024</v>
      </c>
      <c r="V123" s="4" t="s">
        <v>1025</v>
      </c>
      <c r="W123" s="4"/>
      <c r="X123" s="6"/>
      <c r="Y123" s="6"/>
    </row>
    <row r="124" spans="14:25" x14ac:dyDescent="0.4">
      <c r="N124" s="4">
        <v>45941</v>
      </c>
      <c r="O124" s="4">
        <v>0.26472222222222219</v>
      </c>
      <c r="P124" s="4" t="s">
        <v>1073</v>
      </c>
      <c r="Q124" s="4" t="s">
        <v>1218</v>
      </c>
      <c r="R124" s="4" t="s">
        <v>1054</v>
      </c>
      <c r="S124" s="4" t="s">
        <v>1877</v>
      </c>
      <c r="T124" s="4">
        <v>1</v>
      </c>
      <c r="U124" s="4" t="s">
        <v>1024</v>
      </c>
      <c r="V124" s="4" t="s">
        <v>1036</v>
      </c>
      <c r="W124" s="4"/>
      <c r="X124" s="6"/>
      <c r="Y124" s="6"/>
    </row>
    <row r="125" spans="14:25" x14ac:dyDescent="0.4">
      <c r="N125" s="4">
        <v>45941</v>
      </c>
      <c r="O125" s="4">
        <v>0.23622685185185191</v>
      </c>
      <c r="P125" s="4" t="s">
        <v>1073</v>
      </c>
      <c r="Q125" s="4" t="s">
        <v>1218</v>
      </c>
      <c r="R125" s="4" t="s">
        <v>1054</v>
      </c>
      <c r="S125" s="4" t="s">
        <v>1219</v>
      </c>
      <c r="T125" s="4">
        <v>635</v>
      </c>
      <c r="U125" s="4" t="s">
        <v>1024</v>
      </c>
      <c r="V125" s="4" t="s">
        <v>1216</v>
      </c>
      <c r="W125" s="4"/>
      <c r="X125" s="6"/>
      <c r="Y125" s="6"/>
    </row>
    <row r="126" spans="14:25" x14ac:dyDescent="0.4">
      <c r="N126" s="4">
        <v>45940</v>
      </c>
      <c r="O126" s="4">
        <v>0.23623842592592589</v>
      </c>
      <c r="P126" s="4" t="s">
        <v>1073</v>
      </c>
      <c r="Q126" s="4" t="s">
        <v>1218</v>
      </c>
      <c r="R126" s="4" t="s">
        <v>1054</v>
      </c>
      <c r="S126" s="4" t="s">
        <v>1219</v>
      </c>
      <c r="T126" s="4">
        <v>635</v>
      </c>
      <c r="U126" s="4" t="s">
        <v>1024</v>
      </c>
      <c r="V126" s="4" t="s">
        <v>1216</v>
      </c>
      <c r="W126" s="4"/>
      <c r="X126" s="6"/>
      <c r="Y126" s="6"/>
    </row>
    <row r="127" spans="14:25" x14ac:dyDescent="0.4">
      <c r="N127" s="4">
        <v>45939</v>
      </c>
      <c r="O127" s="4">
        <v>0.739837962962963</v>
      </c>
      <c r="P127" s="4" t="s">
        <v>1020</v>
      </c>
      <c r="Q127" s="4" t="s">
        <v>1022</v>
      </c>
      <c r="R127" s="4" t="s">
        <v>1313</v>
      </c>
      <c r="S127" s="4" t="s">
        <v>1878</v>
      </c>
      <c r="T127" s="4">
        <v>-22500</v>
      </c>
      <c r="U127" s="4" t="s">
        <v>1024</v>
      </c>
      <c r="V127" s="4" t="s">
        <v>1025</v>
      </c>
      <c r="W127" s="4" t="s">
        <v>1879</v>
      </c>
      <c r="X127" s="6"/>
      <c r="Y127" s="6"/>
    </row>
    <row r="128" spans="14:25" x14ac:dyDescent="0.4">
      <c r="N128" s="4">
        <v>45939</v>
      </c>
      <c r="O128" s="4">
        <v>0.71504629629629635</v>
      </c>
      <c r="P128" s="4" t="s">
        <v>1020</v>
      </c>
      <c r="Q128" s="4" t="s">
        <v>1022</v>
      </c>
      <c r="R128" s="4" t="s">
        <v>1313</v>
      </c>
      <c r="S128" s="4" t="s">
        <v>1880</v>
      </c>
      <c r="T128" s="4">
        <v>-41000</v>
      </c>
      <c r="U128" s="4" t="s">
        <v>1024</v>
      </c>
      <c r="V128" s="4" t="s">
        <v>1099</v>
      </c>
      <c r="W128" s="4"/>
      <c r="X128" s="6"/>
      <c r="Y128" s="6"/>
    </row>
    <row r="129" spans="14:25" x14ac:dyDescent="0.4">
      <c r="N129" s="4">
        <v>45939</v>
      </c>
      <c r="O129" s="4">
        <v>0.67230324074074077</v>
      </c>
      <c r="P129" s="4" t="s">
        <v>1020</v>
      </c>
      <c r="Q129" s="4" t="s">
        <v>1022</v>
      </c>
      <c r="R129" s="4" t="s">
        <v>1313</v>
      </c>
      <c r="S129" s="4" t="s">
        <v>1881</v>
      </c>
      <c r="T129" s="4">
        <v>-5000</v>
      </c>
      <c r="U129" s="4" t="s">
        <v>1024</v>
      </c>
      <c r="V129" s="4" t="s">
        <v>1025</v>
      </c>
      <c r="W129" s="4" t="s">
        <v>1882</v>
      </c>
      <c r="X129" s="6"/>
      <c r="Y129" s="6"/>
    </row>
    <row r="130" spans="14:25" x14ac:dyDescent="0.4">
      <c r="N130" s="4">
        <v>45939</v>
      </c>
      <c r="O130" s="4">
        <v>0.65824074074074079</v>
      </c>
      <c r="P130" s="4" t="s">
        <v>1020</v>
      </c>
      <c r="Q130" s="4" t="s">
        <v>1047</v>
      </c>
      <c r="R130" s="4" t="s">
        <v>1048</v>
      </c>
      <c r="S130" s="4" t="s">
        <v>1382</v>
      </c>
      <c r="T130" s="4">
        <v>-39200</v>
      </c>
      <c r="U130" s="4" t="s">
        <v>1024</v>
      </c>
      <c r="V130" s="4" t="s">
        <v>1099</v>
      </c>
      <c r="W130" s="4" t="s">
        <v>1883</v>
      </c>
      <c r="X130" s="6"/>
      <c r="Y130" s="6"/>
    </row>
    <row r="131" spans="14:25" x14ac:dyDescent="0.4">
      <c r="N131" s="4">
        <v>45939</v>
      </c>
      <c r="O131" s="4">
        <v>0.39068287037037042</v>
      </c>
      <c r="P131" s="4" t="s">
        <v>1020</v>
      </c>
      <c r="Q131" s="4" t="s">
        <v>1022</v>
      </c>
      <c r="R131" s="4" t="s">
        <v>1313</v>
      </c>
      <c r="S131" s="4" t="s">
        <v>1437</v>
      </c>
      <c r="T131" s="4">
        <v>-21700</v>
      </c>
      <c r="U131" s="4" t="s">
        <v>1024</v>
      </c>
      <c r="V131" s="4" t="s">
        <v>1025</v>
      </c>
      <c r="W131" s="4" t="s">
        <v>1884</v>
      </c>
      <c r="X131" s="6"/>
      <c r="Y131" s="6"/>
    </row>
    <row r="132" spans="14:25" x14ac:dyDescent="0.4">
      <c r="N132" s="4">
        <v>45939</v>
      </c>
      <c r="O132" s="4">
        <v>0.35848379629629629</v>
      </c>
      <c r="P132" s="4" t="s">
        <v>1020</v>
      </c>
      <c r="Q132" s="4" t="s">
        <v>1022</v>
      </c>
      <c r="R132" s="4" t="s">
        <v>1313</v>
      </c>
      <c r="S132" s="4" t="s">
        <v>1885</v>
      </c>
      <c r="T132" s="4">
        <v>-4500</v>
      </c>
      <c r="U132" s="4" t="s">
        <v>1024</v>
      </c>
      <c r="V132" s="4" t="s">
        <v>1099</v>
      </c>
      <c r="W132" s="4" t="s">
        <v>1380</v>
      </c>
      <c r="X132" s="6"/>
      <c r="Y132" s="6"/>
    </row>
    <row r="133" spans="14:25" x14ac:dyDescent="0.4">
      <c r="N133" s="4">
        <v>45939</v>
      </c>
      <c r="O133" s="4">
        <v>0.35752314814814817</v>
      </c>
      <c r="P133" s="4" t="s">
        <v>1020</v>
      </c>
      <c r="Q133" s="4" t="s">
        <v>1022</v>
      </c>
      <c r="R133" s="4" t="s">
        <v>1313</v>
      </c>
      <c r="S133" s="4" t="s">
        <v>1885</v>
      </c>
      <c r="T133" s="4">
        <v>-13000</v>
      </c>
      <c r="U133" s="4" t="s">
        <v>1024</v>
      </c>
      <c r="V133" s="4" t="s">
        <v>1099</v>
      </c>
      <c r="W133" s="4" t="s">
        <v>1380</v>
      </c>
      <c r="X133" s="6"/>
      <c r="Y133" s="6"/>
    </row>
    <row r="134" spans="14:25" x14ac:dyDescent="0.4">
      <c r="N134" s="4">
        <v>45939</v>
      </c>
      <c r="O134" s="4">
        <v>0.23518518518518519</v>
      </c>
      <c r="P134" s="4" t="s">
        <v>1073</v>
      </c>
      <c r="Q134" s="4" t="s">
        <v>1218</v>
      </c>
      <c r="R134" s="4" t="s">
        <v>1054</v>
      </c>
      <c r="S134" s="4" t="s">
        <v>1219</v>
      </c>
      <c r="T134" s="4">
        <v>635</v>
      </c>
      <c r="U134" s="4" t="s">
        <v>1024</v>
      </c>
      <c r="V134" s="4" t="s">
        <v>1216</v>
      </c>
      <c r="W134" s="4"/>
      <c r="X134" s="6"/>
      <c r="Y134" s="6"/>
    </row>
    <row r="135" spans="14:25" x14ac:dyDescent="0.4">
      <c r="N135" s="4">
        <v>45938</v>
      </c>
      <c r="O135" s="4">
        <v>0.7283680555555555</v>
      </c>
      <c r="P135" s="4" t="s">
        <v>1020</v>
      </c>
      <c r="Q135" s="4" t="s">
        <v>1029</v>
      </c>
      <c r="R135" s="4" t="s">
        <v>1030</v>
      </c>
      <c r="S135" s="4" t="s">
        <v>1069</v>
      </c>
      <c r="T135" s="4">
        <v>-4400</v>
      </c>
      <c r="U135" s="4" t="s">
        <v>1024</v>
      </c>
      <c r="V135" s="4" t="s">
        <v>1025</v>
      </c>
      <c r="W135" s="4" t="s">
        <v>1886</v>
      </c>
      <c r="X135" s="6"/>
      <c r="Y135" s="6"/>
    </row>
    <row r="136" spans="14:25" x14ac:dyDescent="0.4">
      <c r="N136" s="4">
        <v>45938</v>
      </c>
      <c r="O136" s="4">
        <v>0.72103009259259254</v>
      </c>
      <c r="P136" s="4" t="s">
        <v>1020</v>
      </c>
      <c r="Q136" s="4" t="s">
        <v>1029</v>
      </c>
      <c r="R136" s="4" t="s">
        <v>1045</v>
      </c>
      <c r="S136" s="4" t="s">
        <v>1628</v>
      </c>
      <c r="T136" s="4">
        <v>-995</v>
      </c>
      <c r="U136" s="4" t="s">
        <v>1024</v>
      </c>
      <c r="V136" s="4" t="s">
        <v>1036</v>
      </c>
      <c r="W136" s="4" t="s">
        <v>1887</v>
      </c>
      <c r="X136" s="6"/>
      <c r="Y136" s="6"/>
    </row>
    <row r="137" spans="14:25" x14ac:dyDescent="0.4">
      <c r="N137" s="4">
        <v>45938</v>
      </c>
      <c r="O137" s="4">
        <v>0.6980439814814815</v>
      </c>
      <c r="P137" s="4" t="s">
        <v>1020</v>
      </c>
      <c r="Q137" s="4" t="s">
        <v>1022</v>
      </c>
      <c r="R137" s="4" t="s">
        <v>1313</v>
      </c>
      <c r="S137" s="4" t="s">
        <v>1375</v>
      </c>
      <c r="T137" s="4">
        <v>-75000</v>
      </c>
      <c r="U137" s="4" t="s">
        <v>1024</v>
      </c>
      <c r="V137" s="4" t="s">
        <v>1025</v>
      </c>
      <c r="W137" s="4" t="s">
        <v>1888</v>
      </c>
      <c r="X137" s="6"/>
      <c r="Y137" s="6"/>
    </row>
    <row r="138" spans="14:25" x14ac:dyDescent="0.4">
      <c r="N138" s="4">
        <v>45938</v>
      </c>
      <c r="O138" s="4">
        <v>0.67942129629629633</v>
      </c>
      <c r="P138" s="4" t="s">
        <v>1020</v>
      </c>
      <c r="Q138" s="4" t="s">
        <v>1047</v>
      </c>
      <c r="R138" s="4" t="s">
        <v>1048</v>
      </c>
      <c r="S138" s="4" t="s">
        <v>1889</v>
      </c>
      <c r="T138" s="4">
        <v>-15000</v>
      </c>
      <c r="U138" s="4" t="s">
        <v>1024</v>
      </c>
      <c r="V138" s="4" t="s">
        <v>1099</v>
      </c>
      <c r="W138" s="4" t="s">
        <v>1890</v>
      </c>
      <c r="X138" s="6"/>
      <c r="Y138" s="6"/>
    </row>
    <row r="139" spans="14:25" x14ac:dyDescent="0.4">
      <c r="N139" s="4">
        <v>45938</v>
      </c>
      <c r="O139" s="4">
        <v>0.66753472222222221</v>
      </c>
      <c r="P139" s="4" t="s">
        <v>1020</v>
      </c>
      <c r="Q139" s="4" t="s">
        <v>1047</v>
      </c>
      <c r="R139" s="4" t="s">
        <v>1406</v>
      </c>
      <c r="S139" s="4" t="s">
        <v>1889</v>
      </c>
      <c r="T139" s="4">
        <v>-30500</v>
      </c>
      <c r="U139" s="4" t="s">
        <v>1024</v>
      </c>
      <c r="V139" s="4" t="s">
        <v>1099</v>
      </c>
      <c r="W139" s="4" t="s">
        <v>1891</v>
      </c>
      <c r="X139" s="6"/>
      <c r="Y139" s="6"/>
    </row>
    <row r="140" spans="14:25" x14ac:dyDescent="0.4">
      <c r="N140" s="4">
        <v>45938</v>
      </c>
      <c r="O140" s="4">
        <v>0.65050925925925929</v>
      </c>
      <c r="P140" s="4" t="s">
        <v>1020</v>
      </c>
      <c r="Q140" s="4" t="s">
        <v>1047</v>
      </c>
      <c r="R140" s="4" t="s">
        <v>1086</v>
      </c>
      <c r="S140" s="4" t="s">
        <v>1375</v>
      </c>
      <c r="T140" s="4">
        <v>-97000</v>
      </c>
      <c r="U140" s="4" t="s">
        <v>1024</v>
      </c>
      <c r="V140" s="4" t="s">
        <v>1025</v>
      </c>
      <c r="W140" s="4" t="s">
        <v>1892</v>
      </c>
      <c r="X140" s="6"/>
      <c r="Y140" s="6"/>
    </row>
    <row r="141" spans="14:25" x14ac:dyDescent="0.4">
      <c r="N141" s="4">
        <v>45938</v>
      </c>
      <c r="O141" s="4">
        <v>0.5997569444444445</v>
      </c>
      <c r="P141" s="4" t="s">
        <v>1020</v>
      </c>
      <c r="Q141" s="4" t="s">
        <v>1022</v>
      </c>
      <c r="R141" s="4" t="s">
        <v>1032</v>
      </c>
      <c r="S141" s="4" t="s">
        <v>1893</v>
      </c>
      <c r="T141" s="4">
        <v>-16200</v>
      </c>
      <c r="U141" s="4" t="s">
        <v>1024</v>
      </c>
      <c r="V141" s="4" t="s">
        <v>1025</v>
      </c>
      <c r="W141" s="4" t="s">
        <v>1894</v>
      </c>
      <c r="X141" s="6"/>
      <c r="Y141" s="6"/>
    </row>
    <row r="142" spans="14:25" x14ac:dyDescent="0.4">
      <c r="N142" s="4">
        <v>45938</v>
      </c>
      <c r="O142" s="4">
        <v>0.57975694444444448</v>
      </c>
      <c r="P142" s="4" t="s">
        <v>1020</v>
      </c>
      <c r="Q142" s="4" t="s">
        <v>1047</v>
      </c>
      <c r="R142" s="4" t="s">
        <v>1177</v>
      </c>
      <c r="S142" s="4" t="s">
        <v>1889</v>
      </c>
      <c r="T142" s="4">
        <v>-30000</v>
      </c>
      <c r="U142" s="4" t="s">
        <v>1024</v>
      </c>
      <c r="V142" s="4" t="s">
        <v>1099</v>
      </c>
      <c r="W142" s="4" t="s">
        <v>1895</v>
      </c>
      <c r="X142" s="6"/>
      <c r="Y142" s="6"/>
    </row>
    <row r="143" spans="14:25" x14ac:dyDescent="0.4">
      <c r="N143" s="4">
        <v>45938</v>
      </c>
      <c r="O143" s="4">
        <v>0.51371527777777781</v>
      </c>
      <c r="P143" s="4" t="s">
        <v>1020</v>
      </c>
      <c r="Q143" s="4" t="s">
        <v>1029</v>
      </c>
      <c r="R143" s="4" t="s">
        <v>1070</v>
      </c>
      <c r="S143" s="4" t="s">
        <v>1896</v>
      </c>
      <c r="T143" s="4">
        <v>-58000</v>
      </c>
      <c r="U143" s="4" t="s">
        <v>1024</v>
      </c>
      <c r="V143" s="4" t="s">
        <v>1025</v>
      </c>
      <c r="W143" s="4"/>
      <c r="X143" s="6"/>
      <c r="Y143" s="6"/>
    </row>
    <row r="144" spans="14:25" x14ac:dyDescent="0.4">
      <c r="N144" s="4">
        <v>45938</v>
      </c>
      <c r="O144" s="4">
        <v>0.2351273148148148</v>
      </c>
      <c r="P144" s="4" t="s">
        <v>1073</v>
      </c>
      <c r="Q144" s="4" t="s">
        <v>1218</v>
      </c>
      <c r="R144" s="4" t="s">
        <v>1054</v>
      </c>
      <c r="S144" s="4" t="s">
        <v>1219</v>
      </c>
      <c r="T144" s="4">
        <v>635</v>
      </c>
      <c r="U144" s="4" t="s">
        <v>1024</v>
      </c>
      <c r="V144" s="4" t="s">
        <v>1216</v>
      </c>
      <c r="W144" s="4"/>
      <c r="X144" s="6"/>
      <c r="Y144" s="6"/>
    </row>
    <row r="145" spans="14:25" x14ac:dyDescent="0.4">
      <c r="N145" s="4">
        <v>45937</v>
      </c>
      <c r="O145" s="4">
        <v>0.80298611111111107</v>
      </c>
      <c r="P145" s="4" t="s">
        <v>1020</v>
      </c>
      <c r="Q145" s="4" t="s">
        <v>1029</v>
      </c>
      <c r="R145" s="4" t="s">
        <v>1070</v>
      </c>
      <c r="S145" s="4" t="s">
        <v>1071</v>
      </c>
      <c r="T145" s="4">
        <v>-15600</v>
      </c>
      <c r="U145" s="4" t="s">
        <v>1024</v>
      </c>
      <c r="V145" s="4" t="s">
        <v>1025</v>
      </c>
      <c r="W145" s="4" t="s">
        <v>1897</v>
      </c>
      <c r="X145" s="6"/>
      <c r="Y145" s="6"/>
    </row>
    <row r="146" spans="14:25" x14ac:dyDescent="0.4">
      <c r="N146" s="4">
        <v>45937</v>
      </c>
      <c r="O146" s="4">
        <v>0.76471064814814815</v>
      </c>
      <c r="P146" s="4" t="s">
        <v>1020</v>
      </c>
      <c r="Q146" s="4" t="s">
        <v>1029</v>
      </c>
      <c r="R146" s="4" t="s">
        <v>1030</v>
      </c>
      <c r="S146" s="4" t="s">
        <v>1513</v>
      </c>
      <c r="T146" s="4">
        <v>-7100</v>
      </c>
      <c r="U146" s="4" t="s">
        <v>1024</v>
      </c>
      <c r="V146" s="4" t="s">
        <v>1025</v>
      </c>
      <c r="W146" s="4" t="s">
        <v>1681</v>
      </c>
      <c r="X146" s="6"/>
      <c r="Y146" s="6"/>
    </row>
    <row r="147" spans="14:25" x14ac:dyDescent="0.4">
      <c r="N147" s="4">
        <v>45937</v>
      </c>
      <c r="O147" s="4">
        <v>0.58182870370370365</v>
      </c>
      <c r="P147" s="4" t="s">
        <v>1020</v>
      </c>
      <c r="Q147" s="4" t="s">
        <v>1047</v>
      </c>
      <c r="R147" s="4" t="s">
        <v>1406</v>
      </c>
      <c r="S147" s="4" t="s">
        <v>1031</v>
      </c>
      <c r="T147" s="4">
        <v>-16700</v>
      </c>
      <c r="U147" s="4" t="s">
        <v>1024</v>
      </c>
      <c r="V147" s="4" t="s">
        <v>1025</v>
      </c>
      <c r="W147" s="4" t="s">
        <v>1898</v>
      </c>
      <c r="X147" s="6"/>
      <c r="Y147" s="6"/>
    </row>
    <row r="148" spans="14:25" x14ac:dyDescent="0.4">
      <c r="N148" s="4">
        <v>45937</v>
      </c>
      <c r="O148" s="4">
        <v>0.57651620370370371</v>
      </c>
      <c r="P148" s="4" t="s">
        <v>1020</v>
      </c>
      <c r="Q148" s="4" t="s">
        <v>1029</v>
      </c>
      <c r="R148" s="4" t="s">
        <v>1045</v>
      </c>
      <c r="S148" s="4" t="s">
        <v>1899</v>
      </c>
      <c r="T148" s="4">
        <v>-18600</v>
      </c>
      <c r="U148" s="4" t="s">
        <v>1024</v>
      </c>
      <c r="V148" s="4" t="s">
        <v>1099</v>
      </c>
      <c r="W148" s="4" t="s">
        <v>1900</v>
      </c>
      <c r="X148" s="6"/>
      <c r="Y148" s="6"/>
    </row>
    <row r="149" spans="14:25" x14ac:dyDescent="0.4">
      <c r="N149" s="4">
        <v>45937</v>
      </c>
      <c r="O149" s="4">
        <v>0.55466435185185181</v>
      </c>
      <c r="P149" s="4" t="s">
        <v>1020</v>
      </c>
      <c r="Q149" s="4" t="s">
        <v>1029</v>
      </c>
      <c r="R149" s="4" t="s">
        <v>1045</v>
      </c>
      <c r="S149" s="4" t="s">
        <v>1031</v>
      </c>
      <c r="T149" s="4">
        <v>-99800</v>
      </c>
      <c r="U149" s="4" t="s">
        <v>1024</v>
      </c>
      <c r="V149" s="4" t="s">
        <v>1025</v>
      </c>
      <c r="W149" s="4" t="s">
        <v>1901</v>
      </c>
      <c r="X149" s="6"/>
      <c r="Y149" s="6"/>
    </row>
    <row r="150" spans="14:25" x14ac:dyDescent="0.4">
      <c r="N150" s="4">
        <v>45937</v>
      </c>
      <c r="O150" s="4">
        <v>0.54841435185185183</v>
      </c>
      <c r="P150" s="4" t="s">
        <v>1020</v>
      </c>
      <c r="Q150" s="4" t="s">
        <v>1029</v>
      </c>
      <c r="R150" s="4" t="s">
        <v>1045</v>
      </c>
      <c r="S150" s="4" t="s">
        <v>1031</v>
      </c>
      <c r="T150" s="4">
        <v>-19140</v>
      </c>
      <c r="U150" s="4" t="s">
        <v>1024</v>
      </c>
      <c r="V150" s="4" t="s">
        <v>1025</v>
      </c>
      <c r="W150" s="4" t="s">
        <v>1902</v>
      </c>
      <c r="X150" s="6"/>
      <c r="Y150" s="6"/>
    </row>
    <row r="151" spans="14:25" x14ac:dyDescent="0.4">
      <c r="N151" s="4">
        <v>45937</v>
      </c>
      <c r="O151" s="4">
        <v>0.23931712962962959</v>
      </c>
      <c r="P151" s="4" t="s">
        <v>1073</v>
      </c>
      <c r="Q151" s="4" t="s">
        <v>1218</v>
      </c>
      <c r="R151" s="4" t="s">
        <v>1054</v>
      </c>
      <c r="S151" s="4" t="s">
        <v>1219</v>
      </c>
      <c r="T151" s="4">
        <v>635</v>
      </c>
      <c r="U151" s="4" t="s">
        <v>1024</v>
      </c>
      <c r="V151" s="4" t="s">
        <v>1216</v>
      </c>
      <c r="W151" s="4"/>
      <c r="X151" s="6"/>
      <c r="Y151" s="6"/>
    </row>
    <row r="152" spans="14:25" x14ac:dyDescent="0.4">
      <c r="N152" s="4">
        <v>45936</v>
      </c>
      <c r="O152" s="4">
        <v>0.85143518518518524</v>
      </c>
      <c r="P152" s="4" t="s">
        <v>1020</v>
      </c>
      <c r="Q152" s="4" t="s">
        <v>1029</v>
      </c>
      <c r="R152" s="4" t="s">
        <v>1045</v>
      </c>
      <c r="S152" s="4" t="s">
        <v>1031</v>
      </c>
      <c r="T152" s="4">
        <v>-19000</v>
      </c>
      <c r="U152" s="4" t="s">
        <v>1024</v>
      </c>
      <c r="V152" s="4" t="s">
        <v>1025</v>
      </c>
      <c r="W152" s="4" t="s">
        <v>1903</v>
      </c>
      <c r="X152" s="6"/>
      <c r="Y152" s="6"/>
    </row>
    <row r="153" spans="14:25" x14ac:dyDescent="0.4">
      <c r="N153" s="4">
        <v>45936</v>
      </c>
      <c r="O153" s="4">
        <v>0.31013888888888891</v>
      </c>
      <c r="P153" s="4" t="s">
        <v>1020</v>
      </c>
      <c r="Q153" s="4" t="s">
        <v>1047</v>
      </c>
      <c r="R153" s="4" t="s">
        <v>1406</v>
      </c>
      <c r="S153" s="4" t="s">
        <v>1031</v>
      </c>
      <c r="T153" s="4">
        <v>-6260</v>
      </c>
      <c r="U153" s="4" t="s">
        <v>1024</v>
      </c>
      <c r="V153" s="4" t="s">
        <v>1025</v>
      </c>
      <c r="W153" s="4" t="s">
        <v>1904</v>
      </c>
      <c r="X153" s="6"/>
      <c r="Y153" s="6"/>
    </row>
    <row r="154" spans="14:25" x14ac:dyDescent="0.4">
      <c r="N154" s="4">
        <v>45936</v>
      </c>
      <c r="O154" s="4">
        <v>0.24559027777777781</v>
      </c>
      <c r="P154" s="4" t="s">
        <v>1073</v>
      </c>
      <c r="Q154" s="4" t="s">
        <v>1218</v>
      </c>
      <c r="R154" s="4" t="s">
        <v>1054</v>
      </c>
      <c r="S154" s="4" t="s">
        <v>1219</v>
      </c>
      <c r="T154" s="4">
        <v>635</v>
      </c>
      <c r="U154" s="4" t="s">
        <v>1024</v>
      </c>
      <c r="V154" s="4" t="s">
        <v>1216</v>
      </c>
      <c r="W154" s="4"/>
      <c r="X154" s="6"/>
      <c r="Y154" s="6"/>
    </row>
    <row r="155" spans="14:25" x14ac:dyDescent="0.4">
      <c r="N155" s="4">
        <v>45935</v>
      </c>
      <c r="O155" s="4">
        <v>0.88607638888888884</v>
      </c>
      <c r="P155" s="4" t="s">
        <v>1020</v>
      </c>
      <c r="Q155" s="4" t="s">
        <v>1029</v>
      </c>
      <c r="R155" s="4" t="s">
        <v>1045</v>
      </c>
      <c r="S155" s="4" t="s">
        <v>1031</v>
      </c>
      <c r="T155" s="4">
        <v>-16340</v>
      </c>
      <c r="U155" s="4" t="s">
        <v>1024</v>
      </c>
      <c r="V155" s="4" t="s">
        <v>1025</v>
      </c>
      <c r="W155" s="4" t="s">
        <v>1905</v>
      </c>
      <c r="X155" s="6"/>
      <c r="Y155" s="6"/>
    </row>
    <row r="156" spans="14:25" x14ac:dyDescent="0.4">
      <c r="N156" s="4">
        <v>45935</v>
      </c>
      <c r="O156" s="4">
        <v>0.81883101851851847</v>
      </c>
      <c r="P156" s="4" t="s">
        <v>1020</v>
      </c>
      <c r="Q156" s="4" t="s">
        <v>1029</v>
      </c>
      <c r="R156" s="4" t="s">
        <v>1045</v>
      </c>
      <c r="S156" s="4" t="s">
        <v>1031</v>
      </c>
      <c r="T156" s="4">
        <v>-27110</v>
      </c>
      <c r="U156" s="4" t="s">
        <v>1024</v>
      </c>
      <c r="V156" s="4" t="s">
        <v>1025</v>
      </c>
      <c r="W156" s="4"/>
      <c r="X156" s="6"/>
      <c r="Y156" s="6"/>
    </row>
    <row r="157" spans="14:25" x14ac:dyDescent="0.4">
      <c r="N157" s="4">
        <v>45935</v>
      </c>
      <c r="O157" s="4">
        <v>0.8081018518518519</v>
      </c>
      <c r="P157" s="4" t="s">
        <v>1020</v>
      </c>
      <c r="Q157" s="4" t="s">
        <v>1047</v>
      </c>
      <c r="R157" s="4" t="s">
        <v>1406</v>
      </c>
      <c r="S157" s="4" t="s">
        <v>1906</v>
      </c>
      <c r="T157" s="4">
        <v>-7200</v>
      </c>
      <c r="U157" s="4" t="s">
        <v>1024</v>
      </c>
      <c r="V157" s="4" t="s">
        <v>1025</v>
      </c>
      <c r="W157" s="4" t="s">
        <v>1907</v>
      </c>
      <c r="X157" s="6"/>
      <c r="Y157" s="6"/>
    </row>
    <row r="158" spans="14:25" x14ac:dyDescent="0.4">
      <c r="N158" s="4">
        <v>45935</v>
      </c>
      <c r="O158" s="4">
        <v>0.78355324074074073</v>
      </c>
      <c r="P158" s="4" t="s">
        <v>1020</v>
      </c>
      <c r="Q158" s="4" t="s">
        <v>1022</v>
      </c>
      <c r="R158" s="4" t="s">
        <v>1032</v>
      </c>
      <c r="S158" s="4" t="s">
        <v>1435</v>
      </c>
      <c r="T158" s="4">
        <v>-5800</v>
      </c>
      <c r="U158" s="4" t="s">
        <v>1024</v>
      </c>
      <c r="V158" s="4" t="s">
        <v>1025</v>
      </c>
      <c r="W158" s="4" t="s">
        <v>1908</v>
      </c>
      <c r="X158" s="6"/>
      <c r="Y158" s="6"/>
    </row>
    <row r="159" spans="14:25" x14ac:dyDescent="0.4">
      <c r="N159" s="4">
        <v>45935</v>
      </c>
      <c r="O159" s="4">
        <v>0.74388888888888893</v>
      </c>
      <c r="P159" s="4" t="s">
        <v>1053</v>
      </c>
      <c r="Q159" s="4" t="s">
        <v>1053</v>
      </c>
      <c r="R159" s="4" t="s">
        <v>1054</v>
      </c>
      <c r="S159" s="4" t="s">
        <v>1055</v>
      </c>
      <c r="T159" s="4">
        <v>6000</v>
      </c>
      <c r="U159" s="4" t="s">
        <v>1024</v>
      </c>
      <c r="V159" s="4" t="s">
        <v>1166</v>
      </c>
      <c r="W159" s="4"/>
      <c r="X159" s="6"/>
      <c r="Y159" s="6"/>
    </row>
    <row r="160" spans="14:25" x14ac:dyDescent="0.4">
      <c r="N160" s="4">
        <v>45935</v>
      </c>
      <c r="O160" s="4">
        <v>0.68812499999999999</v>
      </c>
      <c r="P160" s="4" t="s">
        <v>1020</v>
      </c>
      <c r="Q160" s="4" t="s">
        <v>1022</v>
      </c>
      <c r="R160" s="4" t="s">
        <v>1032</v>
      </c>
      <c r="S160" s="4" t="s">
        <v>1909</v>
      </c>
      <c r="T160" s="4">
        <v>-20800</v>
      </c>
      <c r="U160" s="4" t="s">
        <v>1024</v>
      </c>
      <c r="V160" s="4" t="s">
        <v>1025</v>
      </c>
      <c r="W160" s="4"/>
      <c r="X160" s="6"/>
      <c r="Y160" s="6"/>
    </row>
    <row r="161" spans="14:25" x14ac:dyDescent="0.4">
      <c r="N161" s="4">
        <v>45935</v>
      </c>
      <c r="O161" s="4">
        <v>0.65780092592592587</v>
      </c>
      <c r="P161" s="4" t="s">
        <v>1020</v>
      </c>
      <c r="Q161" s="4" t="s">
        <v>1022</v>
      </c>
      <c r="R161" s="4" t="s">
        <v>1032</v>
      </c>
      <c r="S161" s="4" t="s">
        <v>1910</v>
      </c>
      <c r="T161" s="4">
        <v>-3000</v>
      </c>
      <c r="U161" s="4" t="s">
        <v>1024</v>
      </c>
      <c r="V161" s="4" t="s">
        <v>1036</v>
      </c>
      <c r="W161" s="4" t="s">
        <v>1911</v>
      </c>
      <c r="X161" s="6"/>
      <c r="Y161" s="6"/>
    </row>
    <row r="162" spans="14:25" x14ac:dyDescent="0.4">
      <c r="N162" s="4">
        <v>45935</v>
      </c>
      <c r="O162" s="4">
        <v>0.65459490740740744</v>
      </c>
      <c r="P162" s="4" t="s">
        <v>1020</v>
      </c>
      <c r="Q162" s="4" t="s">
        <v>1022</v>
      </c>
      <c r="R162" s="4" t="s">
        <v>1032</v>
      </c>
      <c r="S162" s="4" t="s">
        <v>1440</v>
      </c>
      <c r="T162" s="4">
        <v>-52000</v>
      </c>
      <c r="U162" s="4" t="s">
        <v>1024</v>
      </c>
      <c r="V162" s="4" t="s">
        <v>1166</v>
      </c>
      <c r="W162" s="4"/>
      <c r="X162" s="6"/>
      <c r="Y162" s="6"/>
    </row>
    <row r="163" spans="14:25" x14ac:dyDescent="0.4">
      <c r="N163" s="4">
        <v>45935</v>
      </c>
      <c r="O163" s="4">
        <v>0.53540509259259261</v>
      </c>
      <c r="P163" s="4" t="s">
        <v>1020</v>
      </c>
      <c r="Q163" s="4" t="s">
        <v>1022</v>
      </c>
      <c r="R163" s="4" t="s">
        <v>1032</v>
      </c>
      <c r="S163" s="4" t="s">
        <v>1912</v>
      </c>
      <c r="T163" s="4">
        <v>-33000</v>
      </c>
      <c r="U163" s="4" t="s">
        <v>1024</v>
      </c>
      <c r="V163" s="4" t="s">
        <v>1025</v>
      </c>
      <c r="W163" s="4" t="s">
        <v>1913</v>
      </c>
      <c r="X163" s="6"/>
      <c r="Y163" s="6"/>
    </row>
    <row r="164" spans="14:25" x14ac:dyDescent="0.4">
      <c r="N164" s="4">
        <v>45935</v>
      </c>
      <c r="O164" s="4">
        <v>0.5269328703703704</v>
      </c>
      <c r="P164" s="4" t="s">
        <v>1020</v>
      </c>
      <c r="Q164" s="4" t="s">
        <v>1022</v>
      </c>
      <c r="R164" s="4" t="s">
        <v>1032</v>
      </c>
      <c r="S164" s="4" t="s">
        <v>1914</v>
      </c>
      <c r="T164" s="4">
        <v>-5500</v>
      </c>
      <c r="U164" s="4" t="s">
        <v>1024</v>
      </c>
      <c r="V164" s="4" t="s">
        <v>1166</v>
      </c>
      <c r="W164" s="4" t="s">
        <v>1915</v>
      </c>
      <c r="X164" s="6"/>
      <c r="Y164" s="6"/>
    </row>
    <row r="165" spans="14:25" x14ac:dyDescent="0.4">
      <c r="N165" s="4">
        <v>45935</v>
      </c>
      <c r="O165" s="4">
        <v>0.5202430555555555</v>
      </c>
      <c r="P165" s="4" t="s">
        <v>1020</v>
      </c>
      <c r="Q165" s="4" t="s">
        <v>1047</v>
      </c>
      <c r="R165" s="4" t="s">
        <v>1177</v>
      </c>
      <c r="S165" s="4" t="s">
        <v>1916</v>
      </c>
      <c r="T165" s="4">
        <v>-27000</v>
      </c>
      <c r="U165" s="4" t="s">
        <v>1024</v>
      </c>
      <c r="V165" s="4" t="s">
        <v>1036</v>
      </c>
      <c r="W165" s="4" t="s">
        <v>1917</v>
      </c>
      <c r="X165" s="6"/>
      <c r="Y165" s="6"/>
    </row>
    <row r="166" spans="14:25" x14ac:dyDescent="0.4">
      <c r="N166" s="4">
        <v>45935</v>
      </c>
      <c r="O166" s="4">
        <v>0.50994212962962959</v>
      </c>
      <c r="P166" s="4" t="s">
        <v>1020</v>
      </c>
      <c r="Q166" s="4" t="s">
        <v>1022</v>
      </c>
      <c r="R166" s="4" t="s">
        <v>1032</v>
      </c>
      <c r="S166" s="4" t="s">
        <v>1918</v>
      </c>
      <c r="T166" s="4">
        <v>-2000</v>
      </c>
      <c r="U166" s="4" t="s">
        <v>1024</v>
      </c>
      <c r="V166" s="4" t="s">
        <v>1166</v>
      </c>
      <c r="W166" s="4" t="s">
        <v>1919</v>
      </c>
      <c r="X166" s="6"/>
      <c r="Y166" s="6"/>
    </row>
    <row r="167" spans="14:25" x14ac:dyDescent="0.4">
      <c r="N167" s="4">
        <v>45935</v>
      </c>
      <c r="O167" s="4">
        <v>0.49833333333333341</v>
      </c>
      <c r="P167" s="4" t="s">
        <v>1020</v>
      </c>
      <c r="Q167" s="4" t="s">
        <v>1022</v>
      </c>
      <c r="R167" s="4" t="s">
        <v>1032</v>
      </c>
      <c r="S167" s="4" t="s">
        <v>1918</v>
      </c>
      <c r="T167" s="4">
        <v>-3500</v>
      </c>
      <c r="U167" s="4" t="s">
        <v>1024</v>
      </c>
      <c r="V167" s="4" t="s">
        <v>1166</v>
      </c>
      <c r="W167" s="4" t="s">
        <v>1920</v>
      </c>
      <c r="X167" s="6"/>
      <c r="Y167" s="6"/>
    </row>
    <row r="168" spans="14:25" x14ac:dyDescent="0.4">
      <c r="N168" s="4">
        <v>45935</v>
      </c>
      <c r="O168" s="4">
        <v>0.49701388888888892</v>
      </c>
      <c r="P168" s="4" t="s">
        <v>1020</v>
      </c>
      <c r="Q168" s="4" t="s">
        <v>1022</v>
      </c>
      <c r="R168" s="4" t="s">
        <v>1032</v>
      </c>
      <c r="S168" s="4" t="s">
        <v>1921</v>
      </c>
      <c r="T168" s="4">
        <v>-5500</v>
      </c>
      <c r="U168" s="4" t="s">
        <v>1024</v>
      </c>
      <c r="V168" s="4" t="s">
        <v>1166</v>
      </c>
      <c r="W168" s="4" t="s">
        <v>1922</v>
      </c>
      <c r="X168" s="6"/>
      <c r="Y168" s="6"/>
    </row>
    <row r="169" spans="14:25" x14ac:dyDescent="0.4">
      <c r="N169" s="4">
        <v>45935</v>
      </c>
      <c r="O169" s="4">
        <v>0.4394675925925926</v>
      </c>
      <c r="P169" s="4" t="s">
        <v>1020</v>
      </c>
      <c r="Q169" s="4" t="s">
        <v>1184</v>
      </c>
      <c r="R169" s="4" t="s">
        <v>1522</v>
      </c>
      <c r="S169" s="4" t="s">
        <v>1168</v>
      </c>
      <c r="T169" s="4">
        <v>-80000</v>
      </c>
      <c r="U169" s="4" t="s">
        <v>1024</v>
      </c>
      <c r="V169" s="4" t="s">
        <v>1036</v>
      </c>
      <c r="W169" s="4" t="s">
        <v>1923</v>
      </c>
      <c r="X169" s="6"/>
      <c r="Y169" s="6"/>
    </row>
    <row r="170" spans="14:25" x14ac:dyDescent="0.4">
      <c r="N170" s="4">
        <v>45935</v>
      </c>
      <c r="O170" s="4">
        <v>0.25143518518518521</v>
      </c>
      <c r="P170" s="4" t="s">
        <v>1073</v>
      </c>
      <c r="Q170" s="4" t="s">
        <v>1218</v>
      </c>
      <c r="R170" s="4" t="s">
        <v>1054</v>
      </c>
      <c r="S170" s="4" t="s">
        <v>1219</v>
      </c>
      <c r="T170" s="4">
        <v>635</v>
      </c>
      <c r="U170" s="4" t="s">
        <v>1024</v>
      </c>
      <c r="V170" s="4" t="s">
        <v>1216</v>
      </c>
      <c r="W170" s="4"/>
      <c r="X170" s="6"/>
      <c r="Y170" s="6"/>
    </row>
    <row r="171" spans="14:25" x14ac:dyDescent="0.4">
      <c r="N171" s="4">
        <v>45934</v>
      </c>
      <c r="O171" s="4">
        <v>0.71589120370370374</v>
      </c>
      <c r="P171" s="4" t="s">
        <v>1020</v>
      </c>
      <c r="Q171" s="4" t="s">
        <v>1022</v>
      </c>
      <c r="R171" s="4" t="s">
        <v>1032</v>
      </c>
      <c r="S171" s="4" t="s">
        <v>1924</v>
      </c>
      <c r="T171" s="4">
        <v>-34500</v>
      </c>
      <c r="U171" s="4" t="s">
        <v>1024</v>
      </c>
      <c r="V171" s="4" t="s">
        <v>1099</v>
      </c>
      <c r="W171" s="4" t="s">
        <v>1925</v>
      </c>
      <c r="X171" s="6"/>
      <c r="Y171" s="6"/>
    </row>
    <row r="172" spans="14:25" x14ac:dyDescent="0.4">
      <c r="N172" s="4">
        <v>45934</v>
      </c>
      <c r="O172" s="4">
        <v>0.69149305555555551</v>
      </c>
      <c r="P172" s="4" t="s">
        <v>1020</v>
      </c>
      <c r="Q172" s="4" t="s">
        <v>1021</v>
      </c>
      <c r="R172" s="4" t="s">
        <v>1566</v>
      </c>
      <c r="S172" s="4" t="s">
        <v>1435</v>
      </c>
      <c r="T172" s="4">
        <v>-5900</v>
      </c>
      <c r="U172" s="4" t="s">
        <v>1024</v>
      </c>
      <c r="V172" s="4" t="s">
        <v>1025</v>
      </c>
      <c r="W172" s="4"/>
      <c r="X172" s="6"/>
      <c r="Y172" s="6"/>
    </row>
    <row r="173" spans="14:25" x14ac:dyDescent="0.4">
      <c r="N173" s="4">
        <v>45934</v>
      </c>
      <c r="O173" s="4">
        <v>0.68229166666666663</v>
      </c>
      <c r="P173" s="4" t="s">
        <v>1020</v>
      </c>
      <c r="Q173" s="4" t="s">
        <v>1047</v>
      </c>
      <c r="R173" s="4" t="s">
        <v>1063</v>
      </c>
      <c r="S173" s="4" t="s">
        <v>1926</v>
      </c>
      <c r="T173" s="4">
        <v>-25300</v>
      </c>
      <c r="U173" s="4" t="s">
        <v>1024</v>
      </c>
      <c r="V173" s="4" t="s">
        <v>1099</v>
      </c>
      <c r="W173" s="4" t="s">
        <v>1927</v>
      </c>
      <c r="X173" s="6"/>
      <c r="Y173" s="6"/>
    </row>
    <row r="174" spans="14:25" x14ac:dyDescent="0.4">
      <c r="N174" s="4">
        <v>45934</v>
      </c>
      <c r="O174" s="4">
        <v>0.67349537037037033</v>
      </c>
      <c r="P174" s="4" t="s">
        <v>1020</v>
      </c>
      <c r="Q174" s="4" t="s">
        <v>1029</v>
      </c>
      <c r="R174" s="4" t="s">
        <v>1045</v>
      </c>
      <c r="S174" s="4" t="s">
        <v>1046</v>
      </c>
      <c r="T174" s="4">
        <v>-5000</v>
      </c>
      <c r="U174" s="4" t="s">
        <v>1024</v>
      </c>
      <c r="V174" s="4" t="s">
        <v>1025</v>
      </c>
      <c r="W174" s="4" t="s">
        <v>1928</v>
      </c>
      <c r="X174" s="6"/>
      <c r="Y174" s="6"/>
    </row>
    <row r="175" spans="14:25" x14ac:dyDescent="0.4">
      <c r="N175" s="4">
        <v>45934</v>
      </c>
      <c r="O175" s="4">
        <v>0.66766203703703708</v>
      </c>
      <c r="P175" s="4" t="s">
        <v>1020</v>
      </c>
      <c r="Q175" s="4" t="s">
        <v>1022</v>
      </c>
      <c r="R175" s="4" t="s">
        <v>1032</v>
      </c>
      <c r="S175" s="4" t="s">
        <v>1929</v>
      </c>
      <c r="T175" s="4">
        <v>-21400</v>
      </c>
      <c r="U175" s="4" t="s">
        <v>1024</v>
      </c>
      <c r="V175" s="4" t="s">
        <v>1099</v>
      </c>
      <c r="W175" s="4"/>
      <c r="X175" s="6"/>
      <c r="Y175" s="6"/>
    </row>
    <row r="176" spans="14:25" x14ac:dyDescent="0.4">
      <c r="N176" s="4">
        <v>45934</v>
      </c>
      <c r="O176" s="4">
        <v>0.59190972222222227</v>
      </c>
      <c r="P176" s="4" t="s">
        <v>1020</v>
      </c>
      <c r="Q176" s="4" t="s">
        <v>1029</v>
      </c>
      <c r="R176" s="4" t="s">
        <v>1045</v>
      </c>
      <c r="S176" s="4" t="s">
        <v>1031</v>
      </c>
      <c r="T176" s="4">
        <v>-22900</v>
      </c>
      <c r="U176" s="4" t="s">
        <v>1024</v>
      </c>
      <c r="V176" s="4" t="s">
        <v>1025</v>
      </c>
      <c r="W176" s="4" t="s">
        <v>1930</v>
      </c>
      <c r="X176" s="6"/>
      <c r="Y176" s="6"/>
    </row>
    <row r="177" spans="14:25" x14ac:dyDescent="0.4">
      <c r="N177" s="4">
        <v>45934</v>
      </c>
      <c r="O177" s="4">
        <v>0.56521990740740746</v>
      </c>
      <c r="P177" s="4" t="s">
        <v>1020</v>
      </c>
      <c r="Q177" s="4" t="s">
        <v>1022</v>
      </c>
      <c r="R177" s="4" t="s">
        <v>1032</v>
      </c>
      <c r="S177" s="4" t="s">
        <v>1699</v>
      </c>
      <c r="T177" s="4">
        <v>-5800</v>
      </c>
      <c r="U177" s="4" t="s">
        <v>1024</v>
      </c>
      <c r="V177" s="4" t="s">
        <v>1025</v>
      </c>
      <c r="W177" s="4"/>
      <c r="X177" s="6"/>
      <c r="Y177" s="6"/>
    </row>
    <row r="178" spans="14:25" x14ac:dyDescent="0.4">
      <c r="N178" s="4">
        <v>45934</v>
      </c>
      <c r="O178" s="4">
        <v>0.52630787037037041</v>
      </c>
      <c r="P178" s="4" t="s">
        <v>1020</v>
      </c>
      <c r="Q178" s="4" t="s">
        <v>1022</v>
      </c>
      <c r="R178" s="4" t="s">
        <v>1032</v>
      </c>
      <c r="S178" s="4" t="s">
        <v>1931</v>
      </c>
      <c r="T178" s="4">
        <v>-3000</v>
      </c>
      <c r="U178" s="4" t="s">
        <v>1024</v>
      </c>
      <c r="V178" s="4" t="s">
        <v>1025</v>
      </c>
      <c r="W178" s="4" t="s">
        <v>1932</v>
      </c>
      <c r="X178" s="6"/>
      <c r="Y178" s="6"/>
    </row>
    <row r="179" spans="14:25" x14ac:dyDescent="0.4">
      <c r="N179" s="4">
        <v>45934</v>
      </c>
      <c r="O179" s="4">
        <v>0.51949074074074075</v>
      </c>
      <c r="P179" s="4" t="s">
        <v>1020</v>
      </c>
      <c r="Q179" s="4" t="s">
        <v>1022</v>
      </c>
      <c r="R179" s="4" t="s">
        <v>1032</v>
      </c>
      <c r="S179" s="4" t="s">
        <v>1933</v>
      </c>
      <c r="T179" s="4">
        <v>-5500</v>
      </c>
      <c r="U179" s="4" t="s">
        <v>1024</v>
      </c>
      <c r="V179" s="4" t="s">
        <v>1099</v>
      </c>
      <c r="W179" s="4" t="s">
        <v>1934</v>
      </c>
      <c r="X179" s="6"/>
      <c r="Y179" s="6"/>
    </row>
    <row r="180" spans="14:25" x14ac:dyDescent="0.4">
      <c r="N180" s="4">
        <v>45934</v>
      </c>
      <c r="O180" s="4">
        <v>0.50412037037037039</v>
      </c>
      <c r="P180" s="4" t="s">
        <v>1020</v>
      </c>
      <c r="Q180" s="4" t="s">
        <v>1022</v>
      </c>
      <c r="R180" s="4" t="s">
        <v>1032</v>
      </c>
      <c r="S180" s="4" t="s">
        <v>1935</v>
      </c>
      <c r="T180" s="4">
        <v>-37000</v>
      </c>
      <c r="U180" s="4" t="s">
        <v>1024</v>
      </c>
      <c r="V180" s="4" t="s">
        <v>1099</v>
      </c>
      <c r="W180" s="4" t="s">
        <v>1936</v>
      </c>
      <c r="X180" s="6"/>
      <c r="Y180" s="6"/>
    </row>
    <row r="181" spans="14:25" x14ac:dyDescent="0.4">
      <c r="N181" s="4">
        <v>45934</v>
      </c>
      <c r="O181" s="4">
        <v>0.24572916666666669</v>
      </c>
      <c r="P181" s="4" t="s">
        <v>1073</v>
      </c>
      <c r="Q181" s="4" t="s">
        <v>1218</v>
      </c>
      <c r="R181" s="4" t="s">
        <v>1054</v>
      </c>
      <c r="S181" s="4" t="s">
        <v>1219</v>
      </c>
      <c r="T181" s="4">
        <v>635</v>
      </c>
      <c r="U181" s="4" t="s">
        <v>1024</v>
      </c>
      <c r="V181" s="4" t="s">
        <v>1216</v>
      </c>
      <c r="W181" s="4"/>
      <c r="X181" s="6"/>
      <c r="Y181" s="6"/>
    </row>
    <row r="182" spans="14:25" x14ac:dyDescent="0.4">
      <c r="N182" s="4">
        <v>45933</v>
      </c>
      <c r="O182" s="4">
        <v>0.75104166666666672</v>
      </c>
      <c r="P182" s="4" t="s">
        <v>1020</v>
      </c>
      <c r="Q182" s="4" t="s">
        <v>1022</v>
      </c>
      <c r="R182" s="4" t="s">
        <v>1032</v>
      </c>
      <c r="S182" s="4" t="s">
        <v>1937</v>
      </c>
      <c r="T182" s="4">
        <v>-4000</v>
      </c>
      <c r="U182" s="4" t="s">
        <v>1024</v>
      </c>
      <c r="V182" s="4" t="s">
        <v>1025</v>
      </c>
      <c r="W182" s="4" t="s">
        <v>1938</v>
      </c>
      <c r="X182" s="6"/>
      <c r="Y182" s="6"/>
    </row>
    <row r="183" spans="14:25" x14ac:dyDescent="0.4">
      <c r="N183" s="4">
        <v>45933</v>
      </c>
      <c r="O183" s="4">
        <v>0.69172453703703707</v>
      </c>
      <c r="P183" s="4" t="s">
        <v>1020</v>
      </c>
      <c r="Q183" s="4" t="s">
        <v>1047</v>
      </c>
      <c r="R183" s="4" t="s">
        <v>1406</v>
      </c>
      <c r="S183" s="4" t="s">
        <v>1937</v>
      </c>
      <c r="T183" s="4">
        <v>-31000</v>
      </c>
      <c r="U183" s="4" t="s">
        <v>1024</v>
      </c>
      <c r="V183" s="4" t="s">
        <v>1025</v>
      </c>
      <c r="W183" s="4" t="s">
        <v>1939</v>
      </c>
      <c r="X183" s="6"/>
      <c r="Y183" s="6"/>
    </row>
    <row r="184" spans="14:25" x14ac:dyDescent="0.4">
      <c r="N184" s="4">
        <v>45933</v>
      </c>
      <c r="O184" s="4">
        <v>0.67128472222222224</v>
      </c>
      <c r="P184" s="4" t="s">
        <v>1020</v>
      </c>
      <c r="Q184" s="4" t="s">
        <v>1022</v>
      </c>
      <c r="R184" s="4" t="s">
        <v>1032</v>
      </c>
      <c r="S184" s="4" t="s">
        <v>1937</v>
      </c>
      <c r="T184" s="4">
        <v>-21000</v>
      </c>
      <c r="U184" s="4" t="s">
        <v>1024</v>
      </c>
      <c r="V184" s="4" t="s">
        <v>1025</v>
      </c>
      <c r="W184" s="4" t="s">
        <v>1940</v>
      </c>
      <c r="X184" s="6"/>
      <c r="Y184" s="6"/>
    </row>
    <row r="185" spans="14:25" x14ac:dyDescent="0.4">
      <c r="N185" s="4">
        <v>45933</v>
      </c>
      <c r="O185" s="4">
        <v>0.51017361111111115</v>
      </c>
      <c r="P185" s="4" t="s">
        <v>1020</v>
      </c>
      <c r="Q185" s="4" t="s">
        <v>1029</v>
      </c>
      <c r="R185" s="4" t="s">
        <v>1030</v>
      </c>
      <c r="S185" s="4" t="s">
        <v>1031</v>
      </c>
      <c r="T185" s="4">
        <v>-18000</v>
      </c>
      <c r="U185" s="4" t="s">
        <v>1024</v>
      </c>
      <c r="V185" s="4" t="s">
        <v>1025</v>
      </c>
      <c r="W185" s="4" t="s">
        <v>1941</v>
      </c>
      <c r="X185" s="6"/>
      <c r="Y185" s="6"/>
    </row>
    <row r="186" spans="14:25" x14ac:dyDescent="0.4">
      <c r="N186" s="4">
        <v>45933</v>
      </c>
      <c r="O186" s="4">
        <v>0.40133101851851849</v>
      </c>
      <c r="P186" s="4" t="s">
        <v>1020</v>
      </c>
      <c r="Q186" s="4" t="s">
        <v>1026</v>
      </c>
      <c r="R186" s="4" t="s">
        <v>1027</v>
      </c>
      <c r="S186" s="4" t="s">
        <v>1028</v>
      </c>
      <c r="T186" s="4">
        <v>-7890</v>
      </c>
      <c r="U186" s="4" t="s">
        <v>1024</v>
      </c>
      <c r="V186" s="4" t="s">
        <v>1025</v>
      </c>
      <c r="W186" s="4"/>
      <c r="X186" s="6"/>
      <c r="Y186" s="6"/>
    </row>
    <row r="187" spans="14:25" x14ac:dyDescent="0.4">
      <c r="N187" s="4">
        <v>45933</v>
      </c>
      <c r="O187" s="4">
        <v>0.2386342592592593</v>
      </c>
      <c r="P187" s="4" t="s">
        <v>1073</v>
      </c>
      <c r="Q187" s="4" t="s">
        <v>1218</v>
      </c>
      <c r="R187" s="4" t="s">
        <v>1054</v>
      </c>
      <c r="S187" s="4" t="s">
        <v>1219</v>
      </c>
      <c r="T187" s="4">
        <v>635</v>
      </c>
      <c r="U187" s="4" t="s">
        <v>1024</v>
      </c>
      <c r="V187" s="4" t="s">
        <v>1216</v>
      </c>
      <c r="W187" s="4"/>
      <c r="X187" s="6"/>
      <c r="Y187" s="6"/>
    </row>
    <row r="188" spans="14:25" x14ac:dyDescent="0.4">
      <c r="N188" s="4">
        <v>45932</v>
      </c>
      <c r="O188" s="4">
        <v>0.34570601851851851</v>
      </c>
      <c r="P188" s="4" t="s">
        <v>1020</v>
      </c>
      <c r="Q188" s="4" t="s">
        <v>1021</v>
      </c>
      <c r="R188" s="4" t="s">
        <v>1295</v>
      </c>
      <c r="S188" s="4" t="s">
        <v>1502</v>
      </c>
      <c r="T188" s="4">
        <v>-8500</v>
      </c>
      <c r="U188" s="4" t="s">
        <v>1024</v>
      </c>
      <c r="V188" s="4" t="s">
        <v>1025</v>
      </c>
      <c r="W188" s="4"/>
      <c r="X188" s="6"/>
      <c r="Y188" s="6"/>
    </row>
    <row r="189" spans="14:25" x14ac:dyDescent="0.4">
      <c r="N189" s="4">
        <v>45932</v>
      </c>
      <c r="O189" s="4">
        <v>0.30935185185185188</v>
      </c>
      <c r="P189" s="4" t="s">
        <v>1020</v>
      </c>
      <c r="Q189" s="4" t="s">
        <v>1022</v>
      </c>
      <c r="R189" s="4" t="s">
        <v>1047</v>
      </c>
      <c r="S189" s="4" t="s">
        <v>1375</v>
      </c>
      <c r="T189" s="4">
        <v>-75000</v>
      </c>
      <c r="U189" s="4" t="s">
        <v>1024</v>
      </c>
      <c r="V189" s="4" t="s">
        <v>1025</v>
      </c>
      <c r="W189" s="4" t="s">
        <v>1942</v>
      </c>
      <c r="X189" s="6"/>
      <c r="Y189" s="6"/>
    </row>
    <row r="190" spans="14:25" x14ac:dyDescent="0.4">
      <c r="N190" s="4">
        <v>45932</v>
      </c>
      <c r="O190" s="4">
        <v>0.30863425925925919</v>
      </c>
      <c r="P190" s="4" t="s">
        <v>1020</v>
      </c>
      <c r="Q190" s="4" t="s">
        <v>1022</v>
      </c>
      <c r="R190" s="4" t="s">
        <v>1032</v>
      </c>
      <c r="S190" s="4" t="s">
        <v>1375</v>
      </c>
      <c r="T190" s="4">
        <v>-50000</v>
      </c>
      <c r="U190" s="4" t="s">
        <v>1024</v>
      </c>
      <c r="V190" s="4" t="s">
        <v>1025</v>
      </c>
      <c r="W190" s="4" t="s">
        <v>1943</v>
      </c>
      <c r="X190" s="6"/>
      <c r="Y190" s="6"/>
    </row>
    <row r="191" spans="14:25" x14ac:dyDescent="0.4">
      <c r="N191" s="4">
        <v>45932</v>
      </c>
      <c r="O191" s="4">
        <v>0.23587962962962961</v>
      </c>
      <c r="P191" s="4" t="s">
        <v>1073</v>
      </c>
      <c r="Q191" s="4" t="s">
        <v>1218</v>
      </c>
      <c r="R191" s="4" t="s">
        <v>1054</v>
      </c>
      <c r="S191" s="4" t="s">
        <v>1219</v>
      </c>
      <c r="T191" s="4">
        <v>635</v>
      </c>
      <c r="U191" s="4" t="s">
        <v>1024</v>
      </c>
      <c r="V191" s="4" t="s">
        <v>1216</v>
      </c>
      <c r="W191" s="4"/>
      <c r="X191" s="6"/>
      <c r="Y191" s="6"/>
    </row>
    <row r="192" spans="14:25" x14ac:dyDescent="0.4">
      <c r="N192" s="4">
        <v>45931</v>
      </c>
      <c r="O192" s="4">
        <v>0.57937499999999997</v>
      </c>
      <c r="P192" s="4" t="s">
        <v>1073</v>
      </c>
      <c r="Q192" s="4" t="s">
        <v>1074</v>
      </c>
      <c r="R192" s="4" t="s">
        <v>1054</v>
      </c>
      <c r="S192" s="4" t="s">
        <v>1944</v>
      </c>
      <c r="T192" s="4">
        <v>1100000</v>
      </c>
      <c r="U192" s="4" t="s">
        <v>1024</v>
      </c>
      <c r="V192" s="4" t="s">
        <v>1036</v>
      </c>
      <c r="W192" s="4"/>
      <c r="X192" s="6"/>
      <c r="Y192" s="6"/>
    </row>
    <row r="193" spans="14:25" x14ac:dyDescent="0.4">
      <c r="N193" s="4">
        <v>45931</v>
      </c>
      <c r="O193" s="4">
        <v>0.33560185185185187</v>
      </c>
      <c r="P193" s="4" t="s">
        <v>1020</v>
      </c>
      <c r="Q193" s="4" t="s">
        <v>1029</v>
      </c>
      <c r="R193" s="4" t="s">
        <v>1045</v>
      </c>
      <c r="S193" s="4" t="s">
        <v>1945</v>
      </c>
      <c r="T193" s="4">
        <v>-92000</v>
      </c>
      <c r="U193" s="4" t="s">
        <v>1024</v>
      </c>
      <c r="V193" s="4" t="s">
        <v>1350</v>
      </c>
      <c r="W193" s="4" t="s">
        <v>1946</v>
      </c>
      <c r="X193" s="6"/>
      <c r="Y193" s="6"/>
    </row>
    <row r="194" spans="14:25" x14ac:dyDescent="0.4">
      <c r="N194" s="4">
        <v>45931</v>
      </c>
      <c r="O194" s="4">
        <v>0.28199074074074082</v>
      </c>
      <c r="P194" s="4" t="s">
        <v>1020</v>
      </c>
      <c r="Q194" s="4" t="s">
        <v>1047</v>
      </c>
      <c r="R194" s="4" t="s">
        <v>1177</v>
      </c>
      <c r="S194" s="4" t="s">
        <v>1262</v>
      </c>
      <c r="T194" s="4">
        <v>-100900</v>
      </c>
      <c r="U194" s="4" t="s">
        <v>1024</v>
      </c>
      <c r="V194" s="4" t="s">
        <v>1079</v>
      </c>
      <c r="W194" s="4" t="s">
        <v>1947</v>
      </c>
      <c r="X194" s="6"/>
      <c r="Y194" s="6"/>
    </row>
    <row r="195" spans="14:25" x14ac:dyDescent="0.4">
      <c r="N195" s="4">
        <v>45931</v>
      </c>
      <c r="O195" s="4">
        <v>0.19668981481481479</v>
      </c>
      <c r="P195" s="4" t="s">
        <v>1073</v>
      </c>
      <c r="Q195" s="4" t="s">
        <v>1218</v>
      </c>
      <c r="R195" s="4" t="s">
        <v>1054</v>
      </c>
      <c r="S195" s="4" t="s">
        <v>1219</v>
      </c>
      <c r="T195" s="4">
        <v>635</v>
      </c>
      <c r="U195" s="4" t="s">
        <v>1024</v>
      </c>
      <c r="V195" s="4" t="s">
        <v>1216</v>
      </c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  <row r="219" spans="14:25" x14ac:dyDescent="0.4"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6"/>
      <c r="Y219" s="6"/>
    </row>
  </sheetData>
  <mergeCells count="3">
    <mergeCell ref="O1:P1"/>
    <mergeCell ref="A19:D19"/>
    <mergeCell ref="I20:J20"/>
  </mergeCells>
  <phoneticPr fontId="2" type="noConversion"/>
  <conditionalFormatting sqref="G75:G81 I75:I81">
    <cfRule type="cellIs" dxfId="31" priority="1" operator="lessThan">
      <formula>0</formula>
    </cfRule>
    <cfRule type="cellIs" dxfId="30" priority="2" operator="greaterThan">
      <formula>0</formula>
    </cfRule>
  </conditionalFormatting>
  <conditionalFormatting sqref="I3:I18">
    <cfRule type="cellIs" dxfId="29" priority="4" operator="greaterThan">
      <formula>0</formula>
    </cfRule>
    <cfRule type="cellIs" dxfId="28" priority="5" operator="lessThan">
      <formula>0</formula>
    </cfRule>
  </conditionalFormatting>
  <conditionalFormatting sqref="K6:K20">
    <cfRule type="cellIs" dxfId="27" priority="3" operator="lessThan">
      <formula>0</formula>
    </cfRule>
  </conditionalFormatting>
  <conditionalFormatting sqref="L3:L20">
    <cfRule type="cellIs" dxfId="26" priority="6" operator="greaterThan">
      <formula>1</formula>
    </cfRule>
    <cfRule type="cellIs" dxfId="25" priority="7" operator="equal">
      <formula>1</formula>
    </cfRule>
    <cfRule type="cellIs" dxfId="24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8D46-7CD1-49C2-A6A5-7CD4FAFC85A1}">
  <dimension ref="A1:Y219"/>
  <sheetViews>
    <sheetView zoomScaleNormal="100" workbookViewId="0">
      <pane ySplit="2" topLeftCell="A40" activePane="bottomLeft" state="frozen"/>
      <selection activeCell="E1" sqref="E1"/>
      <selection pane="bottomLeft" activeCell="F59" sqref="F59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202510</v>
      </c>
      <c r="K1" s="46" t="s">
        <v>923</v>
      </c>
      <c r="L1" s="46">
        <v>202511</v>
      </c>
      <c r="N1" s="27" t="s">
        <v>950</v>
      </c>
      <c r="O1" s="133">
        <f>SUMIF(P3:P235,"지출",T3:T235)</f>
        <v>-8252518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202511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-874596</v>
      </c>
      <c r="I3" s="41">
        <f ca="1">J3-H3</f>
        <v>-9431</v>
      </c>
      <c r="J3" s="43">
        <f>VLOOKUP(A3,대출!$B$4:$G$363,3,FALSE)*-1</f>
        <v>-884027</v>
      </c>
      <c r="K3" s="43">
        <f>G3+J3</f>
        <v>15973</v>
      </c>
      <c r="L3" s="24">
        <f>IF(G3=0,0,-J3/G3)</f>
        <v>0.98225222222222219</v>
      </c>
      <c r="N3" s="25">
        <v>45962</v>
      </c>
      <c r="O3" s="26">
        <v>0.2419328703703704</v>
      </c>
      <c r="P3" s="50" t="s">
        <v>1073</v>
      </c>
      <c r="Q3" s="50" t="s">
        <v>1218</v>
      </c>
      <c r="R3" s="50" t="s">
        <v>1054</v>
      </c>
      <c r="S3" s="50" t="s">
        <v>1219</v>
      </c>
      <c r="T3" s="50">
        <v>920</v>
      </c>
      <c r="U3" s="50" t="s">
        <v>1024</v>
      </c>
      <c r="V3" s="50" t="s">
        <v>1216</v>
      </c>
      <c r="W3" s="50"/>
      <c r="X3" s="86"/>
      <c r="Y3" s="6"/>
    </row>
    <row r="4" spans="1:25" x14ac:dyDescent="0.4">
      <c r="A4" s="4">
        <f t="shared" ref="A4:A18" si="0">$L$1</f>
        <v>202511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SUMIFS($T$3:$T$235,$P$3:$P$235,"지출",$Q$3:$Q$235,C4,$R$3:$R$235,D4)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45962</v>
      </c>
      <c r="O4" s="26">
        <v>0.31755787037037042</v>
      </c>
      <c r="P4" s="50" t="s">
        <v>1020</v>
      </c>
      <c r="Q4" s="50" t="s">
        <v>1029</v>
      </c>
      <c r="R4" s="50" t="s">
        <v>1070</v>
      </c>
      <c r="S4" s="50" t="s">
        <v>1752</v>
      </c>
      <c r="T4" s="50">
        <v>-3000</v>
      </c>
      <c r="U4" s="50" t="s">
        <v>1024</v>
      </c>
      <c r="V4" s="50" t="s">
        <v>1025</v>
      </c>
      <c r="W4" s="50" t="s">
        <v>1708</v>
      </c>
      <c r="X4" s="86"/>
      <c r="Y4" s="4"/>
    </row>
    <row r="5" spans="1:25" x14ac:dyDescent="0.4">
      <c r="A5" s="4">
        <f t="shared" si="0"/>
        <v>202511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-63690</v>
      </c>
      <c r="I5" s="41">
        <f ca="1">J5-H5</f>
        <v>-1100</v>
      </c>
      <c r="J5" s="44">
        <f t="shared" si="3"/>
        <v>-64790</v>
      </c>
      <c r="K5" s="44">
        <f t="shared" si="4"/>
        <v>-20790</v>
      </c>
      <c r="L5" s="19">
        <f t="shared" si="5"/>
        <v>1.4724999999999999</v>
      </c>
      <c r="N5" s="25">
        <v>45962</v>
      </c>
      <c r="O5" s="26">
        <v>0.38273148148148151</v>
      </c>
      <c r="P5" s="50" t="s">
        <v>1020</v>
      </c>
      <c r="Q5" s="50" t="s">
        <v>1029</v>
      </c>
      <c r="R5" s="50" t="s">
        <v>1070</v>
      </c>
      <c r="S5" s="50" t="s">
        <v>2011</v>
      </c>
      <c r="T5" s="50">
        <v>-2000</v>
      </c>
      <c r="U5" s="50" t="s">
        <v>1024</v>
      </c>
      <c r="V5" s="50" t="s">
        <v>1025</v>
      </c>
      <c r="W5" s="50" t="s">
        <v>2012</v>
      </c>
      <c r="X5" s="86"/>
      <c r="Y5" s="6"/>
    </row>
    <row r="6" spans="1:25" x14ac:dyDescent="0.4">
      <c r="A6" s="4">
        <f t="shared" si="0"/>
        <v>202511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-255290</v>
      </c>
      <c r="I6" s="41">
        <f t="shared" ref="I6:I18" ca="1" si="7">J6-H6</f>
        <v>8570</v>
      </c>
      <c r="J6" s="44">
        <f t="shared" si="3"/>
        <v>-246720</v>
      </c>
      <c r="K6" s="44">
        <f t="shared" si="4"/>
        <v>83280</v>
      </c>
      <c r="L6" s="19">
        <f t="shared" si="5"/>
        <v>0.74763636363636365</v>
      </c>
      <c r="N6" s="25">
        <v>45962</v>
      </c>
      <c r="O6" s="26">
        <v>0.44612268518518522</v>
      </c>
      <c r="P6" s="50" t="s">
        <v>1020</v>
      </c>
      <c r="Q6" s="50" t="s">
        <v>1029</v>
      </c>
      <c r="R6" s="50" t="s">
        <v>1070</v>
      </c>
      <c r="S6" s="50" t="s">
        <v>2013</v>
      </c>
      <c r="T6" s="50">
        <v>-2500</v>
      </c>
      <c r="U6" s="50" t="s">
        <v>1024</v>
      </c>
      <c r="V6" s="50" t="s">
        <v>1025</v>
      </c>
      <c r="W6" s="50"/>
      <c r="X6" s="86"/>
      <c r="Y6" s="6" t="s">
        <v>1160</v>
      </c>
    </row>
    <row r="7" spans="1:25" x14ac:dyDescent="0.4">
      <c r="A7" s="4">
        <f t="shared" si="0"/>
        <v>202511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45962</v>
      </c>
      <c r="O7" s="26">
        <v>0.4516087962962963</v>
      </c>
      <c r="P7" s="50" t="s">
        <v>1020</v>
      </c>
      <c r="Q7" s="50" t="s">
        <v>1029</v>
      </c>
      <c r="R7" s="50" t="s">
        <v>1070</v>
      </c>
      <c r="S7" s="50" t="s">
        <v>2014</v>
      </c>
      <c r="T7" s="50">
        <v>-2500</v>
      </c>
      <c r="U7" s="50" t="s">
        <v>1024</v>
      </c>
      <c r="V7" s="50" t="s">
        <v>1025</v>
      </c>
      <c r="W7" s="50" t="s">
        <v>2015</v>
      </c>
      <c r="X7" s="86"/>
      <c r="Y7" s="6"/>
    </row>
    <row r="8" spans="1:25" x14ac:dyDescent="0.4">
      <c r="A8" s="4">
        <f>$L$1</f>
        <v>202511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45962</v>
      </c>
      <c r="O8" s="26">
        <v>0.47665509259259259</v>
      </c>
      <c r="P8" s="50" t="s">
        <v>1020</v>
      </c>
      <c r="Q8" s="50" t="s">
        <v>1029</v>
      </c>
      <c r="R8" s="50" t="s">
        <v>1070</v>
      </c>
      <c r="S8" s="50" t="s">
        <v>2016</v>
      </c>
      <c r="T8" s="50">
        <v>-17000</v>
      </c>
      <c r="U8" s="50" t="s">
        <v>1024</v>
      </c>
      <c r="V8" s="50" t="s">
        <v>1025</v>
      </c>
      <c r="W8" s="50"/>
      <c r="X8" s="86"/>
      <c r="Y8" s="6"/>
    </row>
    <row r="9" spans="1:25" x14ac:dyDescent="0.4">
      <c r="A9" s="4">
        <f t="shared" si="0"/>
        <v>202511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0</v>
      </c>
      <c r="J9" s="44">
        <f t="shared" si="3"/>
        <v>-301865</v>
      </c>
      <c r="K9" s="44">
        <f t="shared" si="4"/>
        <v>-55865</v>
      </c>
      <c r="L9" s="19">
        <f t="shared" si="5"/>
        <v>1.2270934959349593</v>
      </c>
      <c r="N9" s="25">
        <v>45962</v>
      </c>
      <c r="O9" s="26">
        <v>0.48373842592592592</v>
      </c>
      <c r="P9" s="50" t="s">
        <v>1020</v>
      </c>
      <c r="Q9" s="50" t="s">
        <v>1029</v>
      </c>
      <c r="R9" s="50" t="s">
        <v>1070</v>
      </c>
      <c r="S9" s="50" t="s">
        <v>2017</v>
      </c>
      <c r="T9" s="50">
        <v>-10500</v>
      </c>
      <c r="U9" s="50" t="s">
        <v>1024</v>
      </c>
      <c r="V9" s="50" t="s">
        <v>1025</v>
      </c>
      <c r="W9" s="50" t="s">
        <v>2018</v>
      </c>
      <c r="X9" s="86"/>
      <c r="Y9" s="6"/>
    </row>
    <row r="10" spans="1:25" x14ac:dyDescent="0.4">
      <c r="A10" s="4">
        <f t="shared" si="0"/>
        <v>202511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-30000</v>
      </c>
      <c r="I10" s="41">
        <f t="shared" ca="1" si="7"/>
        <v>-103200</v>
      </c>
      <c r="J10" s="44">
        <f t="shared" si="3"/>
        <v>-133200</v>
      </c>
      <c r="K10" s="44">
        <f t="shared" si="4"/>
        <v>26800</v>
      </c>
      <c r="L10" s="19">
        <f t="shared" si="5"/>
        <v>0.83250000000000002</v>
      </c>
      <c r="N10" s="25">
        <v>45962</v>
      </c>
      <c r="O10" s="26">
        <v>0.58425925925925926</v>
      </c>
      <c r="P10" s="50" t="s">
        <v>1020</v>
      </c>
      <c r="Q10" s="50" t="s">
        <v>1026</v>
      </c>
      <c r="R10" s="50" t="s">
        <v>1151</v>
      </c>
      <c r="S10" s="50" t="s">
        <v>1639</v>
      </c>
      <c r="T10" s="50">
        <v>-10000</v>
      </c>
      <c r="U10" s="50" t="s">
        <v>1024</v>
      </c>
      <c r="V10" s="50" t="s">
        <v>1025</v>
      </c>
      <c r="W10" s="50"/>
      <c r="X10" s="86"/>
      <c r="Y10" s="6"/>
    </row>
    <row r="11" spans="1:25" x14ac:dyDescent="0.4">
      <c r="A11" s="4">
        <f t="shared" si="0"/>
        <v>202511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45962</v>
      </c>
      <c r="O11" s="26">
        <v>0.58942129629629625</v>
      </c>
      <c r="P11" s="50" t="s">
        <v>1020</v>
      </c>
      <c r="Q11" s="50" t="s">
        <v>1047</v>
      </c>
      <c r="R11" s="50" t="s">
        <v>1047</v>
      </c>
      <c r="S11" s="50" t="s">
        <v>1262</v>
      </c>
      <c r="T11" s="50">
        <v>-2000</v>
      </c>
      <c r="U11" s="50" t="s">
        <v>1024</v>
      </c>
      <c r="V11" s="50" t="s">
        <v>1079</v>
      </c>
      <c r="W11" s="50" t="s">
        <v>2019</v>
      </c>
      <c r="X11" s="86"/>
      <c r="Y11" s="6" t="s">
        <v>1160</v>
      </c>
    </row>
    <row r="12" spans="1:25" x14ac:dyDescent="0.4">
      <c r="A12" s="4">
        <f t="shared" si="0"/>
        <v>202511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-1079235</v>
      </c>
      <c r="I12" s="41">
        <f t="shared" ca="1" si="7"/>
        <v>680780</v>
      </c>
      <c r="J12" s="44">
        <f t="shared" ref="J12:J18" si="8">SUMIFS($T$3:$T$235,$P$3:$P$235,"지출",$Q$3:$Q$235,C12)</f>
        <v>-398455</v>
      </c>
      <c r="K12" s="45">
        <f t="shared" si="4"/>
        <v>-48455</v>
      </c>
      <c r="L12" s="19">
        <f t="shared" si="5"/>
        <v>1.1384428571428571</v>
      </c>
      <c r="N12" s="25">
        <v>45962</v>
      </c>
      <c r="O12" s="26">
        <v>0.80204861111111114</v>
      </c>
      <c r="P12" s="50" t="s">
        <v>1020</v>
      </c>
      <c r="Q12" s="50" t="s">
        <v>1047</v>
      </c>
      <c r="R12" s="50" t="s">
        <v>1047</v>
      </c>
      <c r="S12" s="50" t="s">
        <v>1122</v>
      </c>
      <c r="T12" s="50">
        <v>-86000</v>
      </c>
      <c r="U12" s="50" t="s">
        <v>1024</v>
      </c>
      <c r="V12" s="50" t="s">
        <v>1350</v>
      </c>
      <c r="W12" s="50" t="s">
        <v>2020</v>
      </c>
      <c r="X12" s="86"/>
      <c r="Y12" s="6"/>
    </row>
    <row r="13" spans="1:25" x14ac:dyDescent="0.4">
      <c r="A13" s="4">
        <f t="shared" si="0"/>
        <v>202511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6000</v>
      </c>
      <c r="G13" s="18">
        <f t="shared" si="1"/>
        <v>6000</v>
      </c>
      <c r="H13" s="41">
        <f t="shared" ca="1" si="2"/>
        <v>-158100</v>
      </c>
      <c r="I13" s="41">
        <f t="shared" ca="1" si="7"/>
        <v>152100</v>
      </c>
      <c r="J13" s="44">
        <f t="shared" si="8"/>
        <v>-6000</v>
      </c>
      <c r="K13" s="44">
        <f t="shared" si="4"/>
        <v>0</v>
      </c>
      <c r="L13" s="19">
        <f t="shared" si="5"/>
        <v>1</v>
      </c>
      <c r="N13" s="25">
        <v>45963</v>
      </c>
      <c r="O13" s="26">
        <v>0.2426851851851852</v>
      </c>
      <c r="P13" s="50" t="s">
        <v>1073</v>
      </c>
      <c r="Q13" s="50" t="s">
        <v>1218</v>
      </c>
      <c r="R13" s="50" t="s">
        <v>1054</v>
      </c>
      <c r="S13" s="50" t="s">
        <v>1219</v>
      </c>
      <c r="T13" s="50">
        <v>920</v>
      </c>
      <c r="U13" s="50" t="s">
        <v>1024</v>
      </c>
      <c r="V13" s="50" t="s">
        <v>1216</v>
      </c>
      <c r="W13" s="50"/>
      <c r="X13" s="86"/>
      <c r="Y13" s="6"/>
    </row>
    <row r="14" spans="1:25" x14ac:dyDescent="0.4">
      <c r="A14" s="4">
        <f t="shared" si="0"/>
        <v>202511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32700</v>
      </c>
      <c r="G14" s="18">
        <f t="shared" si="1"/>
        <v>32700</v>
      </c>
      <c r="H14" s="41">
        <f ca="1">INDIRECT($J$1&amp;"!J"&amp;ROW())</f>
        <v>-595200</v>
      </c>
      <c r="I14" s="41">
        <f t="shared" ca="1" si="7"/>
        <v>562500</v>
      </c>
      <c r="J14" s="44">
        <f t="shared" si="8"/>
        <v>-32700</v>
      </c>
      <c r="K14" s="44">
        <f t="shared" si="4"/>
        <v>0</v>
      </c>
      <c r="L14" s="19">
        <f t="shared" si="5"/>
        <v>1</v>
      </c>
      <c r="N14" s="25">
        <v>45963</v>
      </c>
      <c r="O14" s="26">
        <v>0.91743055555555553</v>
      </c>
      <c r="P14" s="50" t="s">
        <v>1053</v>
      </c>
      <c r="Q14" s="50" t="s">
        <v>1053</v>
      </c>
      <c r="R14" s="50" t="s">
        <v>1054</v>
      </c>
      <c r="S14" s="50" t="s">
        <v>1103</v>
      </c>
      <c r="T14" s="50">
        <v>600106</v>
      </c>
      <c r="U14" s="50" t="s">
        <v>1024</v>
      </c>
      <c r="V14" s="50" t="s">
        <v>1214</v>
      </c>
      <c r="W14" s="50"/>
      <c r="X14" s="86"/>
      <c r="Y14" s="6"/>
    </row>
    <row r="15" spans="1:25" x14ac:dyDescent="0.4">
      <c r="A15" s="4">
        <f t="shared" si="0"/>
        <v>202511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-150800</v>
      </c>
      <c r="I15" s="41">
        <f t="shared" ca="1" si="7"/>
        <v>-324750</v>
      </c>
      <c r="J15" s="44">
        <f t="shared" si="8"/>
        <v>-475550</v>
      </c>
      <c r="K15" s="44">
        <f t="shared" si="4"/>
        <v>-475550</v>
      </c>
      <c r="L15" s="19">
        <f t="shared" si="5"/>
        <v>0</v>
      </c>
      <c r="N15" s="25">
        <v>45964</v>
      </c>
      <c r="O15" s="26">
        <v>0.2386689814814815</v>
      </c>
      <c r="P15" s="50" t="s">
        <v>1073</v>
      </c>
      <c r="Q15" s="50" t="s">
        <v>1218</v>
      </c>
      <c r="R15" s="50" t="s">
        <v>1054</v>
      </c>
      <c r="S15" s="50" t="s">
        <v>1219</v>
      </c>
      <c r="T15" s="50">
        <v>920</v>
      </c>
      <c r="U15" s="50" t="s">
        <v>1024</v>
      </c>
      <c r="V15" s="50" t="s">
        <v>1216</v>
      </c>
      <c r="W15" s="50"/>
      <c r="X15" s="86"/>
      <c r="Y15" s="6"/>
    </row>
    <row r="16" spans="1:25" x14ac:dyDescent="0.4">
      <c r="A16" s="4">
        <f t="shared" si="0"/>
        <v>202511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-110000</v>
      </c>
      <c r="I16" s="41">
        <f t="shared" ca="1" si="7"/>
        <v>60000</v>
      </c>
      <c r="J16" s="44">
        <f t="shared" si="8"/>
        <v>-50000</v>
      </c>
      <c r="K16" s="44">
        <f t="shared" si="4"/>
        <v>-50000</v>
      </c>
      <c r="L16" s="19">
        <f t="shared" si="5"/>
        <v>0</v>
      </c>
      <c r="N16" s="25">
        <v>45964</v>
      </c>
      <c r="O16" s="26">
        <v>0.40125</v>
      </c>
      <c r="P16" s="50" t="s">
        <v>1020</v>
      </c>
      <c r="Q16" s="50" t="s">
        <v>1026</v>
      </c>
      <c r="R16" s="50" t="s">
        <v>1027</v>
      </c>
      <c r="S16" s="50" t="s">
        <v>1028</v>
      </c>
      <c r="T16" s="50">
        <v>-7890</v>
      </c>
      <c r="U16" s="50" t="s">
        <v>1024</v>
      </c>
      <c r="V16" s="50" t="s">
        <v>1025</v>
      </c>
      <c r="W16" s="50"/>
      <c r="X16" s="86"/>
      <c r="Y16" s="6"/>
    </row>
    <row r="17" spans="1:25" x14ac:dyDescent="0.4">
      <c r="A17" s="4">
        <f t="shared" si="0"/>
        <v>202511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-4633400</v>
      </c>
      <c r="J17" s="44">
        <f t="shared" si="8"/>
        <v>-4633400</v>
      </c>
      <c r="K17" s="44">
        <f t="shared" si="4"/>
        <v>-4633400</v>
      </c>
      <c r="L17" s="19">
        <f t="shared" si="5"/>
        <v>0</v>
      </c>
      <c r="N17" s="25">
        <v>45964</v>
      </c>
      <c r="O17" s="26">
        <v>0.43192129629629628</v>
      </c>
      <c r="P17" s="50" t="s">
        <v>1053</v>
      </c>
      <c r="Q17" s="50" t="s">
        <v>1053</v>
      </c>
      <c r="R17" s="50" t="s">
        <v>1054</v>
      </c>
      <c r="S17" s="50" t="s">
        <v>1103</v>
      </c>
      <c r="T17" s="50">
        <v>699137</v>
      </c>
      <c r="U17" s="50" t="s">
        <v>1024</v>
      </c>
      <c r="V17" s="50" t="s">
        <v>1036</v>
      </c>
      <c r="W17" s="50"/>
      <c r="X17" s="86"/>
      <c r="Y17" s="6"/>
    </row>
    <row r="18" spans="1:25" x14ac:dyDescent="0.4">
      <c r="A18" s="4">
        <f t="shared" si="0"/>
        <v>202511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674021</v>
      </c>
      <c r="G18" s="18">
        <f t="shared" si="1"/>
        <v>1024021</v>
      </c>
      <c r="H18" s="41">
        <f t="shared" ca="1" si="2"/>
        <v>-1264116</v>
      </c>
      <c r="I18" s="41">
        <f t="shared" ca="1" si="7"/>
        <v>590095</v>
      </c>
      <c r="J18" s="44">
        <f t="shared" si="8"/>
        <v>-674021</v>
      </c>
      <c r="K18" s="44">
        <f t="shared" si="4"/>
        <v>350000</v>
      </c>
      <c r="L18" s="19">
        <f t="shared" si="5"/>
        <v>0.65821013436247888</v>
      </c>
      <c r="N18" s="25">
        <v>45964</v>
      </c>
      <c r="O18" s="26">
        <v>0.43872685185185178</v>
      </c>
      <c r="P18" s="50" t="s">
        <v>1053</v>
      </c>
      <c r="Q18" s="50" t="s">
        <v>1053</v>
      </c>
      <c r="R18" s="50" t="s">
        <v>1054</v>
      </c>
      <c r="S18" s="50" t="s">
        <v>2021</v>
      </c>
      <c r="T18" s="50">
        <v>1</v>
      </c>
      <c r="U18" s="50" t="s">
        <v>1024</v>
      </c>
      <c r="V18" s="50" t="s">
        <v>1036</v>
      </c>
      <c r="W18" s="50"/>
      <c r="X18" s="8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712721</v>
      </c>
      <c r="G19" s="20">
        <f t="shared" si="9"/>
        <v>3537721</v>
      </c>
      <c r="H19" s="42">
        <f t="shared" ca="1" si="9"/>
        <v>-5234682</v>
      </c>
      <c r="I19" s="42">
        <f t="shared" ca="1" si="9"/>
        <v>-3017836</v>
      </c>
      <c r="J19" s="45">
        <f t="shared" si="9"/>
        <v>-8252518</v>
      </c>
      <c r="K19" s="45">
        <f t="shared" si="9"/>
        <v>-4714797</v>
      </c>
      <c r="L19" s="21">
        <f>IF(G19=0,0,-J19/G19)</f>
        <v>2.3327215458765687</v>
      </c>
      <c r="N19" s="25">
        <v>45965</v>
      </c>
      <c r="O19" s="26">
        <v>0.23877314814814821</v>
      </c>
      <c r="P19" s="50" t="s">
        <v>1073</v>
      </c>
      <c r="Q19" s="50" t="s">
        <v>1218</v>
      </c>
      <c r="R19" s="50" t="s">
        <v>1054</v>
      </c>
      <c r="S19" s="50" t="s">
        <v>1219</v>
      </c>
      <c r="T19" s="50">
        <v>920</v>
      </c>
      <c r="U19" s="50" t="s">
        <v>1024</v>
      </c>
      <c r="V19" s="50" t="s">
        <v>1216</v>
      </c>
      <c r="W19" s="50"/>
      <c r="X19" s="86"/>
      <c r="Y19" s="6"/>
    </row>
    <row r="20" spans="1:25" x14ac:dyDescent="0.4">
      <c r="I20" s="132" t="s">
        <v>920</v>
      </c>
      <c r="J20" s="132"/>
      <c r="K20" s="17">
        <f>E19+J19</f>
        <v>-5427518</v>
      </c>
      <c r="L20" s="22">
        <f>IF(E19=0,0,-J19/E19)</f>
        <v>2.9212453097345135</v>
      </c>
      <c r="N20" s="25">
        <v>45965</v>
      </c>
      <c r="O20" s="26">
        <v>0.55787037037037035</v>
      </c>
      <c r="P20" s="50" t="s">
        <v>1053</v>
      </c>
      <c r="Q20" s="50" t="s">
        <v>1053</v>
      </c>
      <c r="R20" s="50" t="s">
        <v>1054</v>
      </c>
      <c r="S20" s="50" t="s">
        <v>1103</v>
      </c>
      <c r="T20" s="50">
        <v>7577340</v>
      </c>
      <c r="U20" s="50" t="s">
        <v>1024</v>
      </c>
      <c r="V20" s="50" t="s">
        <v>1036</v>
      </c>
      <c r="W20" s="50"/>
      <c r="X20" s="86"/>
      <c r="Y20" s="6"/>
    </row>
    <row r="21" spans="1:25" x14ac:dyDescent="0.4">
      <c r="N21" s="25">
        <v>45966</v>
      </c>
      <c r="O21" s="26">
        <v>0.23976851851851849</v>
      </c>
      <c r="P21" s="50" t="s">
        <v>1073</v>
      </c>
      <c r="Q21" s="50" t="s">
        <v>1218</v>
      </c>
      <c r="R21" s="50" t="s">
        <v>1054</v>
      </c>
      <c r="S21" s="50" t="s">
        <v>1219</v>
      </c>
      <c r="T21" s="50">
        <v>920</v>
      </c>
      <c r="U21" s="50" t="s">
        <v>1024</v>
      </c>
      <c r="V21" s="50" t="s">
        <v>1216</v>
      </c>
      <c r="W21" s="50"/>
      <c r="X21" s="8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45966</v>
      </c>
      <c r="O22" s="26">
        <v>0.5717592592592593</v>
      </c>
      <c r="P22" s="50" t="s">
        <v>1020</v>
      </c>
      <c r="Q22" s="50" t="s">
        <v>1021</v>
      </c>
      <c r="R22" s="50" t="s">
        <v>1295</v>
      </c>
      <c r="S22" s="50" t="s">
        <v>1502</v>
      </c>
      <c r="T22" s="50">
        <v>-14800</v>
      </c>
      <c r="U22" s="50" t="s">
        <v>1024</v>
      </c>
      <c r="V22" s="50" t="s">
        <v>1025</v>
      </c>
      <c r="W22" s="50"/>
      <c r="X22" s="86"/>
      <c r="Y22" s="6"/>
    </row>
    <row r="23" spans="1:25" x14ac:dyDescent="0.4">
      <c r="C23" s="4" t="s">
        <v>19</v>
      </c>
      <c r="D23" s="4" t="s">
        <v>939</v>
      </c>
      <c r="E23" s="23">
        <f>SUMIFS($T$3:$T$235,$P$3:$P$235,"지출",$Q$3:$Q$235,C23,$R$3:$R$235,D23)</f>
        <v>-155460</v>
      </c>
      <c r="N23" s="25">
        <v>45966</v>
      </c>
      <c r="O23" s="26">
        <v>0.7175231481481481</v>
      </c>
      <c r="P23" s="50" t="s">
        <v>1020</v>
      </c>
      <c r="Q23" s="50" t="s">
        <v>1026</v>
      </c>
      <c r="R23" s="50" t="s">
        <v>1151</v>
      </c>
      <c r="S23" s="50" t="s">
        <v>1639</v>
      </c>
      <c r="T23" s="50">
        <v>-10000</v>
      </c>
      <c r="U23" s="50" t="s">
        <v>1024</v>
      </c>
      <c r="V23" s="50" t="s">
        <v>1025</v>
      </c>
      <c r="W23" s="50"/>
      <c r="X23" s="86"/>
      <c r="Y23" s="6"/>
    </row>
    <row r="24" spans="1:25" x14ac:dyDescent="0.4">
      <c r="C24" s="4" t="s">
        <v>19</v>
      </c>
      <c r="D24" s="4" t="s">
        <v>938</v>
      </c>
      <c r="E24" s="23">
        <f>SUMIFS($T$3:$T$235,$P$3:$P$235,"지출",$Q$3:$Q$235,C24,$R$3:$R$235,D24)</f>
        <v>-173000</v>
      </c>
      <c r="N24" s="25">
        <v>45967</v>
      </c>
      <c r="O24" s="26">
        <v>0.1831365740740741</v>
      </c>
      <c r="P24" s="50" t="s">
        <v>1073</v>
      </c>
      <c r="Q24" s="50" t="s">
        <v>1218</v>
      </c>
      <c r="R24" s="50" t="s">
        <v>1054</v>
      </c>
      <c r="S24" s="50" t="s">
        <v>1219</v>
      </c>
      <c r="T24" s="50">
        <v>920</v>
      </c>
      <c r="U24" s="50" t="s">
        <v>1024</v>
      </c>
      <c r="V24" s="50" t="s">
        <v>1216</v>
      </c>
      <c r="W24" s="50"/>
      <c r="X24" s="86"/>
      <c r="Y24" s="4"/>
    </row>
    <row r="25" spans="1:25" x14ac:dyDescent="0.4">
      <c r="C25" s="4" t="s">
        <v>19</v>
      </c>
      <c r="D25" s="4" t="s">
        <v>944</v>
      </c>
      <c r="E25" s="23">
        <f>SUMIFS($T$3:$T$235,$P$3:$P$235,"지출",$Q$3:$Q$235,C25,$R$3:$R$235,D25)</f>
        <v>-69995</v>
      </c>
      <c r="N25" s="25">
        <v>45967</v>
      </c>
      <c r="O25" s="26">
        <v>0.74136574074074069</v>
      </c>
      <c r="P25" s="50" t="s">
        <v>1020</v>
      </c>
      <c r="Q25" s="50" t="s">
        <v>1026</v>
      </c>
      <c r="R25" s="50" t="s">
        <v>1151</v>
      </c>
      <c r="S25" s="50" t="s">
        <v>1639</v>
      </c>
      <c r="T25" s="50">
        <v>-10000</v>
      </c>
      <c r="U25" s="50" t="s">
        <v>1024</v>
      </c>
      <c r="V25" s="50" t="s">
        <v>1025</v>
      </c>
      <c r="W25" s="50"/>
      <c r="X25" s="86"/>
      <c r="Y25" s="6"/>
    </row>
    <row r="26" spans="1:25" x14ac:dyDescent="0.4">
      <c r="C26" s="4" t="s">
        <v>19</v>
      </c>
      <c r="D26" s="4" t="s">
        <v>5</v>
      </c>
      <c r="E26" s="23">
        <f>SUMIFS($T$3:$T$235,$P$3:$P$235,"지출",$Q$3:$Q$235,C26,$R$3:$R$235,D26)</f>
        <v>0</v>
      </c>
      <c r="N26" s="25">
        <v>45967</v>
      </c>
      <c r="O26" s="26">
        <v>0.78112268518518524</v>
      </c>
      <c r="P26" s="50" t="s">
        <v>1053</v>
      </c>
      <c r="Q26" s="50" t="s">
        <v>1053</v>
      </c>
      <c r="R26" s="50" t="s">
        <v>1054</v>
      </c>
      <c r="S26" s="50" t="s">
        <v>1330</v>
      </c>
      <c r="T26" s="50">
        <v>-7070000</v>
      </c>
      <c r="U26" s="50" t="s">
        <v>1024</v>
      </c>
      <c r="V26" s="50" t="s">
        <v>1036</v>
      </c>
      <c r="W26" s="50"/>
      <c r="X26" s="86"/>
      <c r="Y26" s="6"/>
    </row>
    <row r="27" spans="1:25" x14ac:dyDescent="0.4">
      <c r="C27" s="92" t="s">
        <v>959</v>
      </c>
      <c r="D27" s="68"/>
      <c r="E27" s="49">
        <f>SUM(E21:E26)</f>
        <v>-398455</v>
      </c>
      <c r="N27" s="25">
        <v>45967</v>
      </c>
      <c r="O27" s="26">
        <v>0.78113425925925928</v>
      </c>
      <c r="P27" s="50" t="s">
        <v>1053</v>
      </c>
      <c r="Q27" s="50" t="s">
        <v>1053</v>
      </c>
      <c r="R27" s="50" t="s">
        <v>1054</v>
      </c>
      <c r="S27" s="50" t="s">
        <v>1103</v>
      </c>
      <c r="T27" s="50">
        <v>7070000</v>
      </c>
      <c r="U27" s="50" t="s">
        <v>1024</v>
      </c>
      <c r="V27" s="50" t="s">
        <v>1214</v>
      </c>
      <c r="W27" s="50"/>
      <c r="X27" s="86"/>
      <c r="Y27" s="6"/>
    </row>
    <row r="28" spans="1:25" x14ac:dyDescent="0.4">
      <c r="C28" s="4" t="s">
        <v>954</v>
      </c>
      <c r="D28" s="4" t="s">
        <v>951</v>
      </c>
      <c r="E28" s="23">
        <f>SUMIFS($T$3:$T$235,$P$3:$P$235,"지출",$Q$3:$Q$235,C28,$R$3:$R$235,D28)</f>
        <v>-5200</v>
      </c>
      <c r="N28" s="25">
        <v>45967</v>
      </c>
      <c r="O28" s="26">
        <v>0.78127314814814819</v>
      </c>
      <c r="P28" s="50" t="s">
        <v>1053</v>
      </c>
      <c r="Q28" s="50" t="s">
        <v>1053</v>
      </c>
      <c r="R28" s="50" t="s">
        <v>1054</v>
      </c>
      <c r="S28" s="50" t="s">
        <v>1217</v>
      </c>
      <c r="T28" s="50">
        <v>-7670106</v>
      </c>
      <c r="U28" s="50" t="s">
        <v>1024</v>
      </c>
      <c r="V28" s="50" t="s">
        <v>1214</v>
      </c>
      <c r="W28" s="50"/>
      <c r="X28" s="86"/>
      <c r="Y28" s="6"/>
    </row>
    <row r="29" spans="1:25" x14ac:dyDescent="0.4">
      <c r="C29" s="4" t="s">
        <v>954</v>
      </c>
      <c r="D29" s="4" t="s">
        <v>957</v>
      </c>
      <c r="E29" s="23">
        <f>SUMIFS($T$3:$T$235,$P$3:$P$235,"지출",$Q$3:$Q$235,C29,$R$3:$R$235,D29)</f>
        <v>-27500</v>
      </c>
      <c r="N29" s="25">
        <v>45967</v>
      </c>
      <c r="O29" s="26">
        <v>0.78127314814814819</v>
      </c>
      <c r="P29" s="50" t="s">
        <v>1053</v>
      </c>
      <c r="Q29" s="50" t="s">
        <v>1053</v>
      </c>
      <c r="R29" s="50" t="s">
        <v>1054</v>
      </c>
      <c r="S29" s="50" t="s">
        <v>1215</v>
      </c>
      <c r="T29" s="50">
        <v>7670106</v>
      </c>
      <c r="U29" s="50" t="s">
        <v>1024</v>
      </c>
      <c r="V29" s="50" t="s">
        <v>1216</v>
      </c>
      <c r="W29" s="50"/>
      <c r="X29" s="86"/>
      <c r="Y29" s="6"/>
    </row>
    <row r="30" spans="1:25" x14ac:dyDescent="0.4">
      <c r="C30" s="4" t="s">
        <v>954</v>
      </c>
      <c r="D30" s="4" t="s">
        <v>5</v>
      </c>
      <c r="E30" s="23">
        <f>SUMIFS($T$3:$T$235,$P$3:$P$235,"지출",$Q$3:$Q$235,C30,$R$3:$R$235,D30)</f>
        <v>0</v>
      </c>
      <c r="N30" s="25">
        <v>45967</v>
      </c>
      <c r="O30" s="26">
        <v>0.78259259259259262</v>
      </c>
      <c r="P30" s="50" t="s">
        <v>1053</v>
      </c>
      <c r="Q30" s="50" t="s">
        <v>1053</v>
      </c>
      <c r="R30" s="50" t="s">
        <v>1054</v>
      </c>
      <c r="S30" s="50" t="s">
        <v>1055</v>
      </c>
      <c r="T30" s="50">
        <v>-13826</v>
      </c>
      <c r="U30" s="50" t="s">
        <v>1024</v>
      </c>
      <c r="V30" s="50" t="s">
        <v>946</v>
      </c>
      <c r="W30" s="50"/>
      <c r="X30" s="86"/>
      <c r="Y30" s="6"/>
    </row>
    <row r="31" spans="1:25" x14ac:dyDescent="0.4">
      <c r="C31" s="92" t="s">
        <v>960</v>
      </c>
      <c r="D31" s="68"/>
      <c r="E31" s="49">
        <f>SUM(E28:E30)</f>
        <v>-32700</v>
      </c>
      <c r="N31" s="25">
        <v>45967</v>
      </c>
      <c r="O31" s="26">
        <v>0.86012731481481486</v>
      </c>
      <c r="P31" s="50" t="s">
        <v>1020</v>
      </c>
      <c r="Q31" s="50" t="s">
        <v>1029</v>
      </c>
      <c r="R31" s="50" t="s">
        <v>1030</v>
      </c>
      <c r="S31" s="50" t="s">
        <v>1031</v>
      </c>
      <c r="T31" s="50">
        <v>-73190</v>
      </c>
      <c r="U31" s="50" t="s">
        <v>1024</v>
      </c>
      <c r="V31" s="50" t="s">
        <v>1025</v>
      </c>
      <c r="W31" s="50" t="s">
        <v>2022</v>
      </c>
      <c r="X31" s="8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SUMIFS($T$3:$T$235,$P$3:$P$235,"지출",$Q$3:$Q$235,C32,$R$3:$R$235,D32)</f>
        <v>0</v>
      </c>
      <c r="N32" s="25">
        <v>45968</v>
      </c>
      <c r="O32" s="26">
        <v>0.186712962962963</v>
      </c>
      <c r="P32" s="50" t="s">
        <v>1073</v>
      </c>
      <c r="Q32" s="50" t="s">
        <v>1218</v>
      </c>
      <c r="R32" s="50" t="s">
        <v>1054</v>
      </c>
      <c r="S32" s="50" t="s">
        <v>1219</v>
      </c>
      <c r="T32" s="50">
        <v>1207</v>
      </c>
      <c r="U32" s="50" t="s">
        <v>1024</v>
      </c>
      <c r="V32" s="50" t="s">
        <v>1216</v>
      </c>
      <c r="W32" s="50"/>
      <c r="X32" s="8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-55600</v>
      </c>
      <c r="N33" s="25">
        <v>45968</v>
      </c>
      <c r="O33" s="26">
        <v>0.61133101851851857</v>
      </c>
      <c r="P33" s="50" t="s">
        <v>1020</v>
      </c>
      <c r="Q33" s="50" t="s">
        <v>1029</v>
      </c>
      <c r="R33" s="50" t="s">
        <v>1070</v>
      </c>
      <c r="S33" s="50" t="s">
        <v>2023</v>
      </c>
      <c r="T33" s="50">
        <v>-2500</v>
      </c>
      <c r="U33" s="50" t="s">
        <v>1024</v>
      </c>
      <c r="V33" s="50" t="s">
        <v>1099</v>
      </c>
      <c r="W33" s="50" t="s">
        <v>2024</v>
      </c>
      <c r="X33" s="86"/>
      <c r="Y33" s="6" t="s">
        <v>1160</v>
      </c>
    </row>
    <row r="34" spans="3:25" x14ac:dyDescent="0.4">
      <c r="C34" s="4" t="s">
        <v>5</v>
      </c>
      <c r="D34" s="4" t="s">
        <v>958</v>
      </c>
      <c r="E34" s="23">
        <f t="shared" si="10"/>
        <v>-130880</v>
      </c>
      <c r="N34" s="25">
        <v>45968</v>
      </c>
      <c r="O34" s="26">
        <v>0.71481481481481479</v>
      </c>
      <c r="P34" s="50" t="s">
        <v>1020</v>
      </c>
      <c r="Q34" s="50" t="s">
        <v>1047</v>
      </c>
      <c r="R34" s="50" t="s">
        <v>1048</v>
      </c>
      <c r="S34" s="50" t="s">
        <v>1031</v>
      </c>
      <c r="T34" s="50">
        <v>-13570</v>
      </c>
      <c r="U34" s="50" t="s">
        <v>1024</v>
      </c>
      <c r="V34" s="50" t="s">
        <v>1025</v>
      </c>
      <c r="W34" s="50" t="s">
        <v>2025</v>
      </c>
      <c r="X34" s="8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-13570</v>
      </c>
      <c r="N35" s="25">
        <v>45968</v>
      </c>
      <c r="O35" s="26">
        <v>0.78379629629629632</v>
      </c>
      <c r="P35" s="50" t="s">
        <v>1020</v>
      </c>
      <c r="Q35" s="50" t="s">
        <v>1029</v>
      </c>
      <c r="R35" s="50" t="s">
        <v>1045</v>
      </c>
      <c r="S35" s="50" t="s">
        <v>1046</v>
      </c>
      <c r="T35" s="50">
        <v>-6000</v>
      </c>
      <c r="U35" s="50" t="s">
        <v>1024</v>
      </c>
      <c r="V35" s="50" t="s">
        <v>1025</v>
      </c>
      <c r="W35" s="50" t="s">
        <v>2095</v>
      </c>
      <c r="X35" s="86"/>
      <c r="Y35" s="6" t="s">
        <v>1160</v>
      </c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45969</v>
      </c>
      <c r="O36" s="26">
        <v>0.1849884259259259</v>
      </c>
      <c r="P36" s="50" t="s">
        <v>1073</v>
      </c>
      <c r="Q36" s="50" t="s">
        <v>1218</v>
      </c>
      <c r="R36" s="50" t="s">
        <v>1054</v>
      </c>
      <c r="S36" s="50" t="s">
        <v>1219</v>
      </c>
      <c r="T36" s="50">
        <v>1207</v>
      </c>
      <c r="U36" s="50" t="s">
        <v>1024</v>
      </c>
      <c r="V36" s="50" t="s">
        <v>1216</v>
      </c>
      <c r="W36" s="50"/>
      <c r="X36" s="86"/>
      <c r="Y36" s="6"/>
    </row>
    <row r="37" spans="3:25" x14ac:dyDescent="0.4">
      <c r="C37" s="4" t="s">
        <v>5</v>
      </c>
      <c r="D37" s="95" t="s">
        <v>5</v>
      </c>
      <c r="E37" s="23">
        <f t="shared" si="10"/>
        <v>-88000</v>
      </c>
      <c r="N37" s="25">
        <v>45969</v>
      </c>
      <c r="O37" s="26">
        <v>0.61678240740740742</v>
      </c>
      <c r="P37" s="50" t="s">
        <v>1020</v>
      </c>
      <c r="Q37" s="50" t="s">
        <v>1026</v>
      </c>
      <c r="R37" s="50" t="s">
        <v>1151</v>
      </c>
      <c r="S37" s="50" t="s">
        <v>1639</v>
      </c>
      <c r="T37" s="50">
        <v>-10000</v>
      </c>
      <c r="U37" s="50" t="s">
        <v>1024</v>
      </c>
      <c r="V37" s="50" t="s">
        <v>1025</v>
      </c>
      <c r="W37" s="50"/>
      <c r="X37" s="8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-385971</v>
      </c>
      <c r="N38" s="25">
        <v>45969</v>
      </c>
      <c r="O38" s="26">
        <v>0.62738425925925922</v>
      </c>
      <c r="P38" s="50" t="s">
        <v>1020</v>
      </c>
      <c r="Q38" s="50" t="s">
        <v>1029</v>
      </c>
      <c r="R38" s="50" t="s">
        <v>1030</v>
      </c>
      <c r="S38" s="50" t="s">
        <v>1031</v>
      </c>
      <c r="T38" s="50">
        <v>-11780</v>
      </c>
      <c r="U38" s="50" t="s">
        <v>1024</v>
      </c>
      <c r="V38" s="50" t="s">
        <v>1025</v>
      </c>
      <c r="W38" s="50" t="s">
        <v>2026</v>
      </c>
      <c r="X38" s="8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45969</v>
      </c>
      <c r="O39" s="26">
        <v>0.6386574074074074</v>
      </c>
      <c r="P39" s="50" t="s">
        <v>1020</v>
      </c>
      <c r="Q39" s="50" t="s">
        <v>1029</v>
      </c>
      <c r="R39" s="50" t="s">
        <v>1045</v>
      </c>
      <c r="S39" s="50" t="s">
        <v>1031</v>
      </c>
      <c r="T39" s="50">
        <v>-28310</v>
      </c>
      <c r="U39" s="50" t="s">
        <v>1024</v>
      </c>
      <c r="V39" s="50" t="s">
        <v>1025</v>
      </c>
      <c r="W39" s="50" t="s">
        <v>2027</v>
      </c>
      <c r="X39" s="86"/>
      <c r="Y39" s="6"/>
    </row>
    <row r="40" spans="3:25" x14ac:dyDescent="0.4">
      <c r="C40" s="94" t="s">
        <v>962</v>
      </c>
      <c r="D40" s="93"/>
      <c r="E40" s="20">
        <f>SUM(E32:E39)</f>
        <v>-674021</v>
      </c>
      <c r="N40" s="25">
        <v>45969</v>
      </c>
      <c r="O40" s="26">
        <v>0.67751157407407403</v>
      </c>
      <c r="P40" s="50" t="s">
        <v>1020</v>
      </c>
      <c r="Q40" s="50" t="s">
        <v>1047</v>
      </c>
      <c r="R40" s="50" t="s">
        <v>1406</v>
      </c>
      <c r="S40" s="50" t="s">
        <v>2028</v>
      </c>
      <c r="T40" s="50">
        <v>-73500</v>
      </c>
      <c r="U40" s="50" t="s">
        <v>1024</v>
      </c>
      <c r="V40" s="50" t="s">
        <v>1025</v>
      </c>
      <c r="W40" s="50" t="s">
        <v>2029</v>
      </c>
      <c r="X40" s="86"/>
      <c r="Y40" s="6" t="s">
        <v>1160</v>
      </c>
    </row>
    <row r="41" spans="3:25" x14ac:dyDescent="0.4">
      <c r="C41" s="4" t="s">
        <v>1</v>
      </c>
      <c r="D41" s="95" t="s">
        <v>1013</v>
      </c>
      <c r="E41" s="23">
        <f>SUMIFS($T$3:$T$235,$P$3:$P$235,"지출",$Q$3:$Q$235,C41,$R$3:$R$235,D41)</f>
        <v>0</v>
      </c>
      <c r="N41" s="25">
        <v>45969</v>
      </c>
      <c r="O41" s="26">
        <v>0.68753472222222223</v>
      </c>
      <c r="P41" s="50" t="s">
        <v>1020</v>
      </c>
      <c r="Q41" s="50" t="s">
        <v>1047</v>
      </c>
      <c r="R41" s="50" t="s">
        <v>1406</v>
      </c>
      <c r="S41" s="50" t="s">
        <v>2028</v>
      </c>
      <c r="T41" s="50">
        <v>-36800</v>
      </c>
      <c r="U41" s="50" t="s">
        <v>1024</v>
      </c>
      <c r="V41" s="50" t="s">
        <v>1025</v>
      </c>
      <c r="W41" s="50" t="s">
        <v>2030</v>
      </c>
      <c r="X41" s="86"/>
      <c r="Y41" s="6" t="s">
        <v>1160</v>
      </c>
    </row>
    <row r="42" spans="3:25" x14ac:dyDescent="0.4">
      <c r="C42" s="4" t="s">
        <v>1</v>
      </c>
      <c r="D42" s="95" t="s">
        <v>954</v>
      </c>
      <c r="E42" s="23">
        <f>SUMIFS($T$3:$T$235,$P$3:$P$235,"지출",$Q$3:$Q$235,C42,$R$3:$R$235,D42)</f>
        <v>-116000</v>
      </c>
      <c r="N42" s="25">
        <v>45969</v>
      </c>
      <c r="O42" s="26">
        <v>0.78439814814814812</v>
      </c>
      <c r="P42" s="50" t="s">
        <v>1020</v>
      </c>
      <c r="Q42" s="50" t="s">
        <v>1029</v>
      </c>
      <c r="R42" s="50" t="s">
        <v>1070</v>
      </c>
      <c r="S42" s="50" t="s">
        <v>2031</v>
      </c>
      <c r="T42" s="50">
        <v>-29500</v>
      </c>
      <c r="U42" s="50" t="s">
        <v>1024</v>
      </c>
      <c r="V42" s="50" t="s">
        <v>1166</v>
      </c>
      <c r="W42" s="50" t="s">
        <v>2032</v>
      </c>
      <c r="X42" s="86"/>
      <c r="Y42" s="6"/>
    </row>
    <row r="43" spans="3:25" x14ac:dyDescent="0.4">
      <c r="C43" s="4" t="s">
        <v>1</v>
      </c>
      <c r="D43" s="95" t="s">
        <v>1015</v>
      </c>
      <c r="E43" s="23">
        <f>SUMIFS($T$3:$T$235,$P$3:$P$235,"지출",$Q$3:$Q$235,C43,$R$3:$R$235,D43)</f>
        <v>-20800</v>
      </c>
      <c r="N43" s="25">
        <v>45970</v>
      </c>
      <c r="O43" s="26">
        <v>0.1852546296296296</v>
      </c>
      <c r="P43" s="50" t="s">
        <v>1073</v>
      </c>
      <c r="Q43" s="50" t="s">
        <v>1218</v>
      </c>
      <c r="R43" s="50" t="s">
        <v>1054</v>
      </c>
      <c r="S43" s="50" t="s">
        <v>1219</v>
      </c>
      <c r="T43" s="50">
        <v>1207</v>
      </c>
      <c r="U43" s="50" t="s">
        <v>1024</v>
      </c>
      <c r="V43" s="50" t="s">
        <v>1216</v>
      </c>
      <c r="W43" s="50"/>
      <c r="X43" s="86"/>
      <c r="Y43" s="6"/>
    </row>
    <row r="44" spans="3:25" x14ac:dyDescent="0.4">
      <c r="C44" s="4" t="s">
        <v>1</v>
      </c>
      <c r="D44" s="95" t="s">
        <v>5</v>
      </c>
      <c r="E44" s="23">
        <f>SUMIFS($T$3:$T$235,$P$3:$P$235,"지출",$Q$3:$Q$235,C44,$R$3:$R$235,D44)</f>
        <v>-338750</v>
      </c>
      <c r="N44" s="25">
        <v>45970</v>
      </c>
      <c r="O44" s="26">
        <v>0.59790509259259261</v>
      </c>
      <c r="P44" s="50" t="s">
        <v>1020</v>
      </c>
      <c r="Q44" s="50" t="s">
        <v>1029</v>
      </c>
      <c r="R44" s="50" t="s">
        <v>1045</v>
      </c>
      <c r="S44" s="50" t="s">
        <v>2033</v>
      </c>
      <c r="T44" s="50">
        <v>-2985</v>
      </c>
      <c r="U44" s="50" t="s">
        <v>1024</v>
      </c>
      <c r="V44" s="50" t="s">
        <v>1036</v>
      </c>
      <c r="W44" s="50"/>
      <c r="X44" s="86"/>
      <c r="Y44" s="6"/>
    </row>
    <row r="45" spans="3:25" x14ac:dyDescent="0.4">
      <c r="C45" s="94" t="s">
        <v>1016</v>
      </c>
      <c r="D45" s="93"/>
      <c r="E45" s="20">
        <f>SUM(E41:E44)</f>
        <v>-475550</v>
      </c>
      <c r="N45" s="25">
        <v>45970</v>
      </c>
      <c r="O45" s="26">
        <v>0.6466319444444445</v>
      </c>
      <c r="P45" s="50" t="s">
        <v>1020</v>
      </c>
      <c r="Q45" s="50" t="s">
        <v>1047</v>
      </c>
      <c r="R45" s="50" t="s">
        <v>1406</v>
      </c>
      <c r="S45" s="50" t="s">
        <v>1031</v>
      </c>
      <c r="T45" s="50">
        <v>-6760</v>
      </c>
      <c r="U45" s="50" t="s">
        <v>1024</v>
      </c>
      <c r="V45" s="50" t="s">
        <v>1025</v>
      </c>
      <c r="W45" s="50" t="s">
        <v>2034</v>
      </c>
      <c r="X45" s="86"/>
      <c r="Y45" s="6" t="s">
        <v>1160</v>
      </c>
    </row>
    <row r="46" spans="3:25" x14ac:dyDescent="0.4">
      <c r="C46" s="4" t="s">
        <v>2</v>
      </c>
      <c r="D46" s="95" t="s">
        <v>1013</v>
      </c>
      <c r="E46" s="23">
        <f>SUMIFS($T$3:$T$235,$P$3:$P$235,"지출",$Q$3:$Q$235,C46,$R$3:$R$235,D46)</f>
        <v>0</v>
      </c>
      <c r="N46" s="25">
        <v>45970</v>
      </c>
      <c r="O46" s="26">
        <v>0.65469907407407413</v>
      </c>
      <c r="P46" s="50" t="s">
        <v>1020</v>
      </c>
      <c r="Q46" s="50" t="s">
        <v>1047</v>
      </c>
      <c r="R46" s="50" t="s">
        <v>1406</v>
      </c>
      <c r="S46" s="50" t="s">
        <v>1122</v>
      </c>
      <c r="T46" s="50">
        <v>-18600</v>
      </c>
      <c r="U46" s="50" t="s">
        <v>1024</v>
      </c>
      <c r="V46" s="50" t="s">
        <v>1350</v>
      </c>
      <c r="W46" s="50" t="s">
        <v>2035</v>
      </c>
      <c r="X46" s="86"/>
      <c r="Y46" s="6" t="s">
        <v>1160</v>
      </c>
    </row>
    <row r="47" spans="3:25" x14ac:dyDescent="0.4">
      <c r="C47" s="4" t="s">
        <v>2</v>
      </c>
      <c r="D47" s="95" t="s">
        <v>954</v>
      </c>
      <c r="E47" s="23">
        <f>SUMIFS($T$3:$T$235,$P$3:$P$235,"지출",$Q$3:$Q$235,C47,$R$3:$R$235,D47)</f>
        <v>0</v>
      </c>
      <c r="N47" s="25">
        <v>45970</v>
      </c>
      <c r="O47" s="26">
        <v>0.65682870370370372</v>
      </c>
      <c r="P47" s="50" t="s">
        <v>1020</v>
      </c>
      <c r="Q47" s="50" t="s">
        <v>1047</v>
      </c>
      <c r="R47" s="50" t="s">
        <v>1406</v>
      </c>
      <c r="S47" s="50" t="s">
        <v>1031</v>
      </c>
      <c r="T47" s="50">
        <v>-6750</v>
      </c>
      <c r="U47" s="50" t="s">
        <v>1024</v>
      </c>
      <c r="V47" s="50" t="s">
        <v>1025</v>
      </c>
      <c r="W47" s="50" t="s">
        <v>2036</v>
      </c>
      <c r="X47" s="86"/>
      <c r="Y47" s="6" t="s">
        <v>1160</v>
      </c>
    </row>
    <row r="48" spans="3:25" x14ac:dyDescent="0.4">
      <c r="C48" s="4" t="s">
        <v>2</v>
      </c>
      <c r="D48" s="95" t="s">
        <v>1015</v>
      </c>
      <c r="E48" s="23">
        <f>SUMIFS($T$3:$T$235,$P$3:$P$235,"지출",$Q$3:$Q$235,C48,$R$3:$R$235,D48)</f>
        <v>0</v>
      </c>
      <c r="N48" s="25">
        <v>45970</v>
      </c>
      <c r="O48" s="26">
        <v>0.88248842592592591</v>
      </c>
      <c r="P48" s="50" t="s">
        <v>1020</v>
      </c>
      <c r="Q48" s="50" t="s">
        <v>1047</v>
      </c>
      <c r="R48" s="50" t="s">
        <v>1406</v>
      </c>
      <c r="S48" s="50" t="s">
        <v>1031</v>
      </c>
      <c r="T48" s="50">
        <v>-5000</v>
      </c>
      <c r="U48" s="50" t="s">
        <v>1024</v>
      </c>
      <c r="V48" s="50" t="s">
        <v>1025</v>
      </c>
      <c r="W48" s="50" t="s">
        <v>2037</v>
      </c>
      <c r="X48" s="86"/>
      <c r="Y48" s="6" t="s">
        <v>1160</v>
      </c>
    </row>
    <row r="49" spans="1:25" x14ac:dyDescent="0.4">
      <c r="C49" s="4" t="s">
        <v>2</v>
      </c>
      <c r="D49" s="95" t="s">
        <v>5</v>
      </c>
      <c r="E49" s="23">
        <f>SUMIFS($T$3:$T$235,$P$3:$P$235,"지출",$Q$3:$Q$235,C49,$R$3:$R$235,D49)</f>
        <v>0</v>
      </c>
      <c r="N49" s="25">
        <v>45970</v>
      </c>
      <c r="O49" s="26">
        <v>0.91828703703703707</v>
      </c>
      <c r="P49" s="50" t="s">
        <v>1020</v>
      </c>
      <c r="Q49" s="50" t="s">
        <v>1047</v>
      </c>
      <c r="R49" s="50" t="s">
        <v>1406</v>
      </c>
      <c r="S49" s="50" t="s">
        <v>1031</v>
      </c>
      <c r="T49" s="50">
        <v>-10810</v>
      </c>
      <c r="U49" s="50" t="s">
        <v>1024</v>
      </c>
      <c r="V49" s="50" t="s">
        <v>1025</v>
      </c>
      <c r="W49" s="50" t="s">
        <v>2038</v>
      </c>
      <c r="X49" s="86"/>
      <c r="Y49" s="6" t="s">
        <v>1160</v>
      </c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45970</v>
      </c>
      <c r="O50" s="26">
        <v>0.92732638888888885</v>
      </c>
      <c r="P50" s="50" t="s">
        <v>1020</v>
      </c>
      <c r="Q50" s="50" t="s">
        <v>1047</v>
      </c>
      <c r="R50" s="50" t="s">
        <v>1406</v>
      </c>
      <c r="S50" s="50" t="s">
        <v>1122</v>
      </c>
      <c r="T50" s="50">
        <v>-15800</v>
      </c>
      <c r="U50" s="50" t="s">
        <v>1024</v>
      </c>
      <c r="V50" s="50" t="s">
        <v>1350</v>
      </c>
      <c r="W50" s="50" t="s">
        <v>2039</v>
      </c>
      <c r="X50" s="86"/>
      <c r="Y50" s="6" t="s">
        <v>1160</v>
      </c>
    </row>
    <row r="51" spans="1:25" ht="18" thickBot="1" x14ac:dyDescent="0.45">
      <c r="J51" s="53"/>
      <c r="K51" s="54"/>
      <c r="N51" s="25">
        <v>45971</v>
      </c>
      <c r="O51" s="26">
        <v>0.18569444444444441</v>
      </c>
      <c r="P51" s="50" t="s">
        <v>1073</v>
      </c>
      <c r="Q51" s="50" t="s">
        <v>1218</v>
      </c>
      <c r="R51" s="50" t="s">
        <v>1054</v>
      </c>
      <c r="S51" s="50" t="s">
        <v>1219</v>
      </c>
      <c r="T51" s="50">
        <v>1207</v>
      </c>
      <c r="U51" s="50" t="s">
        <v>1024</v>
      </c>
      <c r="V51" s="50" t="s">
        <v>1216</v>
      </c>
      <c r="W51" s="50"/>
      <c r="X51" s="8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J52" s="96" t="s">
        <v>922</v>
      </c>
      <c r="K52" s="29">
        <f ca="1">INDIRECT(J1&amp;"!K53")</f>
        <v>32920964.607229978</v>
      </c>
      <c r="N52" s="25">
        <v>45971</v>
      </c>
      <c r="O52" s="26">
        <v>0.71885416666666668</v>
      </c>
      <c r="P52" s="50" t="s">
        <v>1020</v>
      </c>
      <c r="Q52" s="50" t="s">
        <v>1026</v>
      </c>
      <c r="R52" s="50" t="s">
        <v>1151</v>
      </c>
      <c r="S52" s="50" t="s">
        <v>1639</v>
      </c>
      <c r="T52" s="50">
        <v>-10000</v>
      </c>
      <c r="U52" s="50" t="s">
        <v>1024</v>
      </c>
      <c r="V52" s="50" t="s">
        <v>1025</v>
      </c>
      <c r="W52" s="50"/>
      <c r="X52" s="8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J53" s="97" t="s">
        <v>921</v>
      </c>
      <c r="K53" s="29">
        <f>SUM(F54:F72)</f>
        <v>35251100.06922999</v>
      </c>
      <c r="N53" s="25">
        <v>45972</v>
      </c>
      <c r="O53" s="26">
        <v>0.1857175925925926</v>
      </c>
      <c r="P53" s="50" t="s">
        <v>1073</v>
      </c>
      <c r="Q53" s="50" t="s">
        <v>1218</v>
      </c>
      <c r="R53" s="50" t="s">
        <v>1054</v>
      </c>
      <c r="S53" s="50" t="s">
        <v>1219</v>
      </c>
      <c r="T53" s="50">
        <v>1207</v>
      </c>
      <c r="U53" s="50" t="s">
        <v>1024</v>
      </c>
      <c r="V53" s="50" t="s">
        <v>1216</v>
      </c>
      <c r="W53" s="50"/>
      <c r="X53" s="86"/>
      <c r="Y53" s="6"/>
    </row>
    <row r="54" spans="1:25" ht="18" thickBot="1" x14ac:dyDescent="0.45">
      <c r="C54" s="79" t="s">
        <v>991</v>
      </c>
      <c r="D54" s="50" t="s">
        <v>993</v>
      </c>
      <c r="E54" s="89">
        <v>45962</v>
      </c>
      <c r="F54" s="51">
        <v>5925095</v>
      </c>
      <c r="H54" s="109"/>
      <c r="J54" s="98" t="s">
        <v>907</v>
      </c>
      <c r="K54" s="30">
        <f ca="1">K53-K52</f>
        <v>2330135.4620000124</v>
      </c>
      <c r="N54" s="25">
        <v>45972</v>
      </c>
      <c r="O54" s="26">
        <v>0.94300925925925927</v>
      </c>
      <c r="P54" s="50" t="s">
        <v>1020</v>
      </c>
      <c r="Q54" s="50" t="s">
        <v>1026</v>
      </c>
      <c r="R54" s="50" t="s">
        <v>1151</v>
      </c>
      <c r="S54" s="50" t="s">
        <v>1639</v>
      </c>
      <c r="T54" s="50">
        <v>-10000</v>
      </c>
      <c r="U54" s="50" t="s">
        <v>1024</v>
      </c>
      <c r="V54" s="50" t="s">
        <v>1025</v>
      </c>
      <c r="W54" s="50"/>
      <c r="X54" s="86"/>
      <c r="Y54" s="6"/>
    </row>
    <row r="55" spans="1:25" x14ac:dyDescent="0.4">
      <c r="C55" s="83"/>
      <c r="D55" s="50" t="s">
        <v>994</v>
      </c>
      <c r="E55" s="89">
        <v>45962</v>
      </c>
      <c r="F55" s="51">
        <v>28126975</v>
      </c>
      <c r="H55" s="109"/>
      <c r="I55" s="53"/>
      <c r="J55" s="53"/>
      <c r="K55" s="54"/>
      <c r="N55" s="25">
        <v>45973</v>
      </c>
      <c r="O55" s="26">
        <v>0.1869328703703704</v>
      </c>
      <c r="P55" s="50" t="s">
        <v>1073</v>
      </c>
      <c r="Q55" s="50" t="s">
        <v>1218</v>
      </c>
      <c r="R55" s="50" t="s">
        <v>1054</v>
      </c>
      <c r="S55" s="50" t="s">
        <v>1219</v>
      </c>
      <c r="T55" s="50">
        <v>1207</v>
      </c>
      <c r="U55" s="50" t="s">
        <v>1024</v>
      </c>
      <c r="V55" s="50" t="s">
        <v>1216</v>
      </c>
      <c r="W55" s="50"/>
      <c r="X55" s="86"/>
      <c r="Y55" s="6"/>
    </row>
    <row r="56" spans="1:25" x14ac:dyDescent="0.4">
      <c r="C56" s="83"/>
      <c r="D56" s="84" t="s">
        <v>1268</v>
      </c>
      <c r="E56" s="89">
        <v>45962</v>
      </c>
      <c r="F56" s="107">
        <v>10000000</v>
      </c>
      <c r="H56" s="109"/>
      <c r="I56" s="53"/>
      <c r="J56" s="53"/>
      <c r="K56" s="54"/>
      <c r="N56" s="25">
        <v>45973</v>
      </c>
      <c r="O56" s="26">
        <v>0.80565972222222226</v>
      </c>
      <c r="P56" s="50" t="s">
        <v>1053</v>
      </c>
      <c r="Q56" s="50" t="s">
        <v>1066</v>
      </c>
      <c r="R56" s="50" t="s">
        <v>1054</v>
      </c>
      <c r="S56" s="50" t="s">
        <v>1067</v>
      </c>
      <c r="T56" s="50">
        <v>-2645241</v>
      </c>
      <c r="U56" s="50" t="s">
        <v>1024</v>
      </c>
      <c r="V56" s="50" t="s">
        <v>1036</v>
      </c>
      <c r="W56" s="50"/>
      <c r="X56" s="8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45973</v>
      </c>
      <c r="O57" s="26">
        <v>0.93736111111111109</v>
      </c>
      <c r="P57" s="50" t="s">
        <v>1020</v>
      </c>
      <c r="Q57" s="50" t="s">
        <v>1026</v>
      </c>
      <c r="R57" s="50" t="s">
        <v>1151</v>
      </c>
      <c r="S57" s="50" t="s">
        <v>1639</v>
      </c>
      <c r="T57" s="50">
        <v>-10000</v>
      </c>
      <c r="U57" s="50" t="s">
        <v>1024</v>
      </c>
      <c r="V57" s="50" t="s">
        <v>1025</v>
      </c>
      <c r="W57" s="50"/>
      <c r="X57" s="86"/>
      <c r="Y57" s="6"/>
    </row>
    <row r="58" spans="1:25" x14ac:dyDescent="0.4">
      <c r="C58" s="81" t="s">
        <v>992</v>
      </c>
      <c r="D58" s="99" t="s">
        <v>1005</v>
      </c>
      <c r="E58" s="89">
        <v>45962</v>
      </c>
      <c r="F58" s="104">
        <v>0</v>
      </c>
      <c r="H58" s="109"/>
      <c r="I58" s="53"/>
      <c r="J58" s="53"/>
      <c r="K58" s="54"/>
      <c r="N58" s="25">
        <v>45974</v>
      </c>
      <c r="O58" s="26">
        <v>0.18910879629629629</v>
      </c>
      <c r="P58" s="50" t="s">
        <v>1073</v>
      </c>
      <c r="Q58" s="50" t="s">
        <v>1218</v>
      </c>
      <c r="R58" s="50" t="s">
        <v>1054</v>
      </c>
      <c r="S58" s="50" t="s">
        <v>1219</v>
      </c>
      <c r="T58" s="50">
        <v>1207</v>
      </c>
      <c r="U58" s="50" t="s">
        <v>1024</v>
      </c>
      <c r="V58" s="50" t="s">
        <v>1216</v>
      </c>
      <c r="W58" s="50"/>
      <c r="X58" s="86"/>
      <c r="Y58" s="6"/>
    </row>
    <row r="59" spans="1:25" x14ac:dyDescent="0.4">
      <c r="C59" s="79" t="s">
        <v>969</v>
      </c>
      <c r="D59" s="50" t="s">
        <v>989</v>
      </c>
      <c r="E59" s="89">
        <v>45962</v>
      </c>
      <c r="F59" s="51">
        <v>93285</v>
      </c>
      <c r="H59" s="109"/>
      <c r="I59" s="53"/>
      <c r="J59" s="53"/>
      <c r="K59" s="54"/>
      <c r="N59" s="25">
        <v>45974</v>
      </c>
      <c r="O59" s="26">
        <v>0.58759259259259256</v>
      </c>
      <c r="P59" s="50" t="s">
        <v>1020</v>
      </c>
      <c r="Q59" s="50" t="s">
        <v>1029</v>
      </c>
      <c r="R59" s="50" t="s">
        <v>1030</v>
      </c>
      <c r="S59" s="50" t="s">
        <v>1781</v>
      </c>
      <c r="T59" s="50">
        <v>-11400</v>
      </c>
      <c r="U59" s="50" t="s">
        <v>1024</v>
      </c>
      <c r="V59" s="50" t="s">
        <v>1099</v>
      </c>
      <c r="W59" s="50"/>
      <c r="X59" s="86"/>
      <c r="Y59" s="6"/>
    </row>
    <row r="60" spans="1:25" x14ac:dyDescent="0.4">
      <c r="C60" s="83"/>
      <c r="D60" s="50" t="s">
        <v>990</v>
      </c>
      <c r="E60" s="89">
        <v>45962</v>
      </c>
      <c r="F60" s="51">
        <v>47150</v>
      </c>
      <c r="H60" s="109"/>
      <c r="I60" s="53"/>
      <c r="J60" s="53"/>
      <c r="K60" s="54"/>
      <c r="N60" s="25">
        <v>45974</v>
      </c>
      <c r="O60" s="26">
        <v>0.73744212962962963</v>
      </c>
      <c r="P60" s="50" t="s">
        <v>1020</v>
      </c>
      <c r="Q60" s="50" t="s">
        <v>1029</v>
      </c>
      <c r="R60" s="50" t="s">
        <v>1070</v>
      </c>
      <c r="S60" s="50" t="s">
        <v>1071</v>
      </c>
      <c r="T60" s="50">
        <v>-16300</v>
      </c>
      <c r="U60" s="50" t="s">
        <v>1024</v>
      </c>
      <c r="V60" s="50" t="s">
        <v>1025</v>
      </c>
      <c r="W60" s="50" t="s">
        <v>1422</v>
      </c>
      <c r="X60" s="86"/>
      <c r="Y60" s="6" t="s">
        <v>1160</v>
      </c>
    </row>
    <row r="61" spans="1:25" x14ac:dyDescent="0.4">
      <c r="C61" s="83"/>
      <c r="D61" s="50" t="s">
        <v>946</v>
      </c>
      <c r="E61" s="89">
        <v>45962</v>
      </c>
      <c r="F61" s="51">
        <v>0</v>
      </c>
      <c r="H61" s="109"/>
      <c r="I61" s="53"/>
      <c r="J61" s="53"/>
      <c r="K61" s="54"/>
      <c r="N61" s="25">
        <v>45975</v>
      </c>
      <c r="O61" s="26">
        <v>0.18839120370370371</v>
      </c>
      <c r="P61" s="50" t="s">
        <v>1073</v>
      </c>
      <c r="Q61" s="50" t="s">
        <v>1218</v>
      </c>
      <c r="R61" s="50" t="s">
        <v>1054</v>
      </c>
      <c r="S61" s="50" t="s">
        <v>1219</v>
      </c>
      <c r="T61" s="50">
        <v>1207</v>
      </c>
      <c r="U61" s="50" t="s">
        <v>1024</v>
      </c>
      <c r="V61" s="50" t="s">
        <v>1216</v>
      </c>
      <c r="W61" s="50"/>
      <c r="X61" s="86"/>
      <c r="Y61" s="6"/>
    </row>
    <row r="62" spans="1:25" x14ac:dyDescent="0.4">
      <c r="C62" s="83"/>
      <c r="D62" s="50" t="s">
        <v>995</v>
      </c>
      <c r="E62" s="89">
        <v>45962</v>
      </c>
      <c r="F62" s="101">
        <v>11000000</v>
      </c>
      <c r="H62" s="109"/>
      <c r="I62" s="53"/>
      <c r="J62" s="53"/>
      <c r="K62" s="54"/>
      <c r="N62" s="25">
        <v>45975</v>
      </c>
      <c r="O62" s="26">
        <v>0.48504629629629631</v>
      </c>
      <c r="P62" s="50" t="s">
        <v>1020</v>
      </c>
      <c r="Q62" s="50" t="s">
        <v>1029</v>
      </c>
      <c r="R62" s="50" t="s">
        <v>1030</v>
      </c>
      <c r="S62" s="50" t="s">
        <v>1031</v>
      </c>
      <c r="T62" s="50">
        <v>-22870</v>
      </c>
      <c r="U62" s="50" t="s">
        <v>1024</v>
      </c>
      <c r="V62" s="50" t="s">
        <v>1025</v>
      </c>
      <c r="W62" s="50" t="s">
        <v>2040</v>
      </c>
      <c r="X62" s="86"/>
      <c r="Y62" s="6"/>
    </row>
    <row r="63" spans="1:25" x14ac:dyDescent="0.4">
      <c r="C63" s="80"/>
      <c r="D63" s="50" t="s">
        <v>1004</v>
      </c>
      <c r="E63" s="89">
        <v>45962</v>
      </c>
      <c r="F63" s="51">
        <v>474800</v>
      </c>
      <c r="H63" s="109"/>
      <c r="I63" s="53"/>
      <c r="J63" s="53"/>
      <c r="K63" s="54"/>
      <c r="N63" s="25">
        <v>45975</v>
      </c>
      <c r="O63" s="26">
        <v>0.77894675925925927</v>
      </c>
      <c r="P63" s="50" t="s">
        <v>1020</v>
      </c>
      <c r="Q63" s="50" t="s">
        <v>1029</v>
      </c>
      <c r="R63" s="50" t="s">
        <v>1030</v>
      </c>
      <c r="S63" s="50" t="s">
        <v>1031</v>
      </c>
      <c r="T63" s="50">
        <v>-16920</v>
      </c>
      <c r="U63" s="50" t="s">
        <v>1024</v>
      </c>
      <c r="V63" s="50" t="s">
        <v>1025</v>
      </c>
      <c r="W63" s="50" t="s">
        <v>2041</v>
      </c>
      <c r="X63" s="86"/>
      <c r="Y63" s="6"/>
    </row>
    <row r="64" spans="1:25" x14ac:dyDescent="0.4">
      <c r="C64" s="79" t="s">
        <v>1001</v>
      </c>
      <c r="D64" s="50" t="s">
        <v>1795</v>
      </c>
      <c r="E64" s="89">
        <v>45962</v>
      </c>
      <c r="F64" s="51">
        <v>78000209</v>
      </c>
      <c r="H64" s="109"/>
      <c r="I64" s="53"/>
      <c r="J64" s="53"/>
      <c r="K64" s="54"/>
      <c r="N64" s="25">
        <v>45976</v>
      </c>
      <c r="O64" s="26">
        <v>4.1550925925925929E-2</v>
      </c>
      <c r="P64" s="50" t="s">
        <v>1053</v>
      </c>
      <c r="Q64" s="50" t="s">
        <v>1054</v>
      </c>
      <c r="R64" s="50" t="s">
        <v>1054</v>
      </c>
      <c r="S64" s="50" t="s">
        <v>1223</v>
      </c>
      <c r="T64" s="50">
        <v>1083</v>
      </c>
      <c r="U64" s="50" t="s">
        <v>1024</v>
      </c>
      <c r="V64" s="50" t="s">
        <v>1036</v>
      </c>
      <c r="W64" s="50"/>
      <c r="X64" s="86"/>
      <c r="Y64" s="6"/>
    </row>
    <row r="65" spans="1:25" x14ac:dyDescent="0.4">
      <c r="C65" s="83"/>
      <c r="D65" s="84"/>
      <c r="E65" s="102"/>
      <c r="F65" s="103"/>
      <c r="H65" s="52"/>
      <c r="I65" s="53"/>
      <c r="J65" s="53"/>
      <c r="K65" s="54"/>
      <c r="N65" s="25">
        <v>45976</v>
      </c>
      <c r="O65" s="26">
        <v>0.1877314814814815</v>
      </c>
      <c r="P65" s="50" t="s">
        <v>1073</v>
      </c>
      <c r="Q65" s="50" t="s">
        <v>1218</v>
      </c>
      <c r="R65" s="50" t="s">
        <v>1054</v>
      </c>
      <c r="S65" s="50" t="s">
        <v>1219</v>
      </c>
      <c r="T65" s="50">
        <v>1207</v>
      </c>
      <c r="U65" s="50" t="s">
        <v>1024</v>
      </c>
      <c r="V65" s="50" t="s">
        <v>1216</v>
      </c>
      <c r="W65" s="50"/>
      <c r="X65" s="86"/>
      <c r="Y65" s="6"/>
    </row>
    <row r="66" spans="1:25" x14ac:dyDescent="0.4">
      <c r="C66" s="83"/>
      <c r="D66" s="84" t="s">
        <v>1158</v>
      </c>
      <c r="E66" s="89">
        <v>45962</v>
      </c>
      <c r="F66" s="51">
        <v>45147635.209399998</v>
      </c>
      <c r="H66" s="109"/>
      <c r="I66" s="53"/>
      <c r="J66" s="53"/>
      <c r="K66" s="54"/>
      <c r="N66" s="25">
        <v>45976</v>
      </c>
      <c r="O66" s="26">
        <v>0.80467592592592596</v>
      </c>
      <c r="P66" s="50" t="s">
        <v>1053</v>
      </c>
      <c r="Q66" s="50" t="s">
        <v>1053</v>
      </c>
      <c r="R66" s="50" t="s">
        <v>1054</v>
      </c>
      <c r="S66" s="50" t="s">
        <v>1232</v>
      </c>
      <c r="T66" s="50">
        <v>-40000</v>
      </c>
      <c r="U66" s="50" t="s">
        <v>1024</v>
      </c>
      <c r="V66" s="50" t="s">
        <v>1036</v>
      </c>
      <c r="W66" s="50"/>
      <c r="X66" s="86"/>
      <c r="Y66" s="6"/>
    </row>
    <row r="67" spans="1:25" x14ac:dyDescent="0.4">
      <c r="C67" s="83"/>
      <c r="D67" s="84" t="s">
        <v>1159</v>
      </c>
      <c r="E67" s="89">
        <v>45962</v>
      </c>
      <c r="F67" s="51">
        <v>308384</v>
      </c>
      <c r="H67" s="109"/>
      <c r="I67" s="53"/>
      <c r="J67" s="53"/>
      <c r="K67" s="54"/>
      <c r="N67" s="25">
        <v>45976</v>
      </c>
      <c r="O67" s="26">
        <v>0.8046875</v>
      </c>
      <c r="P67" s="50" t="s">
        <v>1020</v>
      </c>
      <c r="Q67" s="50" t="s">
        <v>1047</v>
      </c>
      <c r="R67" s="50" t="s">
        <v>1406</v>
      </c>
      <c r="S67" s="50" t="s">
        <v>1307</v>
      </c>
      <c r="T67" s="50">
        <v>-8620</v>
      </c>
      <c r="U67" s="50" t="s">
        <v>1024</v>
      </c>
      <c r="V67" s="50" t="s">
        <v>1228</v>
      </c>
      <c r="W67" s="50" t="s">
        <v>2042</v>
      </c>
      <c r="X67" s="86"/>
      <c r="Y67" s="6" t="s">
        <v>1160</v>
      </c>
    </row>
    <row r="68" spans="1:25" x14ac:dyDescent="0.4">
      <c r="C68" s="80"/>
      <c r="D68" s="50" t="s">
        <v>1007</v>
      </c>
      <c r="E68" s="89">
        <v>45962</v>
      </c>
      <c r="F68" s="51">
        <v>1164919.85983</v>
      </c>
      <c r="H68" s="109"/>
      <c r="I68" s="53"/>
      <c r="J68" s="53"/>
      <c r="K68" s="54"/>
      <c r="N68" s="25">
        <v>45976</v>
      </c>
      <c r="O68" s="26">
        <v>0.8046875</v>
      </c>
      <c r="P68" s="50" t="s">
        <v>1053</v>
      </c>
      <c r="Q68" s="50" t="s">
        <v>1053</v>
      </c>
      <c r="R68" s="50" t="s">
        <v>1054</v>
      </c>
      <c r="S68" s="50" t="s">
        <v>1230</v>
      </c>
      <c r="T68" s="50">
        <v>40000</v>
      </c>
      <c r="U68" s="50" t="s">
        <v>1024</v>
      </c>
      <c r="V68" s="50" t="s">
        <v>1231</v>
      </c>
      <c r="W68" s="50"/>
      <c r="X68" s="86"/>
      <c r="Y68" s="6"/>
    </row>
    <row r="69" spans="1:25" x14ac:dyDescent="0.4">
      <c r="C69" s="79" t="s">
        <v>1002</v>
      </c>
      <c r="D69" s="50" t="s">
        <v>999</v>
      </c>
      <c r="E69" s="89">
        <v>45962</v>
      </c>
      <c r="F69" s="51">
        <v>4670282</v>
      </c>
      <c r="H69" s="109"/>
      <c r="I69" s="53"/>
      <c r="J69" s="53"/>
      <c r="K69" s="54"/>
      <c r="N69" s="25">
        <v>45976</v>
      </c>
      <c r="O69" s="26">
        <v>0.81384259259259262</v>
      </c>
      <c r="P69" s="50" t="s">
        <v>1020</v>
      </c>
      <c r="Q69" s="50" t="s">
        <v>1047</v>
      </c>
      <c r="R69" s="50" t="s">
        <v>1406</v>
      </c>
      <c r="S69" s="50" t="s">
        <v>1307</v>
      </c>
      <c r="T69" s="50">
        <v>-14850</v>
      </c>
      <c r="U69" s="50" t="s">
        <v>1024</v>
      </c>
      <c r="V69" s="50" t="s">
        <v>1228</v>
      </c>
      <c r="W69" s="50" t="s">
        <v>2043</v>
      </c>
      <c r="X69" s="86"/>
      <c r="Y69" s="6" t="s">
        <v>1160</v>
      </c>
    </row>
    <row r="70" spans="1:25" x14ac:dyDescent="0.4">
      <c r="C70" s="80"/>
      <c r="D70" s="50" t="s">
        <v>1000</v>
      </c>
      <c r="E70" s="89">
        <v>45962</v>
      </c>
      <c r="F70" s="51">
        <v>1959080</v>
      </c>
      <c r="H70" s="109"/>
      <c r="I70" s="53"/>
      <c r="J70" s="53"/>
      <c r="K70" s="54"/>
      <c r="N70" s="25">
        <v>45976</v>
      </c>
      <c r="O70" s="26">
        <v>0.81384259259259262</v>
      </c>
      <c r="P70" s="50" t="s">
        <v>1053</v>
      </c>
      <c r="Q70" s="50" t="s">
        <v>1053</v>
      </c>
      <c r="R70" s="50" t="s">
        <v>1054</v>
      </c>
      <c r="S70" s="50" t="s">
        <v>1230</v>
      </c>
      <c r="T70" s="50">
        <v>20000</v>
      </c>
      <c r="U70" s="50" t="s">
        <v>1024</v>
      </c>
      <c r="V70" s="50" t="s">
        <v>1231</v>
      </c>
      <c r="W70" s="50"/>
      <c r="X70" s="86"/>
      <c r="Y70" s="6"/>
    </row>
    <row r="71" spans="1:25" x14ac:dyDescent="0.4">
      <c r="C71" s="80" t="s">
        <v>1796</v>
      </c>
      <c r="D71" s="50" t="s">
        <v>911</v>
      </c>
      <c r="E71" s="89" t="s">
        <v>1797</v>
      </c>
      <c r="F71" s="108">
        <v>-151666715</v>
      </c>
      <c r="H71" s="52"/>
      <c r="I71" s="53"/>
      <c r="J71" s="53"/>
      <c r="K71" s="54"/>
      <c r="N71" s="25">
        <v>45976</v>
      </c>
      <c r="O71" s="26">
        <v>0.81384259259259262</v>
      </c>
      <c r="P71" s="50" t="s">
        <v>1053</v>
      </c>
      <c r="Q71" s="50" t="s">
        <v>1053</v>
      </c>
      <c r="R71" s="50" t="s">
        <v>1054</v>
      </c>
      <c r="S71" s="50" t="s">
        <v>1232</v>
      </c>
      <c r="T71" s="50">
        <v>-20000</v>
      </c>
      <c r="U71" s="50" t="s">
        <v>1024</v>
      </c>
      <c r="V71" s="50" t="s">
        <v>1036</v>
      </c>
      <c r="W71" s="50"/>
      <c r="X71" s="86"/>
      <c r="Y71" s="6"/>
    </row>
    <row r="72" spans="1:25" x14ac:dyDescent="0.4">
      <c r="C72" s="82"/>
      <c r="D72" s="53"/>
      <c r="E72" s="53"/>
      <c r="F72" s="54"/>
      <c r="H72" s="52"/>
      <c r="I72" s="53"/>
      <c r="J72" s="53"/>
      <c r="K72" s="54"/>
      <c r="N72" s="25">
        <v>45976</v>
      </c>
      <c r="O72" s="26">
        <v>0.81450231481481483</v>
      </c>
      <c r="P72" s="50" t="s">
        <v>1020</v>
      </c>
      <c r="Q72" s="50" t="s">
        <v>1184</v>
      </c>
      <c r="R72" s="50" t="s">
        <v>1522</v>
      </c>
      <c r="S72" s="50" t="s">
        <v>1168</v>
      </c>
      <c r="T72" s="50">
        <v>-50000</v>
      </c>
      <c r="U72" s="50" t="s">
        <v>1024</v>
      </c>
      <c r="V72" s="50" t="s">
        <v>1036</v>
      </c>
      <c r="W72" s="50"/>
      <c r="X72" s="86"/>
      <c r="Y72" s="6"/>
    </row>
    <row r="73" spans="1:25" x14ac:dyDescent="0.4">
      <c r="A73" s="3" t="s">
        <v>926</v>
      </c>
      <c r="H73" s="52"/>
      <c r="I73" s="53"/>
      <c r="J73" s="53"/>
      <c r="K73" s="54"/>
      <c r="N73" s="25">
        <v>45977</v>
      </c>
      <c r="O73" s="26">
        <v>0.18679398148148149</v>
      </c>
      <c r="P73" s="50" t="s">
        <v>1073</v>
      </c>
      <c r="Q73" s="50" t="s">
        <v>1218</v>
      </c>
      <c r="R73" s="50" t="s">
        <v>1054</v>
      </c>
      <c r="S73" s="50" t="s">
        <v>1219</v>
      </c>
      <c r="T73" s="50">
        <v>1207</v>
      </c>
      <c r="U73" s="50" t="s">
        <v>1024</v>
      </c>
      <c r="V73" s="50" t="s">
        <v>1216</v>
      </c>
      <c r="W73" s="50"/>
      <c r="X73" s="86"/>
      <c r="Y73" s="6"/>
    </row>
    <row r="74" spans="1:25" ht="18" thickBot="1" x14ac:dyDescent="0.45">
      <c r="A74" s="31" t="s">
        <v>900</v>
      </c>
      <c r="B74" s="31" t="s">
        <v>901</v>
      </c>
      <c r="C74" s="61" t="s">
        <v>22</v>
      </c>
      <c r="D74" s="62"/>
      <c r="E74" s="31" t="s">
        <v>977</v>
      </c>
      <c r="F74" s="31" t="s">
        <v>981</v>
      </c>
      <c r="G74" s="31" t="s">
        <v>945</v>
      </c>
      <c r="H74" s="60" t="s">
        <v>0</v>
      </c>
      <c r="I74" s="31" t="s">
        <v>980</v>
      </c>
      <c r="J74" s="53"/>
      <c r="K74" s="54"/>
      <c r="N74" s="25">
        <v>45977</v>
      </c>
      <c r="O74" s="26">
        <v>0.3308564814814815</v>
      </c>
      <c r="P74" s="50" t="s">
        <v>1020</v>
      </c>
      <c r="Q74" s="50" t="s">
        <v>1021</v>
      </c>
      <c r="R74" s="50" t="s">
        <v>1047</v>
      </c>
      <c r="S74" s="50" t="s">
        <v>1764</v>
      </c>
      <c r="T74" s="50">
        <v>-19800</v>
      </c>
      <c r="U74" s="50" t="s">
        <v>1024</v>
      </c>
      <c r="V74" s="50" t="s">
        <v>1025</v>
      </c>
      <c r="W74" s="50" t="s">
        <v>2044</v>
      </c>
      <c r="X74" s="86"/>
      <c r="Y74" s="6"/>
    </row>
    <row r="75" spans="1:25" ht="18" thickTop="1" x14ac:dyDescent="0.4">
      <c r="A75" s="7">
        <f>$L$1</f>
        <v>202511</v>
      </c>
      <c r="B75" s="7">
        <v>1</v>
      </c>
      <c r="C75" s="69" t="s">
        <v>4</v>
      </c>
      <c r="D75" s="70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5543000</v>
      </c>
      <c r="F75" s="41">
        <f t="shared" ref="F75:F80" ca="1" si="11">INDIRECT($J$1&amp;"!H"&amp;ROW())</f>
        <v>5299664</v>
      </c>
      <c r="G75" s="41">
        <f t="shared" ref="G75:G80" ca="1" si="12">H75-F75</f>
        <v>282950</v>
      </c>
      <c r="H75" s="58">
        <f t="shared" ref="H75:H80" si="13">SUMIFS($T$3:$T$235,$P$3:$P$235,"수입",$Q$3:$Q$235,C75)</f>
        <v>5582614</v>
      </c>
      <c r="I75" s="43">
        <f t="shared" ref="I75:I80" si="14">H75-E75</f>
        <v>39614</v>
      </c>
      <c r="N75" s="25">
        <v>45977</v>
      </c>
      <c r="O75" s="26">
        <v>0.60111111111111115</v>
      </c>
      <c r="P75" s="50" t="s">
        <v>1020</v>
      </c>
      <c r="Q75" s="50" t="s">
        <v>1029</v>
      </c>
      <c r="R75" s="50" t="s">
        <v>1070</v>
      </c>
      <c r="S75" s="50" t="s">
        <v>2045</v>
      </c>
      <c r="T75" s="50">
        <v>-3000</v>
      </c>
      <c r="U75" s="50" t="s">
        <v>1024</v>
      </c>
      <c r="V75" s="50" t="s">
        <v>1025</v>
      </c>
      <c r="W75" s="50"/>
      <c r="X75" s="86"/>
      <c r="Y75" s="6"/>
    </row>
    <row r="76" spans="1:25" x14ac:dyDescent="0.4">
      <c r="A76" s="4">
        <f t="shared" ref="A76:A80" si="15">$L$1</f>
        <v>202511</v>
      </c>
      <c r="B76" s="4">
        <f>B75+1</f>
        <v>2</v>
      </c>
      <c r="C76" s="74" t="s">
        <v>975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55199</v>
      </c>
      <c r="F76" s="41">
        <f t="shared" ca="1" si="11"/>
        <v>1155199</v>
      </c>
      <c r="G76" s="41">
        <f t="shared" ca="1" si="12"/>
        <v>-1100000</v>
      </c>
      <c r="H76" s="58">
        <f t="shared" si="13"/>
        <v>55199</v>
      </c>
      <c r="I76" s="43">
        <f t="shared" si="14"/>
        <v>0</v>
      </c>
      <c r="N76" s="25">
        <v>45977</v>
      </c>
      <c r="O76" s="26">
        <v>0.63606481481481481</v>
      </c>
      <c r="P76" s="50" t="s">
        <v>1020</v>
      </c>
      <c r="Q76" s="50" t="s">
        <v>1047</v>
      </c>
      <c r="R76" s="50" t="s">
        <v>1406</v>
      </c>
      <c r="S76" s="50" t="s">
        <v>2046</v>
      </c>
      <c r="T76" s="50">
        <v>-18400</v>
      </c>
      <c r="U76" s="50" t="s">
        <v>1024</v>
      </c>
      <c r="V76" s="50" t="s">
        <v>1025</v>
      </c>
      <c r="W76" s="50" t="s">
        <v>2047</v>
      </c>
      <c r="X76" s="86"/>
      <c r="Y76" s="6" t="s">
        <v>1160</v>
      </c>
    </row>
    <row r="77" spans="1:25" x14ac:dyDescent="0.4">
      <c r="A77" s="4">
        <f t="shared" si="15"/>
        <v>202511</v>
      </c>
      <c r="B77" s="4">
        <f>B76+1</f>
        <v>3</v>
      </c>
      <c r="C77" s="74" t="s">
        <v>11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63200</v>
      </c>
      <c r="G77" s="41">
        <f t="shared" ca="1" si="12"/>
        <v>-63200</v>
      </c>
      <c r="H77" s="58">
        <f t="shared" si="13"/>
        <v>0</v>
      </c>
      <c r="I77" s="43">
        <f t="shared" si="14"/>
        <v>0</v>
      </c>
      <c r="N77" s="25">
        <v>45977</v>
      </c>
      <c r="O77" s="26">
        <v>0.66119212962962959</v>
      </c>
      <c r="P77" s="50" t="s">
        <v>1020</v>
      </c>
      <c r="Q77" s="50" t="s">
        <v>1029</v>
      </c>
      <c r="R77" s="50" t="s">
        <v>1070</v>
      </c>
      <c r="S77" s="50" t="s">
        <v>2048</v>
      </c>
      <c r="T77" s="50">
        <v>-3000</v>
      </c>
      <c r="U77" s="50" t="s">
        <v>1024</v>
      </c>
      <c r="V77" s="50" t="s">
        <v>1025</v>
      </c>
      <c r="W77" s="50" t="s">
        <v>2049</v>
      </c>
      <c r="X77" s="86"/>
      <c r="Y77" s="6"/>
    </row>
    <row r="78" spans="1:25" x14ac:dyDescent="0.4">
      <c r="A78" s="4">
        <f t="shared" si="15"/>
        <v>202511</v>
      </c>
      <c r="B78" s="4">
        <f>B77+1</f>
        <v>4</v>
      </c>
      <c r="C78" s="74" t="s">
        <v>976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21729</v>
      </c>
      <c r="G78" s="41">
        <f t="shared" ca="1" si="12"/>
        <v>11054</v>
      </c>
      <c r="H78" s="58">
        <f t="shared" si="13"/>
        <v>32783</v>
      </c>
      <c r="I78" s="43">
        <f t="shared" si="14"/>
        <v>32783</v>
      </c>
      <c r="N78" s="25">
        <v>45977</v>
      </c>
      <c r="O78" s="26">
        <v>0.83327546296296295</v>
      </c>
      <c r="P78" s="50" t="s">
        <v>1020</v>
      </c>
      <c r="Q78" s="50" t="s">
        <v>1029</v>
      </c>
      <c r="R78" s="50" t="s">
        <v>1030</v>
      </c>
      <c r="S78" s="50" t="s">
        <v>1769</v>
      </c>
      <c r="T78" s="50">
        <v>-15900</v>
      </c>
      <c r="U78" s="50" t="s">
        <v>1024</v>
      </c>
      <c r="V78" s="50" t="s">
        <v>1025</v>
      </c>
      <c r="W78" s="50"/>
      <c r="X78" s="86"/>
      <c r="Y78" s="6"/>
    </row>
    <row r="79" spans="1:25" x14ac:dyDescent="0.4">
      <c r="A79" s="4">
        <f t="shared" si="15"/>
        <v>202511</v>
      </c>
      <c r="B79" s="4">
        <f>B78+1</f>
        <v>5</v>
      </c>
      <c r="C79" s="74" t="s">
        <v>5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1000</v>
      </c>
      <c r="G79" s="41">
        <f t="shared" ca="1" si="12"/>
        <v>-1000</v>
      </c>
      <c r="H79" s="58">
        <f t="shared" si="13"/>
        <v>0</v>
      </c>
      <c r="I79" s="43">
        <f t="shared" si="14"/>
        <v>0</v>
      </c>
      <c r="N79" s="25">
        <v>45978</v>
      </c>
      <c r="O79" s="26">
        <v>0.18657407407407409</v>
      </c>
      <c r="P79" s="50" t="s">
        <v>1073</v>
      </c>
      <c r="Q79" s="50" t="s">
        <v>1218</v>
      </c>
      <c r="R79" s="50" t="s">
        <v>1054</v>
      </c>
      <c r="S79" s="50" t="s">
        <v>1219</v>
      </c>
      <c r="T79" s="50">
        <v>1207</v>
      </c>
      <c r="U79" s="50" t="s">
        <v>1024</v>
      </c>
      <c r="V79" s="50" t="s">
        <v>1216</v>
      </c>
      <c r="W79" s="50"/>
      <c r="X79" s="86"/>
      <c r="Y79" s="6"/>
    </row>
    <row r="80" spans="1:25" x14ac:dyDescent="0.4">
      <c r="A80" s="4">
        <f t="shared" si="15"/>
        <v>202511</v>
      </c>
      <c r="B80" s="4">
        <f>B79+1</f>
        <v>6</v>
      </c>
      <c r="C80" s="105" t="s">
        <v>2</v>
      </c>
      <c r="D80" s="75"/>
      <c r="E80" s="23">
        <f>SUMIFS('수입&amp;예산'!$C$4:$C$11,'수입&amp;예산'!$A$4:$A$11,C80,'수입&amp;예산'!$D$4:$D$11,"M")*10000+SUMIFS('수입&amp;예산'!$C$4:$C$11,'수입&amp;예산'!$A$4:$A$11,C80,'수입&amp;예산'!$D$4:$D$11,"Y",'수입&amp;예산'!$E$4:$E$11,$L$1)*10000</f>
        <v>0</v>
      </c>
      <c r="F80" s="41">
        <f t="shared" ca="1" si="11"/>
        <v>0</v>
      </c>
      <c r="G80" s="41">
        <f t="shared" ca="1" si="12"/>
        <v>0</v>
      </c>
      <c r="H80" s="58">
        <f t="shared" si="13"/>
        <v>0</v>
      </c>
      <c r="I80" s="43">
        <f t="shared" si="14"/>
        <v>0</v>
      </c>
      <c r="N80" s="25">
        <v>45979</v>
      </c>
      <c r="O80" s="26">
        <v>0.18583333333333329</v>
      </c>
      <c r="P80" s="50" t="s">
        <v>1073</v>
      </c>
      <c r="Q80" s="50" t="s">
        <v>1218</v>
      </c>
      <c r="R80" s="50" t="s">
        <v>1054</v>
      </c>
      <c r="S80" s="50" t="s">
        <v>1219</v>
      </c>
      <c r="T80" s="50">
        <v>1207</v>
      </c>
      <c r="U80" s="50" t="s">
        <v>1024</v>
      </c>
      <c r="V80" s="50" t="s">
        <v>1216</v>
      </c>
      <c r="W80" s="50"/>
      <c r="X80" s="86"/>
      <c r="Y80" s="6"/>
    </row>
    <row r="81" spans="1:25" x14ac:dyDescent="0.4">
      <c r="A81" s="71" t="s">
        <v>14</v>
      </c>
      <c r="B81" s="72"/>
      <c r="C81" s="72"/>
      <c r="D81" s="73"/>
      <c r="E81" s="56">
        <f>SUM(E75:E80)</f>
        <v>5598199</v>
      </c>
      <c r="F81" s="56">
        <f ca="1">SUM(F75:F80)</f>
        <v>6540792</v>
      </c>
      <c r="G81" s="57">
        <f ca="1">SUM(G75:G80)</f>
        <v>-870196</v>
      </c>
      <c r="H81" s="59">
        <f>SUM(H75:H80)</f>
        <v>5670596</v>
      </c>
      <c r="I81" s="43">
        <f>SUM(I75:I80)</f>
        <v>72397</v>
      </c>
      <c r="N81" s="25">
        <v>45979</v>
      </c>
      <c r="O81" s="26">
        <v>0.83784722222222219</v>
      </c>
      <c r="P81" s="50" t="s">
        <v>1020</v>
      </c>
      <c r="Q81" s="50" t="s">
        <v>1026</v>
      </c>
      <c r="R81" s="50" t="s">
        <v>1151</v>
      </c>
      <c r="S81" s="50" t="s">
        <v>1639</v>
      </c>
      <c r="T81" s="50">
        <v>-10000</v>
      </c>
      <c r="U81" s="50" t="s">
        <v>1024</v>
      </c>
      <c r="V81" s="50" t="s">
        <v>1025</v>
      </c>
      <c r="W81" s="50"/>
      <c r="X81" s="86"/>
      <c r="Y81" s="4"/>
    </row>
    <row r="82" spans="1:25" x14ac:dyDescent="0.4">
      <c r="N82" s="25">
        <v>45980</v>
      </c>
      <c r="O82" s="26">
        <v>0.18597222222222221</v>
      </c>
      <c r="P82" s="50" t="s">
        <v>1073</v>
      </c>
      <c r="Q82" s="50" t="s">
        <v>1218</v>
      </c>
      <c r="R82" s="50" t="s">
        <v>1054</v>
      </c>
      <c r="S82" s="50" t="s">
        <v>1219</v>
      </c>
      <c r="T82" s="50">
        <v>1207</v>
      </c>
      <c r="U82" s="50" t="s">
        <v>1024</v>
      </c>
      <c r="V82" s="50" t="s">
        <v>1216</v>
      </c>
      <c r="W82" s="50"/>
      <c r="X82" s="86"/>
      <c r="Y82" s="4"/>
    </row>
    <row r="83" spans="1:25" x14ac:dyDescent="0.4">
      <c r="N83" s="25">
        <v>45980</v>
      </c>
      <c r="O83" s="26">
        <v>0.28627314814814808</v>
      </c>
      <c r="P83" s="50" t="s">
        <v>1020</v>
      </c>
      <c r="Q83" s="50" t="s">
        <v>1047</v>
      </c>
      <c r="R83" s="50" t="s">
        <v>1063</v>
      </c>
      <c r="S83" s="50" t="s">
        <v>2050</v>
      </c>
      <c r="T83" s="50">
        <v>-27600</v>
      </c>
      <c r="U83" s="50" t="s">
        <v>1024</v>
      </c>
      <c r="V83" s="50" t="s">
        <v>1025</v>
      </c>
      <c r="W83" s="50" t="s">
        <v>2051</v>
      </c>
      <c r="X83" s="86"/>
      <c r="Y83" s="4"/>
    </row>
    <row r="84" spans="1:25" x14ac:dyDescent="0.4">
      <c r="N84" s="25">
        <v>45980</v>
      </c>
      <c r="O84" s="26">
        <v>0.37957175925925918</v>
      </c>
      <c r="P84" s="50" t="s">
        <v>1020</v>
      </c>
      <c r="Q84" s="50" t="s">
        <v>1026</v>
      </c>
      <c r="R84" s="50" t="s">
        <v>1093</v>
      </c>
      <c r="S84" s="50" t="s">
        <v>1095</v>
      </c>
      <c r="T84" s="50">
        <v>-42790</v>
      </c>
      <c r="U84" s="50" t="s">
        <v>1024</v>
      </c>
      <c r="V84" s="50" t="s">
        <v>1025</v>
      </c>
      <c r="W84" s="50"/>
      <c r="X84" s="86"/>
      <c r="Y84" s="4"/>
    </row>
    <row r="85" spans="1:25" x14ac:dyDescent="0.4">
      <c r="N85" s="25">
        <v>45980</v>
      </c>
      <c r="O85" s="26">
        <v>0.37957175925925918</v>
      </c>
      <c r="P85" s="50" t="s">
        <v>1020</v>
      </c>
      <c r="Q85" s="50" t="s">
        <v>1026</v>
      </c>
      <c r="R85" s="50" t="s">
        <v>1093</v>
      </c>
      <c r="S85" s="50" t="s">
        <v>1094</v>
      </c>
      <c r="T85" s="50">
        <v>-22000</v>
      </c>
      <c r="U85" s="50" t="s">
        <v>1024</v>
      </c>
      <c r="V85" s="50" t="s">
        <v>1025</v>
      </c>
      <c r="W85" s="50"/>
      <c r="X85" s="86"/>
      <c r="Y85" s="4"/>
    </row>
    <row r="86" spans="1:25" x14ac:dyDescent="0.4">
      <c r="N86" s="25">
        <v>45980</v>
      </c>
      <c r="O86" s="26">
        <v>0.50490740740740736</v>
      </c>
      <c r="P86" s="50" t="s">
        <v>1073</v>
      </c>
      <c r="Q86" s="50" t="s">
        <v>1074</v>
      </c>
      <c r="R86" s="50" t="s">
        <v>1054</v>
      </c>
      <c r="S86" s="50" t="s">
        <v>1075</v>
      </c>
      <c r="T86" s="50">
        <v>55199</v>
      </c>
      <c r="U86" s="50" t="s">
        <v>1024</v>
      </c>
      <c r="V86" s="50" t="s">
        <v>1036</v>
      </c>
      <c r="W86" s="50"/>
      <c r="X86" s="86"/>
      <c r="Y86" s="4"/>
    </row>
    <row r="87" spans="1:25" x14ac:dyDescent="0.4">
      <c r="N87" s="25">
        <v>45980</v>
      </c>
      <c r="O87" s="26">
        <v>0.66646990740740741</v>
      </c>
      <c r="P87" s="50" t="s">
        <v>1020</v>
      </c>
      <c r="Q87" s="50" t="s">
        <v>1644</v>
      </c>
      <c r="R87" s="50" t="s">
        <v>2052</v>
      </c>
      <c r="S87" s="50" t="s">
        <v>2053</v>
      </c>
      <c r="T87" s="50">
        <v>-454540</v>
      </c>
      <c r="U87" s="50" t="s">
        <v>1024</v>
      </c>
      <c r="V87" s="50" t="s">
        <v>1025</v>
      </c>
      <c r="W87" s="50" t="s">
        <v>2054</v>
      </c>
      <c r="X87" s="86"/>
      <c r="Y87" s="4"/>
    </row>
    <row r="88" spans="1:25" x14ac:dyDescent="0.4">
      <c r="N88" s="25">
        <v>45980</v>
      </c>
      <c r="O88" s="26">
        <v>0.67637731481481478</v>
      </c>
      <c r="P88" s="50" t="s">
        <v>1020</v>
      </c>
      <c r="Q88" s="50" t="s">
        <v>1644</v>
      </c>
      <c r="R88" s="50" t="s">
        <v>2052</v>
      </c>
      <c r="S88" s="50" t="s">
        <v>2055</v>
      </c>
      <c r="T88" s="50">
        <v>-1291550</v>
      </c>
      <c r="U88" s="50" t="s">
        <v>1024</v>
      </c>
      <c r="V88" s="50" t="s">
        <v>1025</v>
      </c>
      <c r="W88" s="50" t="s">
        <v>2056</v>
      </c>
      <c r="X88" s="86"/>
      <c r="Y88" s="4"/>
    </row>
    <row r="89" spans="1:25" x14ac:dyDescent="0.4">
      <c r="N89" s="25">
        <v>45980</v>
      </c>
      <c r="O89" s="26">
        <v>0.6790046296296296</v>
      </c>
      <c r="P89" s="50" t="s">
        <v>1053</v>
      </c>
      <c r="Q89" s="50" t="s">
        <v>1053</v>
      </c>
      <c r="R89" s="50" t="s">
        <v>1054</v>
      </c>
      <c r="S89" s="50" t="s">
        <v>1256</v>
      </c>
      <c r="T89" s="50">
        <v>-4000000</v>
      </c>
      <c r="U89" s="50" t="s">
        <v>1024</v>
      </c>
      <c r="V89" s="50" t="s">
        <v>1216</v>
      </c>
      <c r="W89" s="50"/>
      <c r="X89" s="86"/>
      <c r="Y89" s="4"/>
    </row>
    <row r="90" spans="1:25" x14ac:dyDescent="0.4">
      <c r="N90" s="25">
        <v>45980</v>
      </c>
      <c r="O90" s="26">
        <v>0.6790046296296296</v>
      </c>
      <c r="P90" s="50" t="s">
        <v>1053</v>
      </c>
      <c r="Q90" s="50" t="s">
        <v>1053</v>
      </c>
      <c r="R90" s="50" t="s">
        <v>1054</v>
      </c>
      <c r="S90" s="50" t="s">
        <v>1217</v>
      </c>
      <c r="T90" s="50">
        <v>4000000</v>
      </c>
      <c r="U90" s="50" t="s">
        <v>1024</v>
      </c>
      <c r="V90" s="50" t="s">
        <v>1214</v>
      </c>
      <c r="W90" s="50"/>
      <c r="X90" s="86"/>
      <c r="Y90" s="6"/>
    </row>
    <row r="91" spans="1:25" x14ac:dyDescent="0.4">
      <c r="N91" s="25">
        <v>45980</v>
      </c>
      <c r="O91" s="26">
        <v>0.67918981481481477</v>
      </c>
      <c r="P91" s="50" t="s">
        <v>1053</v>
      </c>
      <c r="Q91" s="50" t="s">
        <v>1053</v>
      </c>
      <c r="R91" s="50" t="s">
        <v>1054</v>
      </c>
      <c r="S91" s="50" t="s">
        <v>1103</v>
      </c>
      <c r="T91" s="50">
        <v>4000000</v>
      </c>
      <c r="U91" s="50" t="s">
        <v>1024</v>
      </c>
      <c r="V91" s="50" t="s">
        <v>1036</v>
      </c>
      <c r="W91" s="50"/>
      <c r="X91" s="86"/>
      <c r="Y91" s="6"/>
    </row>
    <row r="92" spans="1:25" x14ac:dyDescent="0.4">
      <c r="N92" s="25">
        <v>45980</v>
      </c>
      <c r="O92" s="26">
        <v>0.67918981481481477</v>
      </c>
      <c r="P92" s="50" t="s">
        <v>1053</v>
      </c>
      <c r="Q92" s="50" t="s">
        <v>1053</v>
      </c>
      <c r="R92" s="50" t="s">
        <v>1054</v>
      </c>
      <c r="S92" s="50" t="s">
        <v>1103</v>
      </c>
      <c r="T92" s="50">
        <v>-4000000</v>
      </c>
      <c r="U92" s="50" t="s">
        <v>1024</v>
      </c>
      <c r="V92" s="50" t="s">
        <v>1214</v>
      </c>
      <c r="W92" s="50"/>
      <c r="X92" s="86"/>
      <c r="Y92" s="6"/>
    </row>
    <row r="93" spans="1:25" x14ac:dyDescent="0.4">
      <c r="N93" s="25">
        <v>45980</v>
      </c>
      <c r="O93" s="26">
        <v>0.67931712962962965</v>
      </c>
      <c r="P93" s="50" t="s">
        <v>1020</v>
      </c>
      <c r="Q93" s="50" t="s">
        <v>1644</v>
      </c>
      <c r="R93" s="50" t="s">
        <v>2052</v>
      </c>
      <c r="S93" s="50" t="s">
        <v>2057</v>
      </c>
      <c r="T93" s="50">
        <v>-1232250</v>
      </c>
      <c r="U93" s="50" t="s">
        <v>1024</v>
      </c>
      <c r="V93" s="50" t="s">
        <v>1036</v>
      </c>
      <c r="W93" s="50" t="s">
        <v>2058</v>
      </c>
      <c r="X93" s="86"/>
      <c r="Y93" s="6"/>
    </row>
    <row r="94" spans="1:25" x14ac:dyDescent="0.4">
      <c r="N94" s="25">
        <v>45980</v>
      </c>
      <c r="O94" s="26">
        <v>0.68062500000000004</v>
      </c>
      <c r="P94" s="50" t="s">
        <v>1020</v>
      </c>
      <c r="Q94" s="50" t="s">
        <v>1644</v>
      </c>
      <c r="R94" s="50" t="s">
        <v>2052</v>
      </c>
      <c r="S94" s="50" t="s">
        <v>2057</v>
      </c>
      <c r="T94" s="50">
        <v>-1655060</v>
      </c>
      <c r="U94" s="50" t="s">
        <v>1024</v>
      </c>
      <c r="V94" s="50" t="s">
        <v>1036</v>
      </c>
      <c r="W94" s="50" t="s">
        <v>2059</v>
      </c>
      <c r="X94" s="86"/>
      <c r="Y94" s="6"/>
    </row>
    <row r="95" spans="1:25" x14ac:dyDescent="0.4">
      <c r="N95" s="25">
        <v>45981</v>
      </c>
      <c r="O95" s="26">
        <v>0.18839120370370371</v>
      </c>
      <c r="P95" s="50" t="s">
        <v>1073</v>
      </c>
      <c r="Q95" s="50" t="s">
        <v>1218</v>
      </c>
      <c r="R95" s="50" t="s">
        <v>1054</v>
      </c>
      <c r="S95" s="50" t="s">
        <v>1219</v>
      </c>
      <c r="T95" s="50">
        <v>1052</v>
      </c>
      <c r="U95" s="50" t="s">
        <v>1024</v>
      </c>
      <c r="V95" s="50" t="s">
        <v>1216</v>
      </c>
      <c r="W95" s="50"/>
      <c r="X95" s="86"/>
      <c r="Y95" s="6"/>
    </row>
    <row r="96" spans="1:25" x14ac:dyDescent="0.4">
      <c r="N96" s="25">
        <v>45981</v>
      </c>
      <c r="O96" s="26">
        <v>0.85182870370370367</v>
      </c>
      <c r="P96" s="50" t="s">
        <v>1020</v>
      </c>
      <c r="Q96" s="50" t="s">
        <v>1026</v>
      </c>
      <c r="R96" s="50" t="s">
        <v>1151</v>
      </c>
      <c r="S96" s="50" t="s">
        <v>1639</v>
      </c>
      <c r="T96" s="50">
        <v>-10000</v>
      </c>
      <c r="U96" s="50" t="s">
        <v>1024</v>
      </c>
      <c r="V96" s="50" t="s">
        <v>1025</v>
      </c>
      <c r="W96" s="50"/>
      <c r="X96" s="86"/>
      <c r="Y96" s="6"/>
    </row>
    <row r="97" spans="14:25" x14ac:dyDescent="0.4">
      <c r="N97" s="25">
        <v>45982</v>
      </c>
      <c r="O97" s="26">
        <v>0.1877662037037037</v>
      </c>
      <c r="P97" s="50" t="s">
        <v>1073</v>
      </c>
      <c r="Q97" s="50" t="s">
        <v>1218</v>
      </c>
      <c r="R97" s="50" t="s">
        <v>1054</v>
      </c>
      <c r="S97" s="50" t="s">
        <v>1219</v>
      </c>
      <c r="T97" s="50">
        <v>1052</v>
      </c>
      <c r="U97" s="50" t="s">
        <v>1024</v>
      </c>
      <c r="V97" s="50" t="s">
        <v>1216</v>
      </c>
      <c r="W97" s="50"/>
      <c r="X97" s="86"/>
      <c r="Y97" s="6"/>
    </row>
    <row r="98" spans="14:25" x14ac:dyDescent="0.4">
      <c r="N98" s="25">
        <v>45982</v>
      </c>
      <c r="O98" s="26">
        <v>0.29670138888888892</v>
      </c>
      <c r="P98" s="50" t="s">
        <v>1020</v>
      </c>
      <c r="Q98" s="50" t="s">
        <v>1029</v>
      </c>
      <c r="R98" s="50" t="s">
        <v>1045</v>
      </c>
      <c r="S98" s="50" t="s">
        <v>2060</v>
      </c>
      <c r="T98" s="50">
        <v>-17910</v>
      </c>
      <c r="U98" s="50" t="s">
        <v>1024</v>
      </c>
      <c r="V98" s="50" t="s">
        <v>1036</v>
      </c>
      <c r="W98" s="50" t="s">
        <v>2061</v>
      </c>
      <c r="X98" s="86"/>
      <c r="Y98" s="6" t="s">
        <v>1160</v>
      </c>
    </row>
    <row r="99" spans="14:25" x14ac:dyDescent="0.4">
      <c r="N99" s="25">
        <v>45982</v>
      </c>
      <c r="O99" s="26">
        <v>0.66648148148148145</v>
      </c>
      <c r="P99" s="50" t="s">
        <v>1020</v>
      </c>
      <c r="Q99" s="50" t="s">
        <v>1029</v>
      </c>
      <c r="R99" s="50" t="s">
        <v>1070</v>
      </c>
      <c r="S99" s="50" t="s">
        <v>2062</v>
      </c>
      <c r="T99" s="50">
        <v>-7700</v>
      </c>
      <c r="U99" s="50" t="s">
        <v>1024</v>
      </c>
      <c r="V99" s="50" t="s">
        <v>1025</v>
      </c>
      <c r="W99" s="50" t="s">
        <v>2063</v>
      </c>
      <c r="X99" s="86"/>
      <c r="Y99" s="6" t="s">
        <v>1160</v>
      </c>
    </row>
    <row r="100" spans="14:25" x14ac:dyDescent="0.4">
      <c r="N100" s="25">
        <v>45982</v>
      </c>
      <c r="O100" s="26">
        <v>0.67726851851851855</v>
      </c>
      <c r="P100" s="50" t="s">
        <v>1020</v>
      </c>
      <c r="Q100" s="50" t="s">
        <v>1029</v>
      </c>
      <c r="R100" s="50" t="s">
        <v>1070</v>
      </c>
      <c r="S100" s="50" t="s">
        <v>1853</v>
      </c>
      <c r="T100" s="50">
        <v>-10000</v>
      </c>
      <c r="U100" s="50" t="s">
        <v>1024</v>
      </c>
      <c r="V100" s="50" t="s">
        <v>1099</v>
      </c>
      <c r="W100" s="50" t="s">
        <v>2064</v>
      </c>
      <c r="X100" s="86"/>
      <c r="Y100" s="6" t="s">
        <v>1160</v>
      </c>
    </row>
    <row r="101" spans="14:25" x14ac:dyDescent="0.4">
      <c r="N101" s="25">
        <v>45982</v>
      </c>
      <c r="O101" s="26">
        <v>0.70195601851851852</v>
      </c>
      <c r="P101" s="50" t="s">
        <v>1020</v>
      </c>
      <c r="Q101" s="50" t="s">
        <v>1047</v>
      </c>
      <c r="R101" s="50" t="s">
        <v>1406</v>
      </c>
      <c r="S101" s="50" t="s">
        <v>2065</v>
      </c>
      <c r="T101" s="50">
        <v>-3800</v>
      </c>
      <c r="U101" s="50" t="s">
        <v>1024</v>
      </c>
      <c r="V101" s="50" t="s">
        <v>1025</v>
      </c>
      <c r="W101" s="50" t="s">
        <v>2066</v>
      </c>
      <c r="X101" s="86"/>
      <c r="Y101" s="6" t="s">
        <v>1160</v>
      </c>
    </row>
    <row r="102" spans="14:25" x14ac:dyDescent="0.4">
      <c r="N102" s="25">
        <v>45982</v>
      </c>
      <c r="O102" s="26">
        <v>0.72400462962962964</v>
      </c>
      <c r="P102" s="50" t="s">
        <v>1020</v>
      </c>
      <c r="Q102" s="50" t="s">
        <v>1047</v>
      </c>
      <c r="R102" s="50" t="s">
        <v>1406</v>
      </c>
      <c r="S102" s="50" t="s">
        <v>1711</v>
      </c>
      <c r="T102" s="50">
        <v>-46591</v>
      </c>
      <c r="U102" s="50" t="s">
        <v>1024</v>
      </c>
      <c r="V102" s="50" t="s">
        <v>1025</v>
      </c>
      <c r="W102" s="50" t="s">
        <v>2067</v>
      </c>
      <c r="X102" s="86"/>
      <c r="Y102" s="6" t="s">
        <v>1160</v>
      </c>
    </row>
    <row r="103" spans="14:25" x14ac:dyDescent="0.4">
      <c r="N103" s="25">
        <v>45982</v>
      </c>
      <c r="O103" s="26">
        <v>0.76958333333333329</v>
      </c>
      <c r="P103" s="50" t="s">
        <v>1020</v>
      </c>
      <c r="Q103" s="50" t="s">
        <v>1029</v>
      </c>
      <c r="R103" s="50" t="s">
        <v>1070</v>
      </c>
      <c r="S103" s="50" t="s">
        <v>2068</v>
      </c>
      <c r="T103" s="50">
        <v>-28000</v>
      </c>
      <c r="U103" s="50" t="s">
        <v>1024</v>
      </c>
      <c r="V103" s="50" t="s">
        <v>1025</v>
      </c>
      <c r="W103" s="50" t="s">
        <v>2069</v>
      </c>
      <c r="X103" s="86"/>
      <c r="Y103" s="6"/>
    </row>
    <row r="104" spans="14:25" x14ac:dyDescent="0.4">
      <c r="N104" s="25">
        <v>45982</v>
      </c>
      <c r="O104" s="26">
        <v>0.80688657407407405</v>
      </c>
      <c r="P104" s="50" t="s">
        <v>1020</v>
      </c>
      <c r="Q104" s="50" t="s">
        <v>1021</v>
      </c>
      <c r="R104" s="50" t="s">
        <v>1047</v>
      </c>
      <c r="S104" s="50" t="s">
        <v>2070</v>
      </c>
      <c r="T104" s="50">
        <v>-9000</v>
      </c>
      <c r="U104" s="50" t="s">
        <v>1024</v>
      </c>
      <c r="V104" s="50" t="s">
        <v>1025</v>
      </c>
      <c r="W104" s="50" t="s">
        <v>2071</v>
      </c>
      <c r="X104" s="86"/>
      <c r="Y104" s="6"/>
    </row>
    <row r="105" spans="14:25" x14ac:dyDescent="0.4">
      <c r="N105" s="25">
        <v>45982</v>
      </c>
      <c r="O105" s="26">
        <v>0.81849537037037035</v>
      </c>
      <c r="P105" s="50" t="s">
        <v>1020</v>
      </c>
      <c r="Q105" s="50" t="s">
        <v>1021</v>
      </c>
      <c r="R105" s="50" t="s">
        <v>1047</v>
      </c>
      <c r="S105" s="50" t="s">
        <v>2070</v>
      </c>
      <c r="T105" s="50">
        <v>-300000</v>
      </c>
      <c r="U105" s="50" t="s">
        <v>1024</v>
      </c>
      <c r="V105" s="50" t="s">
        <v>1025</v>
      </c>
      <c r="W105" s="50" t="s">
        <v>2072</v>
      </c>
      <c r="X105" s="86"/>
      <c r="Y105" s="6"/>
    </row>
    <row r="106" spans="14:25" x14ac:dyDescent="0.4">
      <c r="N106" s="25">
        <v>45982</v>
      </c>
      <c r="O106" s="26">
        <v>0.8329050925925926</v>
      </c>
      <c r="P106" s="50" t="s">
        <v>1020</v>
      </c>
      <c r="Q106" s="50" t="s">
        <v>1026</v>
      </c>
      <c r="R106" s="50" t="s">
        <v>1151</v>
      </c>
      <c r="S106" s="50" t="s">
        <v>1639</v>
      </c>
      <c r="T106" s="50">
        <v>-10000</v>
      </c>
      <c r="U106" s="50" t="s">
        <v>1024</v>
      </c>
      <c r="V106" s="50" t="s">
        <v>1025</v>
      </c>
      <c r="W106" s="50"/>
      <c r="X106" s="86"/>
      <c r="Y106" s="6"/>
    </row>
    <row r="107" spans="14:25" x14ac:dyDescent="0.4">
      <c r="N107" s="25">
        <v>45982</v>
      </c>
      <c r="O107" s="26">
        <v>0.84106481481481477</v>
      </c>
      <c r="P107" s="50" t="s">
        <v>1053</v>
      </c>
      <c r="Q107" s="50" t="s">
        <v>1066</v>
      </c>
      <c r="R107" s="50" t="s">
        <v>1054</v>
      </c>
      <c r="S107" s="50" t="s">
        <v>1067</v>
      </c>
      <c r="T107" s="50">
        <v>-1100</v>
      </c>
      <c r="U107" s="50" t="s">
        <v>1024</v>
      </c>
      <c r="V107" s="50" t="s">
        <v>1036</v>
      </c>
      <c r="W107" s="50"/>
      <c r="X107" s="6"/>
      <c r="Y107" s="6"/>
    </row>
    <row r="108" spans="14:25" x14ac:dyDescent="0.4">
      <c r="N108" s="25">
        <v>45983</v>
      </c>
      <c r="O108" s="26">
        <v>0.18543981481481481</v>
      </c>
      <c r="P108" s="50" t="s">
        <v>1073</v>
      </c>
      <c r="Q108" s="50" t="s">
        <v>1218</v>
      </c>
      <c r="R108" s="50" t="s">
        <v>1054</v>
      </c>
      <c r="S108" s="50" t="s">
        <v>1219</v>
      </c>
      <c r="T108" s="50">
        <v>1052</v>
      </c>
      <c r="U108" s="50" t="s">
        <v>1024</v>
      </c>
      <c r="V108" s="50" t="s">
        <v>1216</v>
      </c>
      <c r="W108" s="50"/>
      <c r="X108" s="6"/>
      <c r="Y108" s="6"/>
    </row>
    <row r="109" spans="14:25" x14ac:dyDescent="0.4">
      <c r="N109" s="25">
        <v>45983</v>
      </c>
      <c r="O109" s="26">
        <v>0.30262731481481481</v>
      </c>
      <c r="P109" s="50" t="s">
        <v>1020</v>
      </c>
      <c r="Q109" s="50" t="s">
        <v>1047</v>
      </c>
      <c r="R109" s="50" t="s">
        <v>1406</v>
      </c>
      <c r="S109" s="50" t="s">
        <v>2073</v>
      </c>
      <c r="T109" s="50">
        <v>-55500</v>
      </c>
      <c r="U109" s="50" t="s">
        <v>1024</v>
      </c>
      <c r="V109" s="50" t="s">
        <v>1297</v>
      </c>
      <c r="W109" s="50" t="s">
        <v>2074</v>
      </c>
      <c r="X109" s="6"/>
      <c r="Y109" s="6" t="s">
        <v>1160</v>
      </c>
    </row>
    <row r="110" spans="14:25" x14ac:dyDescent="0.4">
      <c r="N110" s="25">
        <v>45983</v>
      </c>
      <c r="O110" s="26">
        <v>0.78840277777777779</v>
      </c>
      <c r="P110" s="50" t="s">
        <v>1020</v>
      </c>
      <c r="Q110" s="50" t="s">
        <v>1047</v>
      </c>
      <c r="R110" s="50" t="s">
        <v>1063</v>
      </c>
      <c r="S110" s="50" t="s">
        <v>1225</v>
      </c>
      <c r="T110" s="50">
        <v>-28000</v>
      </c>
      <c r="U110" s="50" t="s">
        <v>1024</v>
      </c>
      <c r="V110" s="50" t="s">
        <v>1025</v>
      </c>
      <c r="W110" s="50"/>
      <c r="X110" s="6"/>
      <c r="Y110" s="6"/>
    </row>
    <row r="111" spans="14:25" x14ac:dyDescent="0.4">
      <c r="N111" s="25">
        <v>45983</v>
      </c>
      <c r="O111" s="26">
        <v>0.78915509259259264</v>
      </c>
      <c r="P111" s="50" t="s">
        <v>1020</v>
      </c>
      <c r="Q111" s="50" t="s">
        <v>1042</v>
      </c>
      <c r="R111" s="50" t="s">
        <v>1043</v>
      </c>
      <c r="S111" s="50" t="s">
        <v>1044</v>
      </c>
      <c r="T111" s="50">
        <v>-6000</v>
      </c>
      <c r="U111" s="50" t="s">
        <v>1024</v>
      </c>
      <c r="V111" s="50" t="s">
        <v>1025</v>
      </c>
      <c r="W111" s="50" t="s">
        <v>2075</v>
      </c>
      <c r="X111" s="6"/>
      <c r="Y111" s="6"/>
    </row>
    <row r="112" spans="14:25" x14ac:dyDescent="0.4">
      <c r="N112" s="25">
        <v>45983</v>
      </c>
      <c r="O112" s="26">
        <v>0.79335648148148152</v>
      </c>
      <c r="P112" s="50" t="s">
        <v>1020</v>
      </c>
      <c r="Q112" s="50" t="s">
        <v>1029</v>
      </c>
      <c r="R112" s="50" t="s">
        <v>1030</v>
      </c>
      <c r="S112" s="50" t="s">
        <v>1069</v>
      </c>
      <c r="T112" s="50">
        <v>-3400</v>
      </c>
      <c r="U112" s="50" t="s">
        <v>1024</v>
      </c>
      <c r="V112" s="50" t="s">
        <v>1025</v>
      </c>
      <c r="W112" s="50" t="s">
        <v>2076</v>
      </c>
      <c r="X112" s="6"/>
      <c r="Y112" s="6" t="s">
        <v>1160</v>
      </c>
    </row>
    <row r="113" spans="14:25" x14ac:dyDescent="0.4">
      <c r="N113" s="25">
        <v>45983</v>
      </c>
      <c r="O113" s="26">
        <v>0.94162037037037039</v>
      </c>
      <c r="P113" s="50" t="s">
        <v>1020</v>
      </c>
      <c r="Q113" s="50" t="s">
        <v>1047</v>
      </c>
      <c r="R113" s="50" t="s">
        <v>1406</v>
      </c>
      <c r="S113" s="50" t="s">
        <v>2077</v>
      </c>
      <c r="T113" s="50">
        <v>-35320</v>
      </c>
      <c r="U113" s="50" t="s">
        <v>1024</v>
      </c>
      <c r="V113" s="50" t="s">
        <v>1228</v>
      </c>
      <c r="W113" s="50" t="s">
        <v>2078</v>
      </c>
      <c r="X113" s="6"/>
      <c r="Y113" s="6" t="s">
        <v>1160</v>
      </c>
    </row>
    <row r="114" spans="14:25" x14ac:dyDescent="0.4">
      <c r="N114" s="25">
        <v>45983</v>
      </c>
      <c r="O114" s="26">
        <v>0.94164351851851846</v>
      </c>
      <c r="P114" s="50" t="s">
        <v>1053</v>
      </c>
      <c r="Q114" s="50" t="s">
        <v>1053</v>
      </c>
      <c r="R114" s="50" t="s">
        <v>1054</v>
      </c>
      <c r="S114" s="50" t="s">
        <v>1232</v>
      </c>
      <c r="T114" s="50">
        <v>-40000</v>
      </c>
      <c r="U114" s="50" t="s">
        <v>1024</v>
      </c>
      <c r="V114" s="50" t="s">
        <v>1036</v>
      </c>
      <c r="W114" s="50"/>
      <c r="X114" s="6"/>
      <c r="Y114" s="6"/>
    </row>
    <row r="115" spans="14:25" x14ac:dyDescent="0.4">
      <c r="N115" s="25">
        <v>45983</v>
      </c>
      <c r="O115" s="26">
        <v>0.94165509259259261</v>
      </c>
      <c r="P115" s="50" t="s">
        <v>1053</v>
      </c>
      <c r="Q115" s="50" t="s">
        <v>1053</v>
      </c>
      <c r="R115" s="50" t="s">
        <v>1054</v>
      </c>
      <c r="S115" s="50" t="s">
        <v>1230</v>
      </c>
      <c r="T115" s="50">
        <v>40000</v>
      </c>
      <c r="U115" s="50" t="s">
        <v>1024</v>
      </c>
      <c r="V115" s="50" t="s">
        <v>1231</v>
      </c>
      <c r="W115" s="50"/>
      <c r="X115" s="6"/>
      <c r="Y115" s="6"/>
    </row>
    <row r="116" spans="14:25" x14ac:dyDescent="0.4">
      <c r="N116" s="25">
        <v>45984</v>
      </c>
      <c r="O116" s="26">
        <v>0.1866666666666667</v>
      </c>
      <c r="P116" s="50" t="s">
        <v>1073</v>
      </c>
      <c r="Q116" s="50" t="s">
        <v>1218</v>
      </c>
      <c r="R116" s="50" t="s">
        <v>1054</v>
      </c>
      <c r="S116" s="50" t="s">
        <v>1219</v>
      </c>
      <c r="T116" s="50">
        <v>1052</v>
      </c>
      <c r="U116" s="50" t="s">
        <v>1024</v>
      </c>
      <c r="V116" s="50" t="s">
        <v>1216</v>
      </c>
      <c r="W116" s="50"/>
      <c r="X116" s="6"/>
      <c r="Y116" s="6"/>
    </row>
    <row r="117" spans="14:25" x14ac:dyDescent="0.4">
      <c r="N117" s="25">
        <v>45984</v>
      </c>
      <c r="O117" s="26">
        <v>0.45928240740740739</v>
      </c>
      <c r="P117" s="50" t="s">
        <v>1020</v>
      </c>
      <c r="Q117" s="50" t="s">
        <v>1029</v>
      </c>
      <c r="R117" s="50" t="s">
        <v>1070</v>
      </c>
      <c r="S117" s="50" t="s">
        <v>1120</v>
      </c>
      <c r="T117" s="50">
        <v>-17000</v>
      </c>
      <c r="U117" s="50" t="s">
        <v>1024</v>
      </c>
      <c r="V117" s="50" t="s">
        <v>1025</v>
      </c>
      <c r="W117" s="50" t="s">
        <v>2079</v>
      </c>
      <c r="X117" s="6"/>
      <c r="Y117" s="6"/>
    </row>
    <row r="118" spans="14:25" x14ac:dyDescent="0.4">
      <c r="N118" s="25">
        <v>45985</v>
      </c>
      <c r="O118" s="26">
        <v>0.18665509259259261</v>
      </c>
      <c r="P118" s="50" t="s">
        <v>1073</v>
      </c>
      <c r="Q118" s="50" t="s">
        <v>1218</v>
      </c>
      <c r="R118" s="50" t="s">
        <v>1054</v>
      </c>
      <c r="S118" s="50" t="s">
        <v>1219</v>
      </c>
      <c r="T118" s="50">
        <v>1052</v>
      </c>
      <c r="U118" s="50" t="s">
        <v>1024</v>
      </c>
      <c r="V118" s="50" t="s">
        <v>1216</v>
      </c>
      <c r="W118" s="50"/>
      <c r="X118" s="6"/>
      <c r="Y118" s="6"/>
    </row>
    <row r="119" spans="14:25" x14ac:dyDescent="0.4">
      <c r="N119" s="25">
        <v>45985</v>
      </c>
      <c r="O119" s="26">
        <v>0.81347222222222226</v>
      </c>
      <c r="P119" s="50" t="s">
        <v>1020</v>
      </c>
      <c r="Q119" s="50" t="s">
        <v>1026</v>
      </c>
      <c r="R119" s="50" t="s">
        <v>1115</v>
      </c>
      <c r="S119" s="50" t="s">
        <v>2080</v>
      </c>
      <c r="T119" s="50">
        <v>-14232</v>
      </c>
      <c r="U119" s="50" t="s">
        <v>1024</v>
      </c>
      <c r="V119" s="50" t="s">
        <v>1036</v>
      </c>
      <c r="W119" s="50"/>
      <c r="X119" s="6"/>
      <c r="Y119" s="6"/>
    </row>
    <row r="120" spans="14:25" x14ac:dyDescent="0.4">
      <c r="N120" s="25">
        <v>45985</v>
      </c>
      <c r="O120" s="26">
        <v>0.86015046296296294</v>
      </c>
      <c r="P120" s="50" t="s">
        <v>1020</v>
      </c>
      <c r="Q120" s="50" t="s">
        <v>1026</v>
      </c>
      <c r="R120" s="50" t="s">
        <v>1151</v>
      </c>
      <c r="S120" s="50" t="s">
        <v>1639</v>
      </c>
      <c r="T120" s="50">
        <v>-10000</v>
      </c>
      <c r="U120" s="50" t="s">
        <v>1024</v>
      </c>
      <c r="V120" s="50" t="s">
        <v>1025</v>
      </c>
      <c r="W120" s="50"/>
      <c r="X120" s="6"/>
      <c r="Y120" s="6"/>
    </row>
    <row r="121" spans="14:25" x14ac:dyDescent="0.4">
      <c r="N121" s="25">
        <v>45986</v>
      </c>
      <c r="O121" s="26">
        <v>0.18636574074074069</v>
      </c>
      <c r="P121" s="50" t="s">
        <v>1073</v>
      </c>
      <c r="Q121" s="50" t="s">
        <v>1218</v>
      </c>
      <c r="R121" s="50" t="s">
        <v>1054</v>
      </c>
      <c r="S121" s="50" t="s">
        <v>1219</v>
      </c>
      <c r="T121" s="50">
        <v>1052</v>
      </c>
      <c r="U121" s="50" t="s">
        <v>1024</v>
      </c>
      <c r="V121" s="50" t="s">
        <v>1216</v>
      </c>
      <c r="W121" s="50"/>
      <c r="X121" s="6"/>
      <c r="Y121" s="6"/>
    </row>
    <row r="122" spans="14:25" x14ac:dyDescent="0.4">
      <c r="N122" s="25">
        <v>45986</v>
      </c>
      <c r="O122" s="26">
        <v>0.25358796296296299</v>
      </c>
      <c r="P122" s="50" t="s">
        <v>1073</v>
      </c>
      <c r="Q122" s="50" t="s">
        <v>1117</v>
      </c>
      <c r="R122" s="50" t="s">
        <v>1054</v>
      </c>
      <c r="S122" s="50" t="s">
        <v>1118</v>
      </c>
      <c r="T122" s="50">
        <v>5582614</v>
      </c>
      <c r="U122" s="50" t="s">
        <v>1024</v>
      </c>
      <c r="V122" s="50" t="s">
        <v>1036</v>
      </c>
      <c r="W122" s="50"/>
      <c r="X122" s="6"/>
      <c r="Y122" s="6"/>
    </row>
    <row r="123" spans="14:25" x14ac:dyDescent="0.4">
      <c r="N123" s="25">
        <v>45986</v>
      </c>
      <c r="O123" s="26">
        <v>0.35605324074074068</v>
      </c>
      <c r="P123" s="50" t="s">
        <v>1020</v>
      </c>
      <c r="Q123" s="50" t="s">
        <v>1026</v>
      </c>
      <c r="R123" s="50" t="s">
        <v>1027</v>
      </c>
      <c r="S123" s="50" t="s">
        <v>1143</v>
      </c>
      <c r="T123" s="50">
        <v>-13900</v>
      </c>
      <c r="U123" s="50" t="s">
        <v>1024</v>
      </c>
      <c r="V123" s="50" t="s">
        <v>1025</v>
      </c>
      <c r="W123" s="50"/>
      <c r="X123" s="6"/>
      <c r="Y123" s="6"/>
    </row>
    <row r="124" spans="14:25" x14ac:dyDescent="0.4">
      <c r="N124" s="25">
        <v>45986</v>
      </c>
      <c r="O124" s="26">
        <v>0.3848611111111111</v>
      </c>
      <c r="P124" s="50" t="s">
        <v>1020</v>
      </c>
      <c r="Q124" s="50" t="s">
        <v>1021</v>
      </c>
      <c r="R124" s="50" t="s">
        <v>1295</v>
      </c>
      <c r="S124" s="50" t="s">
        <v>1726</v>
      </c>
      <c r="T124" s="50">
        <v>-6000</v>
      </c>
      <c r="U124" s="50" t="s">
        <v>1024</v>
      </c>
      <c r="V124" s="50" t="s">
        <v>1025</v>
      </c>
      <c r="W124" s="50"/>
      <c r="X124" s="6"/>
      <c r="Y124" s="6"/>
    </row>
    <row r="125" spans="14:25" x14ac:dyDescent="0.4">
      <c r="N125" s="25">
        <v>45986</v>
      </c>
      <c r="O125" s="26">
        <v>0.40762731481481479</v>
      </c>
      <c r="P125" s="50" t="s">
        <v>1020</v>
      </c>
      <c r="Q125" s="50" t="s">
        <v>1026</v>
      </c>
      <c r="R125" s="50" t="s">
        <v>1139</v>
      </c>
      <c r="S125" s="50" t="s">
        <v>1140</v>
      </c>
      <c r="T125" s="50">
        <v>-100000</v>
      </c>
      <c r="U125" s="50" t="s">
        <v>1024</v>
      </c>
      <c r="V125" s="50" t="s">
        <v>1036</v>
      </c>
      <c r="W125" s="50"/>
      <c r="X125" s="6"/>
      <c r="Y125" s="6"/>
    </row>
    <row r="126" spans="14:25" x14ac:dyDescent="0.4">
      <c r="N126" s="25">
        <v>45986</v>
      </c>
      <c r="O126" s="26">
        <v>0.40762731481481479</v>
      </c>
      <c r="P126" s="50" t="s">
        <v>1020</v>
      </c>
      <c r="Q126" s="50" t="s">
        <v>1026</v>
      </c>
      <c r="R126" s="50" t="s">
        <v>1141</v>
      </c>
      <c r="S126" s="50" t="s">
        <v>1142</v>
      </c>
      <c r="T126" s="50">
        <v>-130000</v>
      </c>
      <c r="U126" s="50" t="s">
        <v>1024</v>
      </c>
      <c r="V126" s="50" t="s">
        <v>1036</v>
      </c>
      <c r="W126" s="50"/>
      <c r="X126" s="6"/>
      <c r="Y126" s="6"/>
    </row>
    <row r="127" spans="14:25" x14ac:dyDescent="0.4">
      <c r="N127" s="25">
        <v>45986</v>
      </c>
      <c r="O127" s="26">
        <v>0.42003472222222221</v>
      </c>
      <c r="P127" s="50" t="s">
        <v>1020</v>
      </c>
      <c r="Q127" s="50" t="s">
        <v>1026</v>
      </c>
      <c r="R127" s="50" t="s">
        <v>1137</v>
      </c>
      <c r="S127" s="50" t="s">
        <v>1138</v>
      </c>
      <c r="T127" s="50">
        <v>-100000</v>
      </c>
      <c r="U127" s="50" t="s">
        <v>1024</v>
      </c>
      <c r="V127" s="50" t="s">
        <v>1036</v>
      </c>
      <c r="W127" s="50"/>
      <c r="X127" s="6"/>
      <c r="Y127" s="6"/>
    </row>
    <row r="128" spans="14:25" x14ac:dyDescent="0.4">
      <c r="N128" s="25">
        <v>45986</v>
      </c>
      <c r="O128" s="26">
        <v>0.56153935185185189</v>
      </c>
      <c r="P128" s="50" t="s">
        <v>1020</v>
      </c>
      <c r="Q128" s="50" t="s">
        <v>1026</v>
      </c>
      <c r="R128" s="50" t="s">
        <v>1105</v>
      </c>
      <c r="S128" s="50" t="s">
        <v>1105</v>
      </c>
      <c r="T128" s="50">
        <v>-246720</v>
      </c>
      <c r="U128" s="50" t="s">
        <v>1024</v>
      </c>
      <c r="V128" s="50" t="s">
        <v>1025</v>
      </c>
      <c r="W128" s="50"/>
      <c r="X128" s="6"/>
      <c r="Y128" s="6"/>
    </row>
    <row r="129" spans="14:25" x14ac:dyDescent="0.4">
      <c r="N129" s="25">
        <v>45986</v>
      </c>
      <c r="O129" s="26">
        <v>0.57362268518518522</v>
      </c>
      <c r="P129" s="50" t="s">
        <v>1020</v>
      </c>
      <c r="Q129" s="50" t="s">
        <v>1026</v>
      </c>
      <c r="R129" s="50" t="s">
        <v>1115</v>
      </c>
      <c r="S129" s="50" t="s">
        <v>1136</v>
      </c>
      <c r="T129" s="50">
        <v>-62690</v>
      </c>
      <c r="U129" s="50" t="s">
        <v>1024</v>
      </c>
      <c r="V129" s="50" t="s">
        <v>1025</v>
      </c>
      <c r="W129" s="50"/>
      <c r="X129" s="6"/>
      <c r="Y129" s="6"/>
    </row>
    <row r="130" spans="14:25" x14ac:dyDescent="0.4">
      <c r="N130" s="25">
        <v>45986</v>
      </c>
      <c r="O130" s="26">
        <v>0.81196759259259255</v>
      </c>
      <c r="P130" s="50" t="s">
        <v>1020</v>
      </c>
      <c r="Q130" s="50" t="s">
        <v>1026</v>
      </c>
      <c r="R130" s="50" t="s">
        <v>1115</v>
      </c>
      <c r="S130" s="50" t="s">
        <v>2081</v>
      </c>
      <c r="T130" s="50">
        <v>-224943</v>
      </c>
      <c r="U130" s="50" t="s">
        <v>1024</v>
      </c>
      <c r="V130" s="50" t="s">
        <v>1036</v>
      </c>
      <c r="W130" s="50"/>
      <c r="X130" s="6"/>
      <c r="Y130" s="6"/>
    </row>
    <row r="131" spans="14:25" x14ac:dyDescent="0.4">
      <c r="N131" s="25">
        <v>45986</v>
      </c>
      <c r="O131" s="26">
        <v>0.81380787037037039</v>
      </c>
      <c r="P131" s="50" t="s">
        <v>1020</v>
      </c>
      <c r="Q131" s="50" t="s">
        <v>1029</v>
      </c>
      <c r="R131" s="50" t="s">
        <v>1045</v>
      </c>
      <c r="S131" s="50" t="s">
        <v>1031</v>
      </c>
      <c r="T131" s="50">
        <v>-14790</v>
      </c>
      <c r="U131" s="50" t="s">
        <v>1024</v>
      </c>
      <c r="V131" s="50" t="s">
        <v>1025</v>
      </c>
      <c r="W131" s="50" t="s">
        <v>2082</v>
      </c>
      <c r="X131" s="6"/>
      <c r="Y131" s="6"/>
    </row>
    <row r="132" spans="14:25" x14ac:dyDescent="0.4">
      <c r="N132" s="25">
        <v>45986</v>
      </c>
      <c r="O132" s="26">
        <v>0.82546296296296295</v>
      </c>
      <c r="P132" s="50" t="s">
        <v>1020</v>
      </c>
      <c r="Q132" s="50" t="s">
        <v>1148</v>
      </c>
      <c r="R132" s="50" t="s">
        <v>1149</v>
      </c>
      <c r="S132" s="50" t="s">
        <v>1150</v>
      </c>
      <c r="T132" s="50">
        <v>-884027</v>
      </c>
      <c r="U132" s="50" t="s">
        <v>1024</v>
      </c>
      <c r="V132" s="50" t="s">
        <v>1036</v>
      </c>
      <c r="W132" s="50"/>
      <c r="X132" s="6"/>
      <c r="Y132" s="6"/>
    </row>
    <row r="133" spans="14:25" x14ac:dyDescent="0.4">
      <c r="N133" s="25">
        <v>45987</v>
      </c>
      <c r="O133" s="26">
        <v>0.1878009259259259</v>
      </c>
      <c r="P133" s="50" t="s">
        <v>1073</v>
      </c>
      <c r="Q133" s="50" t="s">
        <v>1218</v>
      </c>
      <c r="R133" s="50" t="s">
        <v>1054</v>
      </c>
      <c r="S133" s="50" t="s">
        <v>1219</v>
      </c>
      <c r="T133" s="50">
        <v>1052</v>
      </c>
      <c r="U133" s="50" t="s">
        <v>1024</v>
      </c>
      <c r="V133" s="50" t="s">
        <v>1216</v>
      </c>
      <c r="W133" s="50"/>
      <c r="X133" s="6"/>
      <c r="Y133" s="6"/>
    </row>
    <row r="134" spans="14:25" x14ac:dyDescent="0.4">
      <c r="N134" s="25">
        <v>45987</v>
      </c>
      <c r="O134" s="26">
        <v>0.23778935185185179</v>
      </c>
      <c r="P134" s="50" t="s">
        <v>1020</v>
      </c>
      <c r="Q134" s="50" t="s">
        <v>1026</v>
      </c>
      <c r="R134" s="50" t="s">
        <v>1151</v>
      </c>
      <c r="S134" s="50" t="s">
        <v>1639</v>
      </c>
      <c r="T134" s="50">
        <v>-10000</v>
      </c>
      <c r="U134" s="50" t="s">
        <v>1024</v>
      </c>
      <c r="V134" s="50" t="s">
        <v>1025</v>
      </c>
      <c r="W134" s="50"/>
      <c r="X134" s="6"/>
      <c r="Y134" s="6"/>
    </row>
    <row r="135" spans="14:25" x14ac:dyDescent="0.4">
      <c r="N135" s="25">
        <v>45987</v>
      </c>
      <c r="O135" s="26">
        <v>0.63313657407407409</v>
      </c>
      <c r="P135" s="50" t="s">
        <v>1020</v>
      </c>
      <c r="Q135" s="50" t="s">
        <v>1021</v>
      </c>
      <c r="R135" s="50" t="s">
        <v>1047</v>
      </c>
      <c r="S135" s="50" t="s">
        <v>2083</v>
      </c>
      <c r="T135" s="50">
        <v>-9950</v>
      </c>
      <c r="U135" s="50" t="s">
        <v>1024</v>
      </c>
      <c r="V135" s="50" t="s">
        <v>1036</v>
      </c>
      <c r="W135" s="50" t="s">
        <v>2084</v>
      </c>
      <c r="X135" s="6"/>
      <c r="Y135" s="6"/>
    </row>
    <row r="136" spans="14:25" x14ac:dyDescent="0.4">
      <c r="N136" s="25">
        <v>45987</v>
      </c>
      <c r="O136" s="26">
        <v>0.84868055555555555</v>
      </c>
      <c r="P136" s="50" t="s">
        <v>1020</v>
      </c>
      <c r="Q136" s="50" t="s">
        <v>1021</v>
      </c>
      <c r="R136" s="50" t="s">
        <v>1022</v>
      </c>
      <c r="S136" s="50" t="s">
        <v>2085</v>
      </c>
      <c r="T136" s="50">
        <v>-116000</v>
      </c>
      <c r="U136" s="50" t="s">
        <v>1024</v>
      </c>
      <c r="V136" s="50" t="s">
        <v>1025</v>
      </c>
      <c r="W136" s="50" t="s">
        <v>2086</v>
      </c>
      <c r="X136" s="6"/>
      <c r="Y136" s="6"/>
    </row>
    <row r="137" spans="14:25" x14ac:dyDescent="0.4">
      <c r="N137" s="25">
        <v>45988</v>
      </c>
      <c r="O137" s="26">
        <v>0.18787037037037041</v>
      </c>
      <c r="P137" s="50" t="s">
        <v>1073</v>
      </c>
      <c r="Q137" s="50" t="s">
        <v>1218</v>
      </c>
      <c r="R137" s="50" t="s">
        <v>1054</v>
      </c>
      <c r="S137" s="50" t="s">
        <v>1219</v>
      </c>
      <c r="T137" s="50">
        <v>1052</v>
      </c>
      <c r="U137" s="50" t="s">
        <v>1024</v>
      </c>
      <c r="V137" s="50" t="s">
        <v>1216</v>
      </c>
      <c r="W137" s="50"/>
      <c r="X137" s="6"/>
      <c r="Y137" s="6"/>
    </row>
    <row r="138" spans="14:25" x14ac:dyDescent="0.4">
      <c r="N138" s="25">
        <v>45989</v>
      </c>
      <c r="O138" s="26">
        <v>0.18747685185185181</v>
      </c>
      <c r="P138" s="50" t="s">
        <v>1073</v>
      </c>
      <c r="Q138" s="50" t="s">
        <v>1218</v>
      </c>
      <c r="R138" s="50" t="s">
        <v>1054</v>
      </c>
      <c r="S138" s="50" t="s">
        <v>1219</v>
      </c>
      <c r="T138" s="50">
        <v>1052</v>
      </c>
      <c r="U138" s="50" t="s">
        <v>1024</v>
      </c>
      <c r="V138" s="50" t="s">
        <v>1216</v>
      </c>
      <c r="W138" s="50"/>
      <c r="X138" s="6"/>
      <c r="Y138" s="6"/>
    </row>
    <row r="139" spans="14:25" x14ac:dyDescent="0.4">
      <c r="N139" s="25">
        <v>45989</v>
      </c>
      <c r="O139" s="26">
        <v>0.75259259259259259</v>
      </c>
      <c r="P139" s="50" t="s">
        <v>1020</v>
      </c>
      <c r="Q139" s="50" t="s">
        <v>1047</v>
      </c>
      <c r="R139" s="50" t="s">
        <v>1406</v>
      </c>
      <c r="S139" s="50" t="s">
        <v>2087</v>
      </c>
      <c r="T139" s="50">
        <v>-26270</v>
      </c>
      <c r="U139" s="50" t="s">
        <v>1024</v>
      </c>
      <c r="V139" s="50" t="s">
        <v>1228</v>
      </c>
      <c r="W139" s="50" t="s">
        <v>2088</v>
      </c>
      <c r="X139" s="6"/>
      <c r="Y139" s="6" t="s">
        <v>1160</v>
      </c>
    </row>
    <row r="140" spans="14:25" x14ac:dyDescent="0.4">
      <c r="N140" s="25">
        <v>45989</v>
      </c>
      <c r="O140" s="26">
        <v>0.75262731481481482</v>
      </c>
      <c r="P140" s="50" t="s">
        <v>1053</v>
      </c>
      <c r="Q140" s="50" t="s">
        <v>1053</v>
      </c>
      <c r="R140" s="50" t="s">
        <v>1054</v>
      </c>
      <c r="S140" s="50" t="s">
        <v>1230</v>
      </c>
      <c r="T140" s="50">
        <v>30000</v>
      </c>
      <c r="U140" s="50" t="s">
        <v>1024</v>
      </c>
      <c r="V140" s="50" t="s">
        <v>1231</v>
      </c>
      <c r="W140" s="50"/>
      <c r="X140" s="6"/>
      <c r="Y140" s="6"/>
    </row>
    <row r="141" spans="14:25" x14ac:dyDescent="0.4">
      <c r="N141" s="25">
        <v>45989</v>
      </c>
      <c r="O141" s="26">
        <v>0.75262731481481482</v>
      </c>
      <c r="P141" s="50" t="s">
        <v>1053</v>
      </c>
      <c r="Q141" s="50" t="s">
        <v>1053</v>
      </c>
      <c r="R141" s="50" t="s">
        <v>1054</v>
      </c>
      <c r="S141" s="50" t="s">
        <v>1232</v>
      </c>
      <c r="T141" s="50">
        <v>-30000</v>
      </c>
      <c r="U141" s="50" t="s">
        <v>1024</v>
      </c>
      <c r="V141" s="50" t="s">
        <v>1036</v>
      </c>
      <c r="W141" s="50"/>
      <c r="X141" s="6"/>
      <c r="Y141" s="6"/>
    </row>
    <row r="142" spans="14:25" x14ac:dyDescent="0.4">
      <c r="N142" s="25">
        <v>45989</v>
      </c>
      <c r="O142" s="26">
        <v>0.7776967592592593</v>
      </c>
      <c r="P142" s="50" t="s">
        <v>1020</v>
      </c>
      <c r="Q142" s="50" t="s">
        <v>1022</v>
      </c>
      <c r="R142" s="50" t="s">
        <v>1313</v>
      </c>
      <c r="S142" s="50" t="s">
        <v>1290</v>
      </c>
      <c r="T142" s="50">
        <v>-27500</v>
      </c>
      <c r="U142" s="50" t="s">
        <v>1024</v>
      </c>
      <c r="V142" s="50" t="s">
        <v>1025</v>
      </c>
      <c r="W142" s="50" t="s">
        <v>2089</v>
      </c>
      <c r="X142" s="6"/>
      <c r="Y142" s="6"/>
    </row>
    <row r="143" spans="14:25" x14ac:dyDescent="0.4">
      <c r="N143" s="25">
        <v>45990</v>
      </c>
      <c r="O143" s="26">
        <v>0.18766203703703699</v>
      </c>
      <c r="P143" s="50" t="s">
        <v>1073</v>
      </c>
      <c r="Q143" s="50" t="s">
        <v>1218</v>
      </c>
      <c r="R143" s="50" t="s">
        <v>1054</v>
      </c>
      <c r="S143" s="50" t="s">
        <v>1219</v>
      </c>
      <c r="T143" s="50">
        <v>1052</v>
      </c>
      <c r="U143" s="50" t="s">
        <v>1024</v>
      </c>
      <c r="V143" s="50" t="s">
        <v>1216</v>
      </c>
      <c r="W143" s="50"/>
      <c r="X143" s="6"/>
      <c r="Y143" s="6"/>
    </row>
    <row r="144" spans="14:25" x14ac:dyDescent="0.4">
      <c r="N144" s="25">
        <v>45991</v>
      </c>
      <c r="O144" s="26">
        <v>7.3668981481481488E-2</v>
      </c>
      <c r="P144" s="50" t="s">
        <v>1020</v>
      </c>
      <c r="Q144" s="50" t="s">
        <v>1026</v>
      </c>
      <c r="R144" s="50" t="s">
        <v>1151</v>
      </c>
      <c r="S144" s="50" t="s">
        <v>1152</v>
      </c>
      <c r="T144" s="50">
        <v>-3200</v>
      </c>
      <c r="U144" s="50" t="s">
        <v>1024</v>
      </c>
      <c r="V144" s="50" t="s">
        <v>1125</v>
      </c>
      <c r="W144" s="50"/>
      <c r="X144" s="6"/>
      <c r="Y144" s="6"/>
    </row>
    <row r="145" spans="14:25" x14ac:dyDescent="0.4">
      <c r="N145" s="25">
        <v>45991</v>
      </c>
      <c r="O145" s="26">
        <v>0.18790509259259261</v>
      </c>
      <c r="P145" s="50" t="s">
        <v>1073</v>
      </c>
      <c r="Q145" s="50" t="s">
        <v>1218</v>
      </c>
      <c r="R145" s="50" t="s">
        <v>1054</v>
      </c>
      <c r="S145" s="50" t="s">
        <v>1219</v>
      </c>
      <c r="T145" s="50">
        <v>1052</v>
      </c>
      <c r="U145" s="50" t="s">
        <v>1024</v>
      </c>
      <c r="V145" s="50" t="s">
        <v>1216</v>
      </c>
      <c r="W145" s="50"/>
      <c r="X145" s="6"/>
      <c r="Y145" s="6"/>
    </row>
    <row r="146" spans="14:25" x14ac:dyDescent="0.4">
      <c r="N146" s="25">
        <v>45991</v>
      </c>
      <c r="O146" s="26">
        <v>0.26601851851851849</v>
      </c>
      <c r="P146" s="50" t="s">
        <v>1020</v>
      </c>
      <c r="Q146" s="50" t="s">
        <v>1026</v>
      </c>
      <c r="R146" s="50" t="s">
        <v>1151</v>
      </c>
      <c r="S146" s="50" t="s">
        <v>1639</v>
      </c>
      <c r="T146" s="50">
        <v>-10000</v>
      </c>
      <c r="U146" s="50" t="s">
        <v>1024</v>
      </c>
      <c r="V146" s="50" t="s">
        <v>1025</v>
      </c>
      <c r="W146" s="50"/>
      <c r="X146" s="6"/>
      <c r="Y146" s="6"/>
    </row>
    <row r="147" spans="14:25" x14ac:dyDescent="0.4">
      <c r="N147" s="25">
        <v>45991</v>
      </c>
      <c r="O147" s="26">
        <v>0.58421296296296299</v>
      </c>
      <c r="P147" s="50" t="s">
        <v>1020</v>
      </c>
      <c r="Q147" s="50" t="s">
        <v>1022</v>
      </c>
      <c r="R147" s="50" t="s">
        <v>1032</v>
      </c>
      <c r="S147" s="50" t="s">
        <v>2090</v>
      </c>
      <c r="T147" s="50">
        <v>-5200</v>
      </c>
      <c r="U147" s="50" t="s">
        <v>1024</v>
      </c>
      <c r="V147" s="50" t="s">
        <v>1025</v>
      </c>
      <c r="W147" s="50"/>
      <c r="X147" s="6"/>
      <c r="Y147" s="6"/>
    </row>
    <row r="148" spans="14:25" x14ac:dyDescent="0.4">
      <c r="N148" s="25">
        <v>45991</v>
      </c>
      <c r="O148" s="26">
        <v>0.62390046296296298</v>
      </c>
      <c r="P148" s="50" t="s">
        <v>1020</v>
      </c>
      <c r="Q148" s="50" t="s">
        <v>1047</v>
      </c>
      <c r="R148" s="50" t="s">
        <v>1406</v>
      </c>
      <c r="S148" s="50" t="s">
        <v>2046</v>
      </c>
      <c r="T148" s="50">
        <v>-2600</v>
      </c>
      <c r="U148" s="50" t="s">
        <v>1024</v>
      </c>
      <c r="V148" s="50" t="s">
        <v>1025</v>
      </c>
      <c r="W148" s="50" t="s">
        <v>2091</v>
      </c>
      <c r="X148" s="6"/>
      <c r="Y148" s="6" t="s">
        <v>1160</v>
      </c>
    </row>
    <row r="149" spans="14:25" x14ac:dyDescent="0.4">
      <c r="N149" s="25">
        <v>45991</v>
      </c>
      <c r="O149" s="26">
        <v>0.63810185185185186</v>
      </c>
      <c r="P149" s="50" t="s">
        <v>1053</v>
      </c>
      <c r="Q149" s="50" t="s">
        <v>1053</v>
      </c>
      <c r="R149" s="50" t="s">
        <v>1054</v>
      </c>
      <c r="S149" s="50" t="s">
        <v>1230</v>
      </c>
      <c r="T149" s="50">
        <v>140000</v>
      </c>
      <c r="U149" s="50" t="s">
        <v>1024</v>
      </c>
      <c r="V149" s="50" t="s">
        <v>1231</v>
      </c>
      <c r="W149" s="50"/>
      <c r="X149" s="6"/>
      <c r="Y149" s="6"/>
    </row>
    <row r="150" spans="14:25" x14ac:dyDescent="0.4">
      <c r="N150" s="25">
        <v>45991</v>
      </c>
      <c r="O150" s="26">
        <v>0.63810185185185186</v>
      </c>
      <c r="P150" s="50" t="s">
        <v>1053</v>
      </c>
      <c r="Q150" s="50" t="s">
        <v>1053</v>
      </c>
      <c r="R150" s="50" t="s">
        <v>1054</v>
      </c>
      <c r="S150" s="50" t="s">
        <v>1232</v>
      </c>
      <c r="T150" s="50">
        <v>-140000</v>
      </c>
      <c r="U150" s="50" t="s">
        <v>1024</v>
      </c>
      <c r="V150" s="50" t="s">
        <v>1036</v>
      </c>
      <c r="W150" s="50"/>
      <c r="X150" s="6"/>
      <c r="Y150" s="6"/>
    </row>
    <row r="151" spans="14:25" x14ac:dyDescent="0.4">
      <c r="N151" s="25">
        <v>45991</v>
      </c>
      <c r="O151" s="26">
        <v>0.6381134259259259</v>
      </c>
      <c r="P151" s="50" t="s">
        <v>1020</v>
      </c>
      <c r="Q151" s="50" t="s">
        <v>1047</v>
      </c>
      <c r="R151" s="50" t="s">
        <v>1177</v>
      </c>
      <c r="S151" s="50" t="s">
        <v>2092</v>
      </c>
      <c r="T151" s="50">
        <v>-130880</v>
      </c>
      <c r="U151" s="50" t="s">
        <v>1024</v>
      </c>
      <c r="V151" s="50" t="s">
        <v>1228</v>
      </c>
      <c r="W151" s="50" t="s">
        <v>2093</v>
      </c>
      <c r="X151" s="6"/>
      <c r="Y151" s="6" t="s">
        <v>1160</v>
      </c>
    </row>
    <row r="152" spans="14:25" x14ac:dyDescent="0.4">
      <c r="N152" s="25">
        <v>45991</v>
      </c>
      <c r="O152" s="26">
        <v>0.65675925925925926</v>
      </c>
      <c r="P152" s="50" t="s">
        <v>1020</v>
      </c>
      <c r="Q152" s="50" t="s">
        <v>1029</v>
      </c>
      <c r="R152" s="50" t="s">
        <v>1070</v>
      </c>
      <c r="S152" s="50" t="s">
        <v>2094</v>
      </c>
      <c r="T152" s="50">
        <v>-18500</v>
      </c>
      <c r="U152" s="50" t="s">
        <v>1024</v>
      </c>
      <c r="V152" s="50" t="s">
        <v>1025</v>
      </c>
      <c r="W152" s="50"/>
      <c r="X152" s="6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</row>
    <row r="218" spans="14:25" x14ac:dyDescent="0.4"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</row>
    <row r="219" spans="14:25" x14ac:dyDescent="0.4"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6"/>
      <c r="Y219" s="6"/>
    </row>
  </sheetData>
  <mergeCells count="3">
    <mergeCell ref="O1:P1"/>
    <mergeCell ref="A19:D19"/>
    <mergeCell ref="I20:J20"/>
  </mergeCells>
  <phoneticPr fontId="2" type="noConversion"/>
  <conditionalFormatting sqref="G75:G81 I75:I81">
    <cfRule type="cellIs" dxfId="23" priority="1" operator="lessThan">
      <formula>0</formula>
    </cfRule>
    <cfRule type="cellIs" dxfId="22" priority="2" operator="greaterThan">
      <formula>0</formula>
    </cfRule>
  </conditionalFormatting>
  <conditionalFormatting sqref="I3:I18">
    <cfRule type="cellIs" dxfId="21" priority="4" operator="greaterThan">
      <formula>0</formula>
    </cfRule>
    <cfRule type="cellIs" dxfId="20" priority="5" operator="lessThan">
      <formula>0</formula>
    </cfRule>
  </conditionalFormatting>
  <conditionalFormatting sqref="K6:K20">
    <cfRule type="cellIs" dxfId="19" priority="3" operator="lessThan">
      <formula>0</formula>
    </cfRule>
  </conditionalFormatting>
  <conditionalFormatting sqref="L3:L20">
    <cfRule type="cellIs" dxfId="18" priority="6" operator="greaterThan">
      <formula>1</formula>
    </cfRule>
    <cfRule type="cellIs" dxfId="17" priority="7" operator="equal">
      <formula>1</formula>
    </cfRule>
    <cfRule type="cellIs" dxfId="16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8C2F-AE37-4D01-A865-F8B453055962}">
  <dimension ref="A1:Y1592"/>
  <sheetViews>
    <sheetView zoomScaleNormal="100" workbookViewId="0">
      <pane ySplit="2" topLeftCell="A43" activePane="bottomLeft" state="frozen"/>
      <selection activeCell="E1" sqref="E1"/>
      <selection pane="bottomLeft" activeCell="G62" sqref="G62"/>
    </sheetView>
  </sheetViews>
  <sheetFormatPr defaultRowHeight="17.399999999999999" x14ac:dyDescent="0.4"/>
  <cols>
    <col min="1" max="1" width="7.69921875" bestFit="1" customWidth="1"/>
    <col min="2" max="2" width="3.8984375" bestFit="1" customWidth="1"/>
    <col min="3" max="3" width="11.8984375" bestFit="1" customWidth="1"/>
    <col min="4" max="4" width="12.3984375" bestFit="1" customWidth="1"/>
    <col min="5" max="5" width="13.3984375" bestFit="1" customWidth="1"/>
    <col min="6" max="6" width="12.3984375" bestFit="1" customWidth="1"/>
    <col min="7" max="7" width="13.09765625" bestFit="1" customWidth="1"/>
    <col min="8" max="8" width="13.3984375" bestFit="1" customWidth="1"/>
    <col min="9" max="9" width="12.8984375" bestFit="1" customWidth="1"/>
    <col min="10" max="11" width="13.3984375" bestFit="1" customWidth="1"/>
    <col min="12" max="12" width="9.5" bestFit="1" customWidth="1"/>
    <col min="13" max="13" width="3" customWidth="1"/>
    <col min="14" max="14" width="11.59765625" bestFit="1" customWidth="1"/>
    <col min="15" max="15" width="9.3984375" bestFit="1" customWidth="1"/>
    <col min="16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0" width="10.59765625" bestFit="1" customWidth="1"/>
    <col min="21" max="21" width="9.19921875" bestFit="1" customWidth="1"/>
    <col min="22" max="22" width="29.8984375" customWidth="1"/>
    <col min="23" max="23" width="38.09765625" customWidth="1"/>
    <col min="24" max="24" width="9.19921875" style="1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202511</v>
      </c>
      <c r="K1" s="46" t="s">
        <v>923</v>
      </c>
      <c r="L1" s="46">
        <v>202512</v>
      </c>
      <c r="N1" s="27" t="s">
        <v>950</v>
      </c>
      <c r="O1" s="133">
        <f>SUMIF(P3:P235,"지출",T3:T235)</f>
        <v>-3844922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202512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-884027</v>
      </c>
      <c r="I3" s="41">
        <f ca="1">J3-H3</f>
        <v>11760</v>
      </c>
      <c r="J3" s="43">
        <f>VLOOKUP(A3,대출!$B$4:$G$363,3,FALSE)*-1</f>
        <v>-872267</v>
      </c>
      <c r="K3" s="43">
        <f>G3+J3</f>
        <v>27733</v>
      </c>
      <c r="L3" s="24">
        <f>IF(G3=0,0,-J3/G3)</f>
        <v>0.96918555555555552</v>
      </c>
      <c r="N3" s="25">
        <v>46022</v>
      </c>
      <c r="O3" s="26">
        <v>0.70694444444444449</v>
      </c>
      <c r="P3" s="50" t="s">
        <v>1020</v>
      </c>
      <c r="Q3" s="50" t="s">
        <v>1029</v>
      </c>
      <c r="R3" s="50" t="s">
        <v>1030</v>
      </c>
      <c r="S3" s="50" t="s">
        <v>1031</v>
      </c>
      <c r="T3" s="50">
        <v>-7900</v>
      </c>
      <c r="U3" s="50" t="s">
        <v>1024</v>
      </c>
      <c r="V3" s="50" t="s">
        <v>1025</v>
      </c>
      <c r="W3" s="50" t="s">
        <v>2131</v>
      </c>
      <c r="X3" s="116"/>
      <c r="Y3" s="6"/>
    </row>
    <row r="4" spans="1:25" x14ac:dyDescent="0.4">
      <c r="A4" s="4">
        <f t="shared" ref="A4:A18" si="0">$L$1</f>
        <v>202512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-100000</v>
      </c>
      <c r="I4" s="41">
        <f ca="1">J4-H4</f>
        <v>0</v>
      </c>
      <c r="J4" s="44">
        <f t="shared" ref="J4:J11" si="3">SUMIFS($T$3:$T$235,$P$3:$P$235,"지출",$Q$3:$Q$235,C4,$R$3:$R$235,D4)</f>
        <v>-100000</v>
      </c>
      <c r="K4" s="44">
        <f t="shared" ref="K4:K18" si="4">G4+J4</f>
        <v>0</v>
      </c>
      <c r="L4" s="19">
        <f t="shared" ref="L4:L18" si="5">IF(G4=0,0,-J4/G4)</f>
        <v>1</v>
      </c>
      <c r="N4" s="25">
        <v>46022</v>
      </c>
      <c r="O4" s="26">
        <v>0.60902777777777772</v>
      </c>
      <c r="P4" s="50" t="s">
        <v>1020</v>
      </c>
      <c r="Q4" s="50" t="s">
        <v>1029</v>
      </c>
      <c r="R4" s="50" t="s">
        <v>1030</v>
      </c>
      <c r="S4" s="50" t="s">
        <v>1781</v>
      </c>
      <c r="T4" s="50">
        <v>-29700</v>
      </c>
      <c r="U4" s="50" t="s">
        <v>1024</v>
      </c>
      <c r="V4" s="50" t="s">
        <v>1099</v>
      </c>
      <c r="W4" s="50" t="s">
        <v>2132</v>
      </c>
      <c r="X4" s="116"/>
      <c r="Y4" s="4"/>
    </row>
    <row r="5" spans="1:25" x14ac:dyDescent="0.4">
      <c r="A5" s="4">
        <f t="shared" si="0"/>
        <v>202512</v>
      </c>
      <c r="B5" s="4">
        <f t="shared" ref="B5:B18" si="6">ROW()-2</f>
        <v>3</v>
      </c>
      <c r="C5" s="4" t="s">
        <v>9</v>
      </c>
      <c r="D5" s="4" t="s">
        <v>1157</v>
      </c>
      <c r="E5" s="18">
        <f>SUMIFS('수입&amp;예산'!$G$15:$G$27,'수입&amp;예산'!$A$15:$A$27,C5,'수입&amp;예산'!$B$15:$B$27,D5)*10000</f>
        <v>44000</v>
      </c>
      <c r="F5" s="18">
        <v>0</v>
      </c>
      <c r="G5" s="18">
        <f t="shared" si="1"/>
        <v>44000</v>
      </c>
      <c r="H5" s="41">
        <f t="shared" ca="1" si="2"/>
        <v>-64790</v>
      </c>
      <c r="I5" s="41">
        <f ca="1">J5-H5</f>
        <v>1100</v>
      </c>
      <c r="J5" s="44">
        <f t="shared" si="3"/>
        <v>-63690</v>
      </c>
      <c r="K5" s="44">
        <f t="shared" si="4"/>
        <v>-19690</v>
      </c>
      <c r="L5" s="19">
        <f t="shared" si="5"/>
        <v>1.4475</v>
      </c>
      <c r="N5" s="25">
        <v>46022</v>
      </c>
      <c r="O5" s="26">
        <v>0.58958333333333335</v>
      </c>
      <c r="P5" s="50" t="s">
        <v>1020</v>
      </c>
      <c r="Q5" s="50" t="s">
        <v>1029</v>
      </c>
      <c r="R5" s="50" t="s">
        <v>1070</v>
      </c>
      <c r="S5" s="50" t="s">
        <v>2096</v>
      </c>
      <c r="T5" s="50">
        <v>-800</v>
      </c>
      <c r="U5" s="50" t="s">
        <v>1024</v>
      </c>
      <c r="V5" s="50" t="s">
        <v>1099</v>
      </c>
      <c r="W5" s="50"/>
      <c r="X5" s="116"/>
      <c r="Y5" s="6"/>
    </row>
    <row r="6" spans="1:25" x14ac:dyDescent="0.4">
      <c r="A6" s="4">
        <f t="shared" si="0"/>
        <v>202512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-246720</v>
      </c>
      <c r="I6" s="41">
        <f t="shared" ref="I6:I18" ca="1" si="7">J6-H6</f>
        <v>-16970</v>
      </c>
      <c r="J6" s="44">
        <f t="shared" si="3"/>
        <v>-263690</v>
      </c>
      <c r="K6" s="44">
        <f t="shared" si="4"/>
        <v>66310</v>
      </c>
      <c r="L6" s="19">
        <f t="shared" si="5"/>
        <v>0.79906060606060603</v>
      </c>
      <c r="N6" s="25">
        <v>46022</v>
      </c>
      <c r="O6" s="26">
        <v>0.37708333333333333</v>
      </c>
      <c r="P6" s="50" t="s">
        <v>1020</v>
      </c>
      <c r="Q6" s="50" t="s">
        <v>1029</v>
      </c>
      <c r="R6" s="50" t="s">
        <v>1070</v>
      </c>
      <c r="S6" s="50" t="s">
        <v>1071</v>
      </c>
      <c r="T6" s="50">
        <v>-37000</v>
      </c>
      <c r="U6" s="50" t="s">
        <v>1024</v>
      </c>
      <c r="V6" s="50" t="s">
        <v>1025</v>
      </c>
      <c r="W6" s="50" t="s">
        <v>2133</v>
      </c>
      <c r="X6" s="116"/>
      <c r="Y6" s="6"/>
    </row>
    <row r="7" spans="1:25" x14ac:dyDescent="0.4">
      <c r="A7" s="4">
        <f t="shared" si="0"/>
        <v>202512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-130000</v>
      </c>
      <c r="I7" s="41">
        <f t="shared" ca="1" si="7"/>
        <v>0</v>
      </c>
      <c r="J7" s="44">
        <f t="shared" si="3"/>
        <v>-130000</v>
      </c>
      <c r="K7" s="44">
        <f t="shared" si="4"/>
        <v>0</v>
      </c>
      <c r="L7" s="19">
        <f t="shared" si="5"/>
        <v>1</v>
      </c>
      <c r="N7" s="25">
        <v>46022</v>
      </c>
      <c r="O7" s="26">
        <v>0.16458333333333333</v>
      </c>
      <c r="P7" s="50" t="s">
        <v>1073</v>
      </c>
      <c r="Q7" s="50" t="s">
        <v>1218</v>
      </c>
      <c r="R7" s="50" t="s">
        <v>1054</v>
      </c>
      <c r="S7" s="50" t="s">
        <v>1219</v>
      </c>
      <c r="T7" s="50">
        <v>919</v>
      </c>
      <c r="U7" s="50" t="s">
        <v>1024</v>
      </c>
      <c r="V7" s="50" t="s">
        <v>1216</v>
      </c>
      <c r="W7" s="50"/>
      <c r="X7" s="116"/>
      <c r="Y7" s="6"/>
    </row>
    <row r="8" spans="1:25" x14ac:dyDescent="0.4">
      <c r="A8" s="4">
        <f>$L$1</f>
        <v>202512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-100000</v>
      </c>
      <c r="I8" s="41">
        <f t="shared" ca="1" si="7"/>
        <v>0</v>
      </c>
      <c r="J8" s="44">
        <f t="shared" si="3"/>
        <v>-100000</v>
      </c>
      <c r="K8" s="44">
        <f t="shared" si="4"/>
        <v>71000</v>
      </c>
      <c r="L8" s="19">
        <f t="shared" si="5"/>
        <v>0.58479532163742687</v>
      </c>
      <c r="N8" s="25">
        <v>46021</v>
      </c>
      <c r="O8" s="26">
        <v>0.58750000000000002</v>
      </c>
      <c r="P8" s="50" t="s">
        <v>1020</v>
      </c>
      <c r="Q8" s="50" t="s">
        <v>1021</v>
      </c>
      <c r="R8" s="50" t="s">
        <v>1295</v>
      </c>
      <c r="S8" s="50" t="s">
        <v>2097</v>
      </c>
      <c r="T8" s="50">
        <v>-9200</v>
      </c>
      <c r="U8" s="50" t="s">
        <v>1024</v>
      </c>
      <c r="V8" s="50" t="s">
        <v>1025</v>
      </c>
      <c r="W8" s="50"/>
      <c r="X8" s="116"/>
      <c r="Y8" s="6"/>
    </row>
    <row r="9" spans="1:25" x14ac:dyDescent="0.4">
      <c r="A9" s="4">
        <f t="shared" si="0"/>
        <v>202512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-301865</v>
      </c>
      <c r="I9" s="41">
        <f t="shared" ca="1" si="7"/>
        <v>-7360</v>
      </c>
      <c r="J9" s="44">
        <f t="shared" si="3"/>
        <v>-309225</v>
      </c>
      <c r="K9" s="44">
        <f t="shared" si="4"/>
        <v>-63225</v>
      </c>
      <c r="L9" s="19">
        <f t="shared" si="5"/>
        <v>1.2570121951219513</v>
      </c>
      <c r="N9" s="25">
        <v>46021</v>
      </c>
      <c r="O9" s="26">
        <v>0.16527777777777777</v>
      </c>
      <c r="P9" s="50" t="s">
        <v>1073</v>
      </c>
      <c r="Q9" s="50" t="s">
        <v>1218</v>
      </c>
      <c r="R9" s="50" t="s">
        <v>1054</v>
      </c>
      <c r="S9" s="50" t="s">
        <v>1219</v>
      </c>
      <c r="T9" s="50">
        <v>919</v>
      </c>
      <c r="U9" s="50" t="s">
        <v>1024</v>
      </c>
      <c r="V9" s="50" t="s">
        <v>1216</v>
      </c>
      <c r="W9" s="50"/>
      <c r="X9" s="116"/>
      <c r="Y9" s="6"/>
    </row>
    <row r="10" spans="1:25" x14ac:dyDescent="0.4">
      <c r="A10" s="4">
        <f t="shared" si="0"/>
        <v>202512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-133200</v>
      </c>
      <c r="I10" s="41">
        <f t="shared" ca="1" si="7"/>
        <v>24600</v>
      </c>
      <c r="J10" s="44">
        <f t="shared" si="3"/>
        <v>-108600</v>
      </c>
      <c r="K10" s="44">
        <f t="shared" si="4"/>
        <v>51400</v>
      </c>
      <c r="L10" s="19">
        <f t="shared" si="5"/>
        <v>0.67874999999999996</v>
      </c>
      <c r="N10" s="25">
        <v>46020</v>
      </c>
      <c r="O10" s="26">
        <v>0.55000000000000004</v>
      </c>
      <c r="P10" s="50" t="s">
        <v>1020</v>
      </c>
      <c r="Q10" s="50" t="s">
        <v>1021</v>
      </c>
      <c r="R10" s="50" t="s">
        <v>1295</v>
      </c>
      <c r="S10" s="50" t="s">
        <v>2098</v>
      </c>
      <c r="T10" s="50">
        <v>-26600</v>
      </c>
      <c r="U10" s="50" t="s">
        <v>1024</v>
      </c>
      <c r="V10" s="50" t="s">
        <v>1025</v>
      </c>
      <c r="W10" s="50"/>
      <c r="X10" s="116"/>
      <c r="Y10" s="6"/>
    </row>
    <row r="11" spans="1:25" x14ac:dyDescent="0.4">
      <c r="A11" s="4">
        <f t="shared" si="0"/>
        <v>202512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-21790</v>
      </c>
      <c r="I11" s="41">
        <f t="shared" ca="1" si="7"/>
        <v>0</v>
      </c>
      <c r="J11" s="44">
        <f t="shared" si="3"/>
        <v>-21790</v>
      </c>
      <c r="K11" s="44">
        <f t="shared" si="4"/>
        <v>22210</v>
      </c>
      <c r="L11" s="19">
        <f t="shared" si="5"/>
        <v>0.49522727272727274</v>
      </c>
      <c r="N11" s="25">
        <v>46020</v>
      </c>
      <c r="O11" s="26">
        <v>0.45347222222222222</v>
      </c>
      <c r="P11" s="50" t="s">
        <v>1020</v>
      </c>
      <c r="Q11" s="50" t="s">
        <v>1026</v>
      </c>
      <c r="R11" s="50" t="s">
        <v>1115</v>
      </c>
      <c r="S11" s="50" t="s">
        <v>1136</v>
      </c>
      <c r="T11" s="50">
        <v>-70050</v>
      </c>
      <c r="U11" s="50" t="s">
        <v>1024</v>
      </c>
      <c r="V11" s="50" t="s">
        <v>1025</v>
      </c>
      <c r="W11" s="50"/>
      <c r="X11" s="116"/>
      <c r="Y11" s="6"/>
    </row>
    <row r="12" spans="1:25" x14ac:dyDescent="0.4">
      <c r="A12" s="4">
        <f t="shared" si="0"/>
        <v>202512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-398455</v>
      </c>
      <c r="I12" s="41">
        <f t="shared" ca="1" si="7"/>
        <v>-657915</v>
      </c>
      <c r="J12" s="44">
        <f t="shared" ref="J12:J18" si="8">SUMIFS($T$3:$T$235,$P$3:$P$235,"지출",$Q$3:$Q$235,C12)</f>
        <v>-1056370</v>
      </c>
      <c r="K12" s="45">
        <f t="shared" si="4"/>
        <v>-706370</v>
      </c>
      <c r="L12" s="19">
        <f t="shared" si="5"/>
        <v>3.0182000000000002</v>
      </c>
      <c r="N12" s="25">
        <v>46020</v>
      </c>
      <c r="O12" s="26">
        <v>0.26111111111111113</v>
      </c>
      <c r="P12" s="50" t="s">
        <v>1020</v>
      </c>
      <c r="Q12" s="50" t="s">
        <v>1026</v>
      </c>
      <c r="R12" s="50" t="s">
        <v>1151</v>
      </c>
      <c r="S12" s="50" t="s">
        <v>1639</v>
      </c>
      <c r="T12" s="50">
        <v>-10000</v>
      </c>
      <c r="U12" s="50" t="s">
        <v>1024</v>
      </c>
      <c r="V12" s="50" t="s">
        <v>1025</v>
      </c>
      <c r="W12" s="50"/>
      <c r="X12" s="116"/>
      <c r="Y12" s="6"/>
    </row>
    <row r="13" spans="1:25" x14ac:dyDescent="0.4">
      <c r="A13" s="4">
        <f t="shared" si="0"/>
        <v>202512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6000</v>
      </c>
      <c r="G13" s="18">
        <f t="shared" si="1"/>
        <v>6000</v>
      </c>
      <c r="H13" s="41">
        <f t="shared" ca="1" si="2"/>
        <v>-6000</v>
      </c>
      <c r="I13" s="41">
        <f t="shared" ca="1" si="7"/>
        <v>0</v>
      </c>
      <c r="J13" s="44">
        <f t="shared" si="8"/>
        <v>-6000</v>
      </c>
      <c r="K13" s="44">
        <f t="shared" si="4"/>
        <v>0</v>
      </c>
      <c r="L13" s="19">
        <f t="shared" si="5"/>
        <v>1</v>
      </c>
      <c r="N13" s="25">
        <v>46020</v>
      </c>
      <c r="O13" s="26">
        <v>0.1673611111111111</v>
      </c>
      <c r="P13" s="50" t="s">
        <v>1073</v>
      </c>
      <c r="Q13" s="50" t="s">
        <v>1218</v>
      </c>
      <c r="R13" s="50" t="s">
        <v>1054</v>
      </c>
      <c r="S13" s="50" t="s">
        <v>1219</v>
      </c>
      <c r="T13" s="50">
        <v>919</v>
      </c>
      <c r="U13" s="50" t="s">
        <v>1024</v>
      </c>
      <c r="V13" s="50" t="s">
        <v>1216</v>
      </c>
      <c r="W13" s="50"/>
      <c r="X13" s="116"/>
      <c r="Y13" s="6"/>
    </row>
    <row r="14" spans="1:25" x14ac:dyDescent="0.4">
      <c r="A14" s="4">
        <f t="shared" si="0"/>
        <v>202512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105490</v>
      </c>
      <c r="G14" s="18">
        <f t="shared" si="1"/>
        <v>105490</v>
      </c>
      <c r="H14" s="41">
        <f ca="1">INDIRECT($J$1&amp;"!J"&amp;ROW())</f>
        <v>-32700</v>
      </c>
      <c r="I14" s="41">
        <f t="shared" ca="1" si="7"/>
        <v>-72790</v>
      </c>
      <c r="J14" s="44">
        <f t="shared" si="8"/>
        <v>-105490</v>
      </c>
      <c r="K14" s="44">
        <f t="shared" si="4"/>
        <v>0</v>
      </c>
      <c r="L14" s="19">
        <f t="shared" si="5"/>
        <v>1</v>
      </c>
      <c r="N14" s="25">
        <v>46019</v>
      </c>
      <c r="O14" s="26">
        <v>0.80208333333333337</v>
      </c>
      <c r="P14" s="50" t="s">
        <v>1020</v>
      </c>
      <c r="Q14" s="50" t="s">
        <v>1026</v>
      </c>
      <c r="R14" s="50" t="s">
        <v>1151</v>
      </c>
      <c r="S14" s="50" t="s">
        <v>1435</v>
      </c>
      <c r="T14" s="50">
        <v>-11700</v>
      </c>
      <c r="U14" s="50" t="s">
        <v>1024</v>
      </c>
      <c r="V14" s="50" t="s">
        <v>1025</v>
      </c>
      <c r="W14" s="50" t="s">
        <v>2134</v>
      </c>
      <c r="X14" s="116"/>
      <c r="Y14" s="6"/>
    </row>
    <row r="15" spans="1:25" x14ac:dyDescent="0.4">
      <c r="A15" s="4">
        <f t="shared" si="0"/>
        <v>202512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-475550</v>
      </c>
      <c r="I15" s="41">
        <f t="shared" ca="1" si="7"/>
        <v>313640</v>
      </c>
      <c r="J15" s="44">
        <f t="shared" si="8"/>
        <v>-161910</v>
      </c>
      <c r="K15" s="44">
        <f t="shared" si="4"/>
        <v>-161910</v>
      </c>
      <c r="L15" s="19">
        <f t="shared" si="5"/>
        <v>0</v>
      </c>
      <c r="N15" s="25">
        <v>46019</v>
      </c>
      <c r="O15" s="26">
        <v>0.60069444444444442</v>
      </c>
      <c r="P15" s="50" t="s">
        <v>1020</v>
      </c>
      <c r="Q15" s="50" t="s">
        <v>1029</v>
      </c>
      <c r="R15" s="50" t="s">
        <v>1070</v>
      </c>
      <c r="S15" s="50" t="s">
        <v>2099</v>
      </c>
      <c r="T15" s="50">
        <v>-12100</v>
      </c>
      <c r="U15" s="50" t="s">
        <v>1024</v>
      </c>
      <c r="V15" s="50" t="s">
        <v>1025</v>
      </c>
      <c r="W15" s="50" t="s">
        <v>2135</v>
      </c>
      <c r="X15" s="116"/>
      <c r="Y15" s="6"/>
    </row>
    <row r="16" spans="1:25" x14ac:dyDescent="0.4">
      <c r="A16" s="4">
        <f t="shared" si="0"/>
        <v>202512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-50000</v>
      </c>
      <c r="I16" s="41">
        <f t="shared" ca="1" si="7"/>
        <v>-50000</v>
      </c>
      <c r="J16" s="44">
        <f t="shared" si="8"/>
        <v>-100000</v>
      </c>
      <c r="K16" s="44">
        <f t="shared" si="4"/>
        <v>-100000</v>
      </c>
      <c r="L16" s="19">
        <f t="shared" si="5"/>
        <v>0</v>
      </c>
      <c r="N16" s="25">
        <v>46019</v>
      </c>
      <c r="O16" s="26">
        <v>0.5708333333333333</v>
      </c>
      <c r="P16" s="50" t="s">
        <v>1020</v>
      </c>
      <c r="Q16" s="50" t="s">
        <v>1029</v>
      </c>
      <c r="R16" s="50" t="s">
        <v>1030</v>
      </c>
      <c r="S16" s="50" t="s">
        <v>1069</v>
      </c>
      <c r="T16" s="50">
        <v>-7600</v>
      </c>
      <c r="U16" s="50" t="s">
        <v>1024</v>
      </c>
      <c r="V16" s="50" t="s">
        <v>1025</v>
      </c>
      <c r="W16" s="50" t="s">
        <v>2136</v>
      </c>
      <c r="X16" s="116"/>
      <c r="Y16" s="6"/>
    </row>
    <row r="17" spans="1:25" x14ac:dyDescent="0.4">
      <c r="A17" s="4">
        <f t="shared" si="0"/>
        <v>202512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-4633400</v>
      </c>
      <c r="I17" s="41">
        <f t="shared" ca="1" si="7"/>
        <v>4633400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>
        <v>46019</v>
      </c>
      <c r="O17" s="26">
        <v>0.16666666666666666</v>
      </c>
      <c r="P17" s="50" t="s">
        <v>1073</v>
      </c>
      <c r="Q17" s="50" t="s">
        <v>1218</v>
      </c>
      <c r="R17" s="50" t="s">
        <v>1054</v>
      </c>
      <c r="S17" s="50" t="s">
        <v>1219</v>
      </c>
      <c r="T17" s="50">
        <v>919</v>
      </c>
      <c r="U17" s="50" t="s">
        <v>1024</v>
      </c>
      <c r="V17" s="50" t="s">
        <v>1216</v>
      </c>
      <c r="W17" s="50"/>
      <c r="X17" s="116"/>
      <c r="Y17" s="6"/>
    </row>
    <row r="18" spans="1:25" x14ac:dyDescent="0.4">
      <c r="A18" s="4">
        <f t="shared" si="0"/>
        <v>202512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445890</v>
      </c>
      <c r="G18" s="18">
        <f t="shared" si="1"/>
        <v>795890</v>
      </c>
      <c r="H18" s="41">
        <f t="shared" ca="1" si="2"/>
        <v>-674021</v>
      </c>
      <c r="I18" s="41">
        <f t="shared" ca="1" si="7"/>
        <v>228131</v>
      </c>
      <c r="J18" s="44">
        <f t="shared" si="8"/>
        <v>-445890</v>
      </c>
      <c r="K18" s="44">
        <f t="shared" si="4"/>
        <v>350000</v>
      </c>
      <c r="L18" s="19">
        <f t="shared" si="5"/>
        <v>0.56024073678523412</v>
      </c>
      <c r="N18" s="25">
        <v>46018</v>
      </c>
      <c r="O18" s="26">
        <v>0.75972222222222219</v>
      </c>
      <c r="P18" s="50" t="s">
        <v>1020</v>
      </c>
      <c r="Q18" s="50" t="s">
        <v>1029</v>
      </c>
      <c r="R18" s="50" t="s">
        <v>1045</v>
      </c>
      <c r="S18" s="50" t="s">
        <v>2100</v>
      </c>
      <c r="T18" s="50">
        <v>-15500</v>
      </c>
      <c r="U18" s="50" t="s">
        <v>1024</v>
      </c>
      <c r="V18" s="50" t="s">
        <v>1025</v>
      </c>
      <c r="W18" s="50" t="s">
        <v>2137</v>
      </c>
      <c r="X18" s="116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SUM(E3:E18)</f>
        <v>2825000</v>
      </c>
      <c r="F19" s="20">
        <f t="shared" si="9"/>
        <v>557380</v>
      </c>
      <c r="G19" s="20">
        <f t="shared" si="9"/>
        <v>3382380</v>
      </c>
      <c r="H19" s="42">
        <f t="shared" ca="1" si="9"/>
        <v>-8252518</v>
      </c>
      <c r="I19" s="42">
        <f t="shared" ca="1" si="9"/>
        <v>4407596</v>
      </c>
      <c r="J19" s="45">
        <f t="shared" si="9"/>
        <v>-3844922</v>
      </c>
      <c r="K19" s="45">
        <f t="shared" si="9"/>
        <v>-462542</v>
      </c>
      <c r="L19" s="21">
        <f>IF(G19=0,0,-J19/G19)</f>
        <v>1.1367504538224564</v>
      </c>
      <c r="N19" s="25">
        <v>46018</v>
      </c>
      <c r="O19" s="26">
        <v>0.75138888888888888</v>
      </c>
      <c r="P19" s="50" t="s">
        <v>1020</v>
      </c>
      <c r="Q19" s="50" t="s">
        <v>1047</v>
      </c>
      <c r="R19" s="50" t="s">
        <v>1177</v>
      </c>
      <c r="S19" s="50" t="s">
        <v>1181</v>
      </c>
      <c r="T19" s="50">
        <v>-50000</v>
      </c>
      <c r="U19" s="50" t="s">
        <v>1024</v>
      </c>
      <c r="V19" s="50" t="s">
        <v>1025</v>
      </c>
      <c r="W19" s="50" t="s">
        <v>2138</v>
      </c>
      <c r="X19" s="116"/>
      <c r="Y19" s="6"/>
    </row>
    <row r="20" spans="1:25" x14ac:dyDescent="0.4">
      <c r="I20" s="132" t="s">
        <v>920</v>
      </c>
      <c r="J20" s="132"/>
      <c r="K20" s="17">
        <f>E19+J19</f>
        <v>-1019922</v>
      </c>
      <c r="L20" s="22">
        <f>IF(E19=0,0,-J19/E19)</f>
        <v>1.3610343362831858</v>
      </c>
      <c r="N20" s="25">
        <v>46018</v>
      </c>
      <c r="O20" s="26">
        <v>0.7416666666666667</v>
      </c>
      <c r="P20" s="50" t="s">
        <v>1020</v>
      </c>
      <c r="Q20" s="50" t="s">
        <v>1029</v>
      </c>
      <c r="R20" s="50" t="s">
        <v>1045</v>
      </c>
      <c r="S20" s="50" t="s">
        <v>1181</v>
      </c>
      <c r="T20" s="50">
        <v>-4500</v>
      </c>
      <c r="U20" s="50" t="s">
        <v>1024</v>
      </c>
      <c r="V20" s="50" t="s">
        <v>1025</v>
      </c>
      <c r="W20" s="50" t="s">
        <v>2139</v>
      </c>
      <c r="X20" s="116"/>
      <c r="Y20" s="6"/>
    </row>
    <row r="21" spans="1:25" x14ac:dyDescent="0.4">
      <c r="N21" s="25">
        <v>46018</v>
      </c>
      <c r="O21" s="26">
        <v>0.72291666666666665</v>
      </c>
      <c r="P21" s="50" t="s">
        <v>1020</v>
      </c>
      <c r="Q21" s="50" t="s">
        <v>1184</v>
      </c>
      <c r="R21" s="50" t="s">
        <v>1522</v>
      </c>
      <c r="S21" s="50" t="s">
        <v>1168</v>
      </c>
      <c r="T21" s="50">
        <v>-100000</v>
      </c>
      <c r="U21" s="50" t="s">
        <v>1024</v>
      </c>
      <c r="V21" s="50" t="s">
        <v>1036</v>
      </c>
      <c r="W21" s="50"/>
      <c r="X21" s="116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>
        <v>46018</v>
      </c>
      <c r="O22" s="26">
        <v>0.71597222222222223</v>
      </c>
      <c r="P22" s="50" t="s">
        <v>1020</v>
      </c>
      <c r="Q22" s="50" t="s">
        <v>1029</v>
      </c>
      <c r="R22" s="50" t="s">
        <v>1070</v>
      </c>
      <c r="S22" s="50" t="s">
        <v>2101</v>
      </c>
      <c r="T22" s="50">
        <v>-76000</v>
      </c>
      <c r="U22" s="50" t="s">
        <v>1024</v>
      </c>
      <c r="V22" s="50" t="s">
        <v>1025</v>
      </c>
      <c r="W22" s="50" t="s">
        <v>2140</v>
      </c>
      <c r="X22" s="116"/>
      <c r="Y22" s="6"/>
    </row>
    <row r="23" spans="1:25" x14ac:dyDescent="0.4">
      <c r="C23" s="4" t="s">
        <v>19</v>
      </c>
      <c r="D23" s="4" t="s">
        <v>939</v>
      </c>
      <c r="E23" s="23">
        <f>SUMIFS($T$3:$T$235,$P$3:$P$235,"지출",$Q$3:$Q$235,C23,$R$3:$R$235,D23)</f>
        <v>-634970</v>
      </c>
      <c r="N23" s="25">
        <v>46018</v>
      </c>
      <c r="O23" s="26">
        <v>0.62430555555555556</v>
      </c>
      <c r="P23" s="50" t="s">
        <v>1020</v>
      </c>
      <c r="Q23" s="50" t="s">
        <v>1022</v>
      </c>
      <c r="R23" s="50" t="s">
        <v>1032</v>
      </c>
      <c r="S23" s="50" t="s">
        <v>2102</v>
      </c>
      <c r="T23" s="50">
        <v>-5500</v>
      </c>
      <c r="U23" s="50" t="s">
        <v>1024</v>
      </c>
      <c r="V23" s="50" t="s">
        <v>1099</v>
      </c>
      <c r="W23" s="50" t="s">
        <v>2141</v>
      </c>
      <c r="X23" s="116"/>
      <c r="Y23" s="6"/>
    </row>
    <row r="24" spans="1:25" x14ac:dyDescent="0.4">
      <c r="C24" s="4" t="s">
        <v>19</v>
      </c>
      <c r="D24" s="4" t="s">
        <v>938</v>
      </c>
      <c r="E24" s="23">
        <f>SUMIFS($T$3:$T$235,$P$3:$P$235,"지출",$Q$3:$Q$235,C24,$R$3:$R$235,D24)</f>
        <v>-275400</v>
      </c>
      <c r="N24" s="25">
        <v>46018</v>
      </c>
      <c r="O24" s="26">
        <v>0.61875000000000002</v>
      </c>
      <c r="P24" s="50" t="s">
        <v>1020</v>
      </c>
      <c r="Q24" s="50" t="s">
        <v>1022</v>
      </c>
      <c r="R24" s="50" t="s">
        <v>1032</v>
      </c>
      <c r="S24" s="50" t="s">
        <v>2103</v>
      </c>
      <c r="T24" s="50">
        <v>-4500</v>
      </c>
      <c r="U24" s="50" t="s">
        <v>1024</v>
      </c>
      <c r="V24" s="50" t="s">
        <v>1025</v>
      </c>
      <c r="W24" s="50" t="s">
        <v>2142</v>
      </c>
      <c r="X24" s="116"/>
      <c r="Y24" s="4"/>
    </row>
    <row r="25" spans="1:25" x14ac:dyDescent="0.4">
      <c r="C25" s="4" t="s">
        <v>19</v>
      </c>
      <c r="D25" s="4" t="s">
        <v>944</v>
      </c>
      <c r="E25" s="23">
        <f>SUMIFS($T$3:$T$235,$P$3:$P$235,"지출",$Q$3:$Q$235,C25,$R$3:$R$235,D25)</f>
        <v>-146000</v>
      </c>
      <c r="N25" s="25">
        <v>46018</v>
      </c>
      <c r="O25" s="26">
        <v>0.46944444444444444</v>
      </c>
      <c r="P25" s="50" t="s">
        <v>1020</v>
      </c>
      <c r="Q25" s="50" t="s">
        <v>1022</v>
      </c>
      <c r="R25" s="50" t="s">
        <v>1032</v>
      </c>
      <c r="S25" s="50" t="s">
        <v>2104</v>
      </c>
      <c r="T25" s="50">
        <v>-4000</v>
      </c>
      <c r="U25" s="50" t="s">
        <v>1024</v>
      </c>
      <c r="V25" s="50" t="s">
        <v>1025</v>
      </c>
      <c r="W25" s="50" t="s">
        <v>2143</v>
      </c>
      <c r="X25" s="116"/>
      <c r="Y25" s="6"/>
    </row>
    <row r="26" spans="1:25" x14ac:dyDescent="0.4">
      <c r="C26" s="4" t="s">
        <v>19</v>
      </c>
      <c r="D26" s="4" t="s">
        <v>5</v>
      </c>
      <c r="E26" s="23">
        <f>SUMIFS($T$3:$T$235,$P$3:$P$235,"지출",$Q$3:$Q$235,C26,$R$3:$R$235,D26)</f>
        <v>0</v>
      </c>
      <c r="N26" s="25">
        <v>46018</v>
      </c>
      <c r="O26" s="26">
        <v>0.43541666666666667</v>
      </c>
      <c r="P26" s="50" t="s">
        <v>1020</v>
      </c>
      <c r="Q26" s="50" t="s">
        <v>1022</v>
      </c>
      <c r="R26" s="50" t="s">
        <v>1032</v>
      </c>
      <c r="S26" s="50" t="s">
        <v>2105</v>
      </c>
      <c r="T26" s="50">
        <v>-26000</v>
      </c>
      <c r="U26" s="50" t="s">
        <v>1024</v>
      </c>
      <c r="V26" s="50" t="s">
        <v>1025</v>
      </c>
      <c r="W26" s="50" t="s">
        <v>2144</v>
      </c>
      <c r="X26" s="116"/>
      <c r="Y26" s="6"/>
    </row>
    <row r="27" spans="1:25" x14ac:dyDescent="0.4">
      <c r="C27" s="92" t="s">
        <v>959</v>
      </c>
      <c r="D27" s="68"/>
      <c r="E27" s="49">
        <f>SUM(E21:E26)</f>
        <v>-1056370</v>
      </c>
      <c r="N27" s="25">
        <v>46018</v>
      </c>
      <c r="O27" s="26">
        <v>0.43402777777777779</v>
      </c>
      <c r="P27" s="50" t="s">
        <v>1020</v>
      </c>
      <c r="Q27" s="50" t="s">
        <v>1026</v>
      </c>
      <c r="R27" s="50" t="s">
        <v>1151</v>
      </c>
      <c r="S27" s="50" t="s">
        <v>2106</v>
      </c>
      <c r="T27" s="50">
        <v>-6900</v>
      </c>
      <c r="U27" s="50" t="s">
        <v>1024</v>
      </c>
      <c r="V27" s="50" t="s">
        <v>1025</v>
      </c>
      <c r="W27" s="50" t="s">
        <v>2145</v>
      </c>
      <c r="X27" s="116"/>
      <c r="Y27" s="6"/>
    </row>
    <row r="28" spans="1:25" x14ac:dyDescent="0.4">
      <c r="C28" s="4" t="s">
        <v>954</v>
      </c>
      <c r="D28" s="4" t="s">
        <v>951</v>
      </c>
      <c r="E28" s="23">
        <f>SUMIFS($T$3:$T$235,$P$3:$P$235,"지출",$Q$3:$Q$235,C28,$R$3:$R$235,D28)</f>
        <v>-40000</v>
      </c>
      <c r="N28" s="25">
        <v>46018</v>
      </c>
      <c r="O28" s="26">
        <v>0.17152777777777778</v>
      </c>
      <c r="P28" s="50" t="s">
        <v>1073</v>
      </c>
      <c r="Q28" s="50" t="s">
        <v>1218</v>
      </c>
      <c r="R28" s="50" t="s">
        <v>1054</v>
      </c>
      <c r="S28" s="50" t="s">
        <v>1219</v>
      </c>
      <c r="T28" s="50">
        <v>919</v>
      </c>
      <c r="U28" s="50" t="s">
        <v>1024</v>
      </c>
      <c r="V28" s="50" t="s">
        <v>1216</v>
      </c>
      <c r="W28" s="50"/>
      <c r="X28" s="116"/>
      <c r="Y28" s="6"/>
    </row>
    <row r="29" spans="1:25" x14ac:dyDescent="0.4">
      <c r="C29" s="4" t="s">
        <v>954</v>
      </c>
      <c r="D29" s="4" t="s">
        <v>957</v>
      </c>
      <c r="E29" s="23">
        <f>SUMIFS($T$3:$T$235,$P$3:$P$235,"지출",$Q$3:$Q$235,C29,$R$3:$R$235,D29)</f>
        <v>-65490</v>
      </c>
      <c r="N29" s="25">
        <v>46017</v>
      </c>
      <c r="O29" s="26">
        <v>0.82222222222222219</v>
      </c>
      <c r="P29" s="50" t="s">
        <v>1020</v>
      </c>
      <c r="Q29" s="50" t="s">
        <v>1148</v>
      </c>
      <c r="R29" s="50" t="s">
        <v>1149</v>
      </c>
      <c r="S29" s="50" t="s">
        <v>1150</v>
      </c>
      <c r="T29" s="50">
        <v>-872267</v>
      </c>
      <c r="U29" s="50" t="s">
        <v>1024</v>
      </c>
      <c r="V29" s="50" t="s">
        <v>1036</v>
      </c>
      <c r="W29" s="50"/>
      <c r="X29" s="116"/>
      <c r="Y29" s="6"/>
    </row>
    <row r="30" spans="1:25" x14ac:dyDescent="0.4">
      <c r="C30" s="4" t="s">
        <v>954</v>
      </c>
      <c r="D30" s="4" t="s">
        <v>5</v>
      </c>
      <c r="E30" s="23">
        <f>SUMIFS($T$3:$T$235,$P$3:$P$235,"지출",$Q$3:$Q$235,C30,$R$3:$R$235,D30)</f>
        <v>0</v>
      </c>
      <c r="N30" s="25">
        <v>46017</v>
      </c>
      <c r="O30" s="26">
        <v>0.81041666666666667</v>
      </c>
      <c r="P30" s="50" t="s">
        <v>1020</v>
      </c>
      <c r="Q30" s="50" t="s">
        <v>1026</v>
      </c>
      <c r="R30" s="50" t="s">
        <v>1115</v>
      </c>
      <c r="S30" s="50" t="s">
        <v>2107</v>
      </c>
      <c r="T30" s="50">
        <v>-224943</v>
      </c>
      <c r="U30" s="50" t="s">
        <v>1024</v>
      </c>
      <c r="V30" s="50" t="s">
        <v>1036</v>
      </c>
      <c r="W30" s="50"/>
      <c r="X30" s="116"/>
      <c r="Y30" s="6"/>
    </row>
    <row r="31" spans="1:25" x14ac:dyDescent="0.4">
      <c r="C31" s="92" t="s">
        <v>960</v>
      </c>
      <c r="D31" s="68"/>
      <c r="E31" s="49">
        <f>SUM(E28:E30)</f>
        <v>-105490</v>
      </c>
      <c r="N31" s="25">
        <v>46017</v>
      </c>
      <c r="O31" s="26">
        <v>0.66388888888888886</v>
      </c>
      <c r="P31" s="50" t="s">
        <v>1020</v>
      </c>
      <c r="Q31" s="50" t="s">
        <v>1029</v>
      </c>
      <c r="R31" s="50" t="s">
        <v>1030</v>
      </c>
      <c r="S31" s="50" t="s">
        <v>1769</v>
      </c>
      <c r="T31" s="50">
        <v>-2500</v>
      </c>
      <c r="U31" s="50" t="s">
        <v>1024</v>
      </c>
      <c r="V31" s="50" t="s">
        <v>1025</v>
      </c>
      <c r="W31" s="50" t="s">
        <v>2146</v>
      </c>
      <c r="X31" s="116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SUMIFS($T$3:$T$235,$P$3:$P$235,"지출",$Q$3:$Q$235,C32,$R$3:$R$235,D32)</f>
        <v>-100000</v>
      </c>
      <c r="N32" s="25">
        <v>46017</v>
      </c>
      <c r="O32" s="26">
        <v>0.56944444444444442</v>
      </c>
      <c r="P32" s="50" t="s">
        <v>1020</v>
      </c>
      <c r="Q32" s="50" t="s">
        <v>1047</v>
      </c>
      <c r="R32" s="50" t="s">
        <v>1177</v>
      </c>
      <c r="S32" s="50" t="s">
        <v>1365</v>
      </c>
      <c r="T32" s="50">
        <v>-4500</v>
      </c>
      <c r="U32" s="50" t="s">
        <v>1024</v>
      </c>
      <c r="V32" s="50" t="s">
        <v>1099</v>
      </c>
      <c r="W32" s="50"/>
      <c r="X32" s="116"/>
      <c r="Y32" s="6"/>
    </row>
    <row r="33" spans="3:25" x14ac:dyDescent="0.4">
      <c r="C33" s="4" t="s">
        <v>5</v>
      </c>
      <c r="D33" s="4" t="s">
        <v>925</v>
      </c>
      <c r="E33" s="23">
        <f t="shared" si="10"/>
        <v>-42080</v>
      </c>
      <c r="N33" s="25">
        <v>46017</v>
      </c>
      <c r="O33" s="26">
        <v>0.48749999999999999</v>
      </c>
      <c r="P33" s="50" t="s">
        <v>1020</v>
      </c>
      <c r="Q33" s="50" t="s">
        <v>1026</v>
      </c>
      <c r="R33" s="50" t="s">
        <v>1027</v>
      </c>
      <c r="S33" s="50" t="s">
        <v>1143</v>
      </c>
      <c r="T33" s="50">
        <v>-13900</v>
      </c>
      <c r="U33" s="50" t="s">
        <v>1024</v>
      </c>
      <c r="V33" s="50" t="s">
        <v>1025</v>
      </c>
      <c r="W33" s="50"/>
      <c r="X33" s="116"/>
      <c r="Y33" s="6"/>
    </row>
    <row r="34" spans="3:25" x14ac:dyDescent="0.4">
      <c r="C34" s="4" t="s">
        <v>5</v>
      </c>
      <c r="D34" s="4" t="s">
        <v>958</v>
      </c>
      <c r="E34" s="23">
        <f t="shared" si="10"/>
        <v>-71500</v>
      </c>
      <c r="N34" s="25">
        <v>46017</v>
      </c>
      <c r="O34" s="26">
        <v>0.4201388888888889</v>
      </c>
      <c r="P34" s="50" t="s">
        <v>1020</v>
      </c>
      <c r="Q34" s="50" t="s">
        <v>1026</v>
      </c>
      <c r="R34" s="50" t="s">
        <v>1137</v>
      </c>
      <c r="S34" s="50" t="s">
        <v>1138</v>
      </c>
      <c r="T34" s="50">
        <v>-100000</v>
      </c>
      <c r="U34" s="50" t="s">
        <v>1024</v>
      </c>
      <c r="V34" s="50" t="s">
        <v>1036</v>
      </c>
      <c r="W34" s="50"/>
      <c r="X34" s="116"/>
      <c r="Y34" s="6"/>
    </row>
    <row r="35" spans="3:25" x14ac:dyDescent="0.4">
      <c r="C35" s="4" t="s">
        <v>5</v>
      </c>
      <c r="D35" s="4" t="s">
        <v>953</v>
      </c>
      <c r="E35" s="23">
        <f t="shared" si="10"/>
        <v>-91000</v>
      </c>
      <c r="N35" s="25">
        <v>46017</v>
      </c>
      <c r="O35" s="26">
        <v>0.41180555555555554</v>
      </c>
      <c r="P35" s="50" t="s">
        <v>1020</v>
      </c>
      <c r="Q35" s="50" t="s">
        <v>1021</v>
      </c>
      <c r="R35" s="50" t="s">
        <v>1295</v>
      </c>
      <c r="S35" s="50" t="s">
        <v>2108</v>
      </c>
      <c r="T35" s="50">
        <v>-3900</v>
      </c>
      <c r="U35" s="50" t="s">
        <v>1024</v>
      </c>
      <c r="V35" s="50" t="s">
        <v>1025</v>
      </c>
      <c r="W35" s="50" t="s">
        <v>2147</v>
      </c>
      <c r="X35" s="116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>
        <v>46017</v>
      </c>
      <c r="O36" s="26">
        <v>0.40902777777777777</v>
      </c>
      <c r="P36" s="50" t="s">
        <v>1020</v>
      </c>
      <c r="Q36" s="50" t="s">
        <v>1026</v>
      </c>
      <c r="R36" s="50" t="s">
        <v>1139</v>
      </c>
      <c r="S36" s="50" t="s">
        <v>1140</v>
      </c>
      <c r="T36" s="50">
        <v>-100000</v>
      </c>
      <c r="U36" s="50" t="s">
        <v>1024</v>
      </c>
      <c r="V36" s="50" t="s">
        <v>1036</v>
      </c>
      <c r="W36" s="50"/>
      <c r="X36" s="116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>
        <v>46017</v>
      </c>
      <c r="O37" s="26">
        <v>0.40902777777777777</v>
      </c>
      <c r="P37" s="50" t="s">
        <v>1020</v>
      </c>
      <c r="Q37" s="50" t="s">
        <v>1026</v>
      </c>
      <c r="R37" s="50" t="s">
        <v>1141</v>
      </c>
      <c r="S37" s="50" t="s">
        <v>1142</v>
      </c>
      <c r="T37" s="50">
        <v>-130000</v>
      </c>
      <c r="U37" s="50" t="s">
        <v>1024</v>
      </c>
      <c r="V37" s="50" t="s">
        <v>1036</v>
      </c>
      <c r="W37" s="50"/>
      <c r="X37" s="116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-141310</v>
      </c>
      <c r="N38" s="25">
        <v>46017</v>
      </c>
      <c r="O38" s="26">
        <v>0.16805555555555557</v>
      </c>
      <c r="P38" s="50" t="s">
        <v>1073</v>
      </c>
      <c r="Q38" s="50" t="s">
        <v>1218</v>
      </c>
      <c r="R38" s="50" t="s">
        <v>1054</v>
      </c>
      <c r="S38" s="50" t="s">
        <v>1219</v>
      </c>
      <c r="T38" s="50">
        <v>919</v>
      </c>
      <c r="U38" s="50" t="s">
        <v>1024</v>
      </c>
      <c r="V38" s="50" t="s">
        <v>1216</v>
      </c>
      <c r="W38" s="50"/>
      <c r="X38" s="116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>
        <v>46016</v>
      </c>
      <c r="O39" s="26">
        <v>0.65486111111111112</v>
      </c>
      <c r="P39" s="50" t="s">
        <v>1020</v>
      </c>
      <c r="Q39" s="50" t="s">
        <v>1029</v>
      </c>
      <c r="R39" s="50" t="s">
        <v>1030</v>
      </c>
      <c r="S39" s="50" t="s">
        <v>1051</v>
      </c>
      <c r="T39" s="50">
        <v>-443300</v>
      </c>
      <c r="U39" s="50" t="s">
        <v>1024</v>
      </c>
      <c r="V39" s="50" t="s">
        <v>1036</v>
      </c>
      <c r="W39" s="50" t="s">
        <v>2148</v>
      </c>
      <c r="X39" s="116"/>
      <c r="Y39" s="6"/>
    </row>
    <row r="40" spans="3:25" x14ac:dyDescent="0.4">
      <c r="C40" s="94" t="s">
        <v>962</v>
      </c>
      <c r="D40" s="93"/>
      <c r="E40" s="20">
        <f>SUM(E32:E39)</f>
        <v>-445890</v>
      </c>
      <c r="N40" s="25">
        <v>46016</v>
      </c>
      <c r="O40" s="26">
        <v>0.16805555555555557</v>
      </c>
      <c r="P40" s="50" t="s">
        <v>1073</v>
      </c>
      <c r="Q40" s="50" t="s">
        <v>1218</v>
      </c>
      <c r="R40" s="50" t="s">
        <v>1054</v>
      </c>
      <c r="S40" s="50" t="s">
        <v>1219</v>
      </c>
      <c r="T40" s="50">
        <v>919</v>
      </c>
      <c r="U40" s="50" t="s">
        <v>1024</v>
      </c>
      <c r="V40" s="50" t="s">
        <v>1216</v>
      </c>
      <c r="W40" s="50"/>
      <c r="X40" s="116"/>
      <c r="Y40" s="6"/>
    </row>
    <row r="41" spans="3:25" x14ac:dyDescent="0.4">
      <c r="C41" s="4" t="s">
        <v>1</v>
      </c>
      <c r="D41" s="95" t="s">
        <v>1013</v>
      </c>
      <c r="E41" s="23">
        <f>SUMIFS($T$3:$T$235,$P$3:$P$235,"지출",$Q$3:$Q$235,C41,$R$3:$R$235,D41)</f>
        <v>0</v>
      </c>
      <c r="N41" s="25">
        <v>46015</v>
      </c>
      <c r="O41" s="26">
        <v>0.64166666666666672</v>
      </c>
      <c r="P41" s="50" t="s">
        <v>1020</v>
      </c>
      <c r="Q41" s="50" t="s">
        <v>1029</v>
      </c>
      <c r="R41" s="50" t="s">
        <v>1030</v>
      </c>
      <c r="S41" s="50" t="s">
        <v>1392</v>
      </c>
      <c r="T41" s="50">
        <v>-8800</v>
      </c>
      <c r="U41" s="50" t="s">
        <v>1024</v>
      </c>
      <c r="V41" s="50" t="s">
        <v>1099</v>
      </c>
      <c r="W41" s="50" t="s">
        <v>2149</v>
      </c>
      <c r="X41" s="116"/>
      <c r="Y41" s="6"/>
    </row>
    <row r="42" spans="3:25" x14ac:dyDescent="0.4">
      <c r="C42" s="4" t="s">
        <v>1</v>
      </c>
      <c r="D42" s="95" t="s">
        <v>954</v>
      </c>
      <c r="E42" s="23">
        <f>SUMIFS($T$3:$T$235,$P$3:$P$235,"지출",$Q$3:$Q$235,C42,$R$3:$R$235,D42)</f>
        <v>-42000</v>
      </c>
      <c r="N42" s="25">
        <v>46015</v>
      </c>
      <c r="O42" s="26">
        <v>0.56041666666666667</v>
      </c>
      <c r="P42" s="50" t="s">
        <v>1020</v>
      </c>
      <c r="Q42" s="50" t="s">
        <v>1026</v>
      </c>
      <c r="R42" s="50" t="s">
        <v>1105</v>
      </c>
      <c r="S42" s="50" t="s">
        <v>1105</v>
      </c>
      <c r="T42" s="50">
        <v>-263690</v>
      </c>
      <c r="U42" s="50" t="s">
        <v>1024</v>
      </c>
      <c r="V42" s="50" t="s">
        <v>1025</v>
      </c>
      <c r="W42" s="50"/>
      <c r="X42" s="116"/>
      <c r="Y42" s="6"/>
    </row>
    <row r="43" spans="3:25" x14ac:dyDescent="0.4">
      <c r="C43" s="4" t="s">
        <v>1</v>
      </c>
      <c r="D43" s="95" t="s">
        <v>1015</v>
      </c>
      <c r="E43" s="23">
        <f>SUMIFS($T$3:$T$235,$P$3:$P$235,"지출",$Q$3:$Q$235,C43,$R$3:$R$235,D43)</f>
        <v>-119910</v>
      </c>
      <c r="N43" s="25">
        <v>46015</v>
      </c>
      <c r="O43" s="26">
        <v>0.35138888888888886</v>
      </c>
      <c r="P43" s="50" t="s">
        <v>1053</v>
      </c>
      <c r="Q43" s="50" t="s">
        <v>1335</v>
      </c>
      <c r="R43" s="50" t="s">
        <v>1054</v>
      </c>
      <c r="S43" s="50" t="s">
        <v>2109</v>
      </c>
      <c r="T43" s="50">
        <v>35000</v>
      </c>
      <c r="U43" s="50" t="s">
        <v>1024</v>
      </c>
      <c r="V43" s="50" t="s">
        <v>1036</v>
      </c>
      <c r="W43" s="50"/>
      <c r="X43" s="116"/>
      <c r="Y43" s="6"/>
    </row>
    <row r="44" spans="3:25" x14ac:dyDescent="0.4">
      <c r="C44" s="4" t="s">
        <v>1</v>
      </c>
      <c r="D44" s="95" t="s">
        <v>5</v>
      </c>
      <c r="E44" s="23">
        <f>SUMIFS($T$3:$T$235,$P$3:$P$235,"지출",$Q$3:$Q$235,C44,$R$3:$R$235,D44)</f>
        <v>0</v>
      </c>
      <c r="N44" s="25">
        <v>46015</v>
      </c>
      <c r="O44" s="26">
        <v>0.25347222222222221</v>
      </c>
      <c r="P44" s="50" t="s">
        <v>1073</v>
      </c>
      <c r="Q44" s="50" t="s">
        <v>1117</v>
      </c>
      <c r="R44" s="50" t="s">
        <v>1054</v>
      </c>
      <c r="S44" s="50" t="s">
        <v>1118</v>
      </c>
      <c r="T44" s="50">
        <v>7954889</v>
      </c>
      <c r="U44" s="50" t="s">
        <v>1024</v>
      </c>
      <c r="V44" s="50" t="s">
        <v>1036</v>
      </c>
      <c r="W44" s="50"/>
      <c r="X44" s="116"/>
      <c r="Y44" s="6"/>
    </row>
    <row r="45" spans="3:25" x14ac:dyDescent="0.4">
      <c r="C45" s="94" t="s">
        <v>1016</v>
      </c>
      <c r="D45" s="93"/>
      <c r="E45" s="20">
        <f>SUM(E41:E44)</f>
        <v>-161910</v>
      </c>
      <c r="N45" s="25">
        <v>46015</v>
      </c>
      <c r="O45" s="26">
        <v>0.1673611111111111</v>
      </c>
      <c r="P45" s="50" t="s">
        <v>1073</v>
      </c>
      <c r="Q45" s="50" t="s">
        <v>1218</v>
      </c>
      <c r="R45" s="50" t="s">
        <v>1054</v>
      </c>
      <c r="S45" s="50" t="s">
        <v>1219</v>
      </c>
      <c r="T45" s="50">
        <v>919</v>
      </c>
      <c r="U45" s="50" t="s">
        <v>1024</v>
      </c>
      <c r="V45" s="50" t="s">
        <v>1216</v>
      </c>
      <c r="W45" s="50"/>
      <c r="X45" s="116"/>
      <c r="Y45" s="6"/>
    </row>
    <row r="46" spans="3:25" x14ac:dyDescent="0.4">
      <c r="C46" s="4" t="s">
        <v>2</v>
      </c>
      <c r="D46" s="95" t="s">
        <v>1013</v>
      </c>
      <c r="E46" s="23">
        <f>SUMIFS($T$3:$T$235,$P$3:$P$235,"지출",$Q$3:$Q$235,C46,$R$3:$R$235,D46)</f>
        <v>0</v>
      </c>
      <c r="N46" s="25">
        <v>46014</v>
      </c>
      <c r="O46" s="26">
        <v>0.81180555555555556</v>
      </c>
      <c r="P46" s="50" t="s">
        <v>1020</v>
      </c>
      <c r="Q46" s="50" t="s">
        <v>1026</v>
      </c>
      <c r="R46" s="50" t="s">
        <v>1115</v>
      </c>
      <c r="S46" s="50" t="s">
        <v>2110</v>
      </c>
      <c r="T46" s="50">
        <v>-14232</v>
      </c>
      <c r="U46" s="50" t="s">
        <v>1024</v>
      </c>
      <c r="V46" s="50" t="s">
        <v>1036</v>
      </c>
      <c r="W46" s="50"/>
      <c r="X46" s="116"/>
      <c r="Y46" s="6"/>
    </row>
    <row r="47" spans="3:25" x14ac:dyDescent="0.4">
      <c r="C47" s="4" t="s">
        <v>2</v>
      </c>
      <c r="D47" s="95" t="s">
        <v>954</v>
      </c>
      <c r="E47" s="23">
        <f>SUMIFS($T$3:$T$235,$P$3:$P$235,"지출",$Q$3:$Q$235,C47,$R$3:$R$235,D47)</f>
        <v>0</v>
      </c>
      <c r="N47" s="25">
        <v>46014</v>
      </c>
      <c r="O47" s="26">
        <v>0.79722222222222228</v>
      </c>
      <c r="P47" s="50" t="s">
        <v>1020</v>
      </c>
      <c r="Q47" s="50" t="s">
        <v>1029</v>
      </c>
      <c r="R47" s="50" t="s">
        <v>1030</v>
      </c>
      <c r="S47" s="50" t="s">
        <v>1031</v>
      </c>
      <c r="T47" s="50">
        <v>-11200</v>
      </c>
      <c r="U47" s="50" t="s">
        <v>1024</v>
      </c>
      <c r="V47" s="50" t="s">
        <v>1025</v>
      </c>
      <c r="W47" s="50" t="s">
        <v>2150</v>
      </c>
      <c r="X47" s="116"/>
      <c r="Y47" s="6"/>
    </row>
    <row r="48" spans="3:25" x14ac:dyDescent="0.4">
      <c r="C48" s="4" t="s">
        <v>2</v>
      </c>
      <c r="D48" s="95" t="s">
        <v>1015</v>
      </c>
      <c r="E48" s="23">
        <f>SUMIFS($T$3:$T$235,$P$3:$P$235,"지출",$Q$3:$Q$235,C48,$R$3:$R$235,D48)</f>
        <v>0</v>
      </c>
      <c r="N48" s="25">
        <v>46014</v>
      </c>
      <c r="O48" s="26">
        <v>0.42291666666666666</v>
      </c>
      <c r="P48" s="50" t="s">
        <v>1020</v>
      </c>
      <c r="Q48" s="50" t="s">
        <v>1021</v>
      </c>
      <c r="R48" s="50" t="s">
        <v>1295</v>
      </c>
      <c r="S48" s="50" t="s">
        <v>2111</v>
      </c>
      <c r="T48" s="50">
        <v>-16000</v>
      </c>
      <c r="U48" s="50" t="s">
        <v>1024</v>
      </c>
      <c r="V48" s="50" t="s">
        <v>1025</v>
      </c>
      <c r="W48" s="50"/>
      <c r="X48" s="116"/>
      <c r="Y48" s="6"/>
    </row>
    <row r="49" spans="1:25" x14ac:dyDescent="0.4">
      <c r="C49" s="4" t="s">
        <v>2</v>
      </c>
      <c r="D49" s="95" t="s">
        <v>5</v>
      </c>
      <c r="E49" s="23">
        <f>SUMIFS($T$3:$T$235,$P$3:$P$235,"지출",$Q$3:$Q$235,C49,$R$3:$R$235,D49)</f>
        <v>0</v>
      </c>
      <c r="N49" s="25">
        <v>46014</v>
      </c>
      <c r="O49" s="26">
        <v>0.14444444444444443</v>
      </c>
      <c r="P49" s="50" t="s">
        <v>1073</v>
      </c>
      <c r="Q49" s="50" t="s">
        <v>1218</v>
      </c>
      <c r="R49" s="50" t="s">
        <v>1054</v>
      </c>
      <c r="S49" s="50" t="s">
        <v>1219</v>
      </c>
      <c r="T49" s="50">
        <v>919</v>
      </c>
      <c r="U49" s="50" t="s">
        <v>1024</v>
      </c>
      <c r="V49" s="50" t="s">
        <v>1216</v>
      </c>
      <c r="W49" s="50"/>
      <c r="X49" s="116"/>
      <c r="Y49" s="6"/>
    </row>
    <row r="50" spans="1:25" x14ac:dyDescent="0.4">
      <c r="C50" s="94" t="s">
        <v>1017</v>
      </c>
      <c r="D50" s="93"/>
      <c r="E50" s="20">
        <f>SUM(E46:E49)</f>
        <v>0</v>
      </c>
      <c r="J50" s="53"/>
      <c r="K50" s="54"/>
      <c r="N50" s="25">
        <v>46013</v>
      </c>
      <c r="O50" s="26">
        <v>0.89236111111111116</v>
      </c>
      <c r="P50" s="50" t="s">
        <v>1020</v>
      </c>
      <c r="Q50" s="50" t="s">
        <v>1029</v>
      </c>
      <c r="R50" s="50" t="s">
        <v>1030</v>
      </c>
      <c r="S50" s="50" t="s">
        <v>1769</v>
      </c>
      <c r="T50" s="50">
        <v>-4500</v>
      </c>
      <c r="U50" s="50" t="s">
        <v>1024</v>
      </c>
      <c r="V50" s="50" t="s">
        <v>1025</v>
      </c>
      <c r="W50" s="50" t="s">
        <v>2151</v>
      </c>
      <c r="X50" s="116"/>
      <c r="Y50" s="6"/>
    </row>
    <row r="51" spans="1:25" ht="18" thickBot="1" x14ac:dyDescent="0.45">
      <c r="J51" s="53"/>
      <c r="K51" s="54"/>
      <c r="N51" s="25">
        <v>46013</v>
      </c>
      <c r="O51" s="26">
        <v>0.58680555555555558</v>
      </c>
      <c r="P51" s="50" t="s">
        <v>1020</v>
      </c>
      <c r="Q51" s="50" t="s">
        <v>1021</v>
      </c>
      <c r="R51" s="50" t="s">
        <v>1295</v>
      </c>
      <c r="S51" s="50" t="s">
        <v>2097</v>
      </c>
      <c r="T51" s="50">
        <v>-7200</v>
      </c>
      <c r="U51" s="50" t="s">
        <v>1024</v>
      </c>
      <c r="V51" s="50" t="s">
        <v>1025</v>
      </c>
      <c r="W51" s="50"/>
      <c r="X51" s="116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J52" s="96" t="s">
        <v>922</v>
      </c>
      <c r="K52" s="29">
        <f ca="1">INDIRECT(J1&amp;"!K53")</f>
        <v>35251100.06922999</v>
      </c>
      <c r="N52" s="25">
        <v>46013</v>
      </c>
      <c r="O52" s="26">
        <v>0.2</v>
      </c>
      <c r="P52" s="50" t="s">
        <v>1073</v>
      </c>
      <c r="Q52" s="50" t="s">
        <v>1218</v>
      </c>
      <c r="R52" s="50" t="s">
        <v>1054</v>
      </c>
      <c r="S52" s="50" t="s">
        <v>1219</v>
      </c>
      <c r="T52" s="50">
        <v>919</v>
      </c>
      <c r="U52" s="50" t="s">
        <v>1024</v>
      </c>
      <c r="V52" s="50" t="s">
        <v>1216</v>
      </c>
      <c r="W52" s="50"/>
      <c r="X52" s="116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J53" s="97" t="s">
        <v>921</v>
      </c>
      <c r="K53" s="29">
        <f>SUM(F54:F72)</f>
        <v>37085942.390770018</v>
      </c>
      <c r="N53" s="25">
        <v>46012</v>
      </c>
      <c r="O53" s="26">
        <v>0.69513888888888886</v>
      </c>
      <c r="P53" s="50" t="s">
        <v>1020</v>
      </c>
      <c r="Q53" s="50" t="s">
        <v>1029</v>
      </c>
      <c r="R53" s="50" t="s">
        <v>1070</v>
      </c>
      <c r="S53" s="50" t="s">
        <v>1120</v>
      </c>
      <c r="T53" s="50">
        <v>-18000</v>
      </c>
      <c r="U53" s="50" t="s">
        <v>1024</v>
      </c>
      <c r="V53" s="50" t="s">
        <v>1025</v>
      </c>
      <c r="W53" s="50" t="s">
        <v>2079</v>
      </c>
      <c r="X53" s="116"/>
      <c r="Y53" s="6"/>
    </row>
    <row r="54" spans="1:25" ht="18" thickBot="1" x14ac:dyDescent="0.45">
      <c r="C54" s="79" t="s">
        <v>991</v>
      </c>
      <c r="D54" s="50" t="s">
        <v>993</v>
      </c>
      <c r="E54" s="89">
        <v>46023</v>
      </c>
      <c r="F54" s="51">
        <v>8291939</v>
      </c>
      <c r="H54" s="109"/>
      <c r="J54" s="98" t="s">
        <v>907</v>
      </c>
      <c r="K54" s="30">
        <f ca="1">K53-K52</f>
        <v>1834842.3215400279</v>
      </c>
      <c r="N54" s="25">
        <v>46012</v>
      </c>
      <c r="O54" s="26">
        <v>0.19930555555555557</v>
      </c>
      <c r="P54" s="50" t="s">
        <v>1073</v>
      </c>
      <c r="Q54" s="50" t="s">
        <v>1218</v>
      </c>
      <c r="R54" s="50" t="s">
        <v>1054</v>
      </c>
      <c r="S54" s="50" t="s">
        <v>1219</v>
      </c>
      <c r="T54" s="50">
        <v>919</v>
      </c>
      <c r="U54" s="50" t="s">
        <v>1024</v>
      </c>
      <c r="V54" s="50" t="s">
        <v>1216</v>
      </c>
      <c r="W54" s="50"/>
      <c r="X54" s="116"/>
      <c r="Y54" s="6"/>
    </row>
    <row r="55" spans="1:25" x14ac:dyDescent="0.4">
      <c r="C55" s="83"/>
      <c r="D55" s="50" t="s">
        <v>994</v>
      </c>
      <c r="E55" s="89">
        <v>46023</v>
      </c>
      <c r="F55" s="51">
        <v>28157607</v>
      </c>
      <c r="H55" s="109"/>
      <c r="I55" s="53"/>
      <c r="J55" s="53"/>
      <c r="K55" s="54"/>
      <c r="N55" s="25">
        <v>46011</v>
      </c>
      <c r="O55" s="26">
        <v>0.65208333333333335</v>
      </c>
      <c r="P55" s="50" t="s">
        <v>1020</v>
      </c>
      <c r="Q55" s="50" t="s">
        <v>1029</v>
      </c>
      <c r="R55" s="50" t="s">
        <v>1045</v>
      </c>
      <c r="S55" s="50" t="s">
        <v>1031</v>
      </c>
      <c r="T55" s="50">
        <v>-23780</v>
      </c>
      <c r="U55" s="50" t="s">
        <v>1024</v>
      </c>
      <c r="V55" s="50" t="s">
        <v>1025</v>
      </c>
      <c r="W55" s="50" t="s">
        <v>2152</v>
      </c>
      <c r="X55" s="116"/>
      <c r="Y55" s="6"/>
    </row>
    <row r="56" spans="1:25" x14ac:dyDescent="0.4">
      <c r="C56" s="83"/>
      <c r="D56" s="84" t="s">
        <v>1268</v>
      </c>
      <c r="E56" s="89">
        <v>46023</v>
      </c>
      <c r="F56" s="107">
        <v>10000000</v>
      </c>
      <c r="H56" s="109"/>
      <c r="I56" s="53"/>
      <c r="J56" s="53"/>
      <c r="K56" s="54"/>
      <c r="N56" s="25">
        <v>46011</v>
      </c>
      <c r="O56" s="26">
        <v>0.4597222222222222</v>
      </c>
      <c r="P56" s="50" t="s">
        <v>1020</v>
      </c>
      <c r="Q56" s="50" t="s">
        <v>1029</v>
      </c>
      <c r="R56" s="50" t="s">
        <v>1070</v>
      </c>
      <c r="S56" s="50" t="s">
        <v>1071</v>
      </c>
      <c r="T56" s="50">
        <v>-21500</v>
      </c>
      <c r="U56" s="50" t="s">
        <v>1024</v>
      </c>
      <c r="V56" s="50" t="s">
        <v>1025</v>
      </c>
      <c r="W56" s="50" t="s">
        <v>2153</v>
      </c>
      <c r="X56" s="116"/>
      <c r="Y56" s="6"/>
    </row>
    <row r="57" spans="1:25" x14ac:dyDescent="0.4">
      <c r="C57" s="80"/>
      <c r="D57" s="84"/>
      <c r="E57" s="89"/>
      <c r="F57" s="51"/>
      <c r="H57" s="52"/>
      <c r="I57" s="53"/>
      <c r="J57" s="53"/>
      <c r="K57" s="54"/>
      <c r="N57" s="25">
        <v>46011</v>
      </c>
      <c r="O57" s="26">
        <v>0.39305555555555555</v>
      </c>
      <c r="P57" s="50" t="s">
        <v>1020</v>
      </c>
      <c r="Q57" s="50" t="s">
        <v>1022</v>
      </c>
      <c r="R57" s="50" t="s">
        <v>1313</v>
      </c>
      <c r="S57" s="50" t="s">
        <v>1031</v>
      </c>
      <c r="T57" s="50">
        <v>-65490</v>
      </c>
      <c r="U57" s="50" t="s">
        <v>1024</v>
      </c>
      <c r="V57" s="50" t="s">
        <v>1025</v>
      </c>
      <c r="W57" s="50" t="s">
        <v>2152</v>
      </c>
      <c r="X57" s="116"/>
      <c r="Y57" s="6"/>
    </row>
    <row r="58" spans="1:25" x14ac:dyDescent="0.4">
      <c r="C58" s="81" t="s">
        <v>992</v>
      </c>
      <c r="D58" s="99" t="s">
        <v>1005</v>
      </c>
      <c r="E58" s="89">
        <v>46023</v>
      </c>
      <c r="F58" s="104">
        <v>0</v>
      </c>
      <c r="H58" s="109"/>
      <c r="I58" s="53"/>
      <c r="J58" s="53"/>
      <c r="K58" s="54"/>
      <c r="N58" s="25">
        <v>46011</v>
      </c>
      <c r="O58" s="26">
        <v>0.20069444444444445</v>
      </c>
      <c r="P58" s="50" t="s">
        <v>1073</v>
      </c>
      <c r="Q58" s="50" t="s">
        <v>1218</v>
      </c>
      <c r="R58" s="50" t="s">
        <v>1054</v>
      </c>
      <c r="S58" s="50" t="s">
        <v>1219</v>
      </c>
      <c r="T58" s="50">
        <v>919</v>
      </c>
      <c r="U58" s="50" t="s">
        <v>1024</v>
      </c>
      <c r="V58" s="50" t="s">
        <v>1216</v>
      </c>
      <c r="W58" s="50"/>
      <c r="X58" s="116"/>
      <c r="Y58" s="6"/>
    </row>
    <row r="59" spans="1:25" x14ac:dyDescent="0.4">
      <c r="C59" s="79" t="s">
        <v>969</v>
      </c>
      <c r="D59" s="50" t="s">
        <v>989</v>
      </c>
      <c r="E59" s="89">
        <v>46023</v>
      </c>
      <c r="F59" s="51">
        <v>93285</v>
      </c>
      <c r="H59" s="109"/>
      <c r="I59" s="53"/>
      <c r="J59" s="53"/>
      <c r="K59" s="54"/>
      <c r="N59" s="25">
        <v>46010</v>
      </c>
      <c r="O59" s="26">
        <v>0.77013888888888893</v>
      </c>
      <c r="P59" s="50" t="s">
        <v>1020</v>
      </c>
      <c r="Q59" s="50" t="s">
        <v>1047</v>
      </c>
      <c r="R59" s="50" t="s">
        <v>1177</v>
      </c>
      <c r="S59" s="50" t="s">
        <v>2112</v>
      </c>
      <c r="T59" s="50">
        <v>-17000</v>
      </c>
      <c r="U59" s="50" t="s">
        <v>1024</v>
      </c>
      <c r="V59" s="50" t="s">
        <v>1025</v>
      </c>
      <c r="W59" s="50" t="s">
        <v>2154</v>
      </c>
      <c r="X59" s="116"/>
      <c r="Y59" s="6"/>
    </row>
    <row r="60" spans="1:25" x14ac:dyDescent="0.4">
      <c r="C60" s="83"/>
      <c r="D60" s="50" t="s">
        <v>990</v>
      </c>
      <c r="E60" s="89">
        <v>46023</v>
      </c>
      <c r="F60" s="51">
        <v>47150</v>
      </c>
      <c r="H60" s="109"/>
      <c r="I60" s="53"/>
      <c r="J60" s="53"/>
      <c r="K60" s="54"/>
      <c r="N60" s="25">
        <v>46010</v>
      </c>
      <c r="O60" s="26">
        <v>0.75416666666666665</v>
      </c>
      <c r="P60" s="50" t="s">
        <v>1020</v>
      </c>
      <c r="Q60" s="50" t="s">
        <v>1047</v>
      </c>
      <c r="R60" s="50" t="s">
        <v>1063</v>
      </c>
      <c r="S60" s="50" t="s">
        <v>2113</v>
      </c>
      <c r="T60" s="50">
        <v>-21280</v>
      </c>
      <c r="U60" s="50" t="s">
        <v>1024</v>
      </c>
      <c r="V60" s="50" t="s">
        <v>1025</v>
      </c>
      <c r="W60" s="50" t="s">
        <v>2155</v>
      </c>
      <c r="X60" s="116"/>
      <c r="Y60" s="6"/>
    </row>
    <row r="61" spans="1:25" x14ac:dyDescent="0.4">
      <c r="C61" s="83"/>
      <c r="D61" s="50" t="s">
        <v>946</v>
      </c>
      <c r="E61" s="89">
        <v>46023</v>
      </c>
      <c r="F61" s="51">
        <v>0</v>
      </c>
      <c r="H61" s="109"/>
      <c r="I61" s="53"/>
      <c r="J61" s="53"/>
      <c r="K61" s="54"/>
      <c r="N61" s="25">
        <v>46010</v>
      </c>
      <c r="O61" s="26">
        <v>0.72916666666666663</v>
      </c>
      <c r="P61" s="50" t="s">
        <v>1020</v>
      </c>
      <c r="Q61" s="50" t="s">
        <v>1029</v>
      </c>
      <c r="R61" s="50" t="s">
        <v>1070</v>
      </c>
      <c r="S61" s="50" t="s">
        <v>2068</v>
      </c>
      <c r="T61" s="50">
        <v>-22000</v>
      </c>
      <c r="U61" s="50" t="s">
        <v>1024</v>
      </c>
      <c r="V61" s="50" t="s">
        <v>1025</v>
      </c>
      <c r="W61" s="50" t="s">
        <v>2156</v>
      </c>
      <c r="X61" s="116"/>
      <c r="Y61" s="6"/>
    </row>
    <row r="62" spans="1:25" x14ac:dyDescent="0.4">
      <c r="C62" s="83"/>
      <c r="D62" s="50" t="s">
        <v>995</v>
      </c>
      <c r="E62" s="89">
        <v>46023</v>
      </c>
      <c r="F62" s="101">
        <v>11000000</v>
      </c>
      <c r="H62" s="109"/>
      <c r="I62" s="53"/>
      <c r="J62" s="53"/>
      <c r="K62" s="54"/>
      <c r="N62" s="25">
        <v>46010</v>
      </c>
      <c r="O62" s="26">
        <v>0.7006944444444444</v>
      </c>
      <c r="P62" s="50" t="s">
        <v>1020</v>
      </c>
      <c r="Q62" s="50" t="s">
        <v>1042</v>
      </c>
      <c r="R62" s="50" t="s">
        <v>1043</v>
      </c>
      <c r="S62" s="50" t="s">
        <v>2114</v>
      </c>
      <c r="T62" s="50">
        <v>-6000</v>
      </c>
      <c r="U62" s="50" t="s">
        <v>1024</v>
      </c>
      <c r="V62" s="50" t="s">
        <v>1025</v>
      </c>
      <c r="W62" s="50" t="s">
        <v>2157</v>
      </c>
      <c r="X62" s="116"/>
      <c r="Y62" s="6"/>
    </row>
    <row r="63" spans="1:25" x14ac:dyDescent="0.4">
      <c r="C63" s="80"/>
      <c r="D63" s="50" t="s">
        <v>1004</v>
      </c>
      <c r="E63" s="89">
        <v>46023</v>
      </c>
      <c r="F63" s="51">
        <v>474800</v>
      </c>
      <c r="H63" s="109"/>
      <c r="I63" s="53"/>
      <c r="J63" s="53"/>
      <c r="K63" s="54"/>
      <c r="N63" s="25">
        <v>46010</v>
      </c>
      <c r="O63" s="26">
        <v>0.59444444444444444</v>
      </c>
      <c r="P63" s="50" t="s">
        <v>1073</v>
      </c>
      <c r="Q63" s="50" t="s">
        <v>1074</v>
      </c>
      <c r="R63" s="50" t="s">
        <v>1054</v>
      </c>
      <c r="S63" s="50" t="s">
        <v>1075</v>
      </c>
      <c r="T63" s="50">
        <v>55199</v>
      </c>
      <c r="U63" s="50" t="s">
        <v>1024</v>
      </c>
      <c r="V63" s="50" t="s">
        <v>1036</v>
      </c>
      <c r="W63" s="50"/>
      <c r="X63" s="116"/>
      <c r="Y63" s="6"/>
    </row>
    <row r="64" spans="1:25" x14ac:dyDescent="0.4">
      <c r="C64" s="79" t="s">
        <v>1001</v>
      </c>
      <c r="D64" s="50" t="s">
        <v>1795</v>
      </c>
      <c r="E64" s="89">
        <v>46023</v>
      </c>
      <c r="F64" s="51">
        <v>78313719.207000002</v>
      </c>
      <c r="H64" s="109"/>
      <c r="I64" s="53"/>
      <c r="J64" s="53"/>
      <c r="K64" s="54"/>
      <c r="N64" s="25">
        <v>46010</v>
      </c>
      <c r="O64" s="26">
        <v>0.20069444444444445</v>
      </c>
      <c r="P64" s="50" t="s">
        <v>1073</v>
      </c>
      <c r="Q64" s="50" t="s">
        <v>1218</v>
      </c>
      <c r="R64" s="50" t="s">
        <v>1054</v>
      </c>
      <c r="S64" s="50" t="s">
        <v>1219</v>
      </c>
      <c r="T64" s="50">
        <v>919</v>
      </c>
      <c r="U64" s="50" t="s">
        <v>1024</v>
      </c>
      <c r="V64" s="50" t="s">
        <v>1216</v>
      </c>
      <c r="W64" s="50"/>
      <c r="X64" s="116"/>
      <c r="Y64" s="6"/>
    </row>
    <row r="65" spans="1:25" x14ac:dyDescent="0.4">
      <c r="C65" s="83"/>
      <c r="D65" s="84"/>
      <c r="E65" s="102"/>
      <c r="F65" s="103"/>
      <c r="H65" s="52"/>
      <c r="I65" s="53"/>
      <c r="J65" s="53"/>
      <c r="K65" s="54"/>
      <c r="N65" s="25">
        <v>46010</v>
      </c>
      <c r="O65" s="26">
        <v>0.11180555555555556</v>
      </c>
      <c r="P65" s="50" t="s">
        <v>1020</v>
      </c>
      <c r="Q65" s="50" t="s">
        <v>1026</v>
      </c>
      <c r="R65" s="50" t="s">
        <v>1093</v>
      </c>
      <c r="S65" s="50" t="s">
        <v>1094</v>
      </c>
      <c r="T65" s="50">
        <v>-22000</v>
      </c>
      <c r="U65" s="50" t="s">
        <v>1024</v>
      </c>
      <c r="V65" s="50" t="s">
        <v>1025</v>
      </c>
      <c r="W65" s="50"/>
      <c r="X65" s="116"/>
      <c r="Y65" s="6"/>
    </row>
    <row r="66" spans="1:25" x14ac:dyDescent="0.4">
      <c r="C66" s="83"/>
      <c r="D66" s="84" t="s">
        <v>1158</v>
      </c>
      <c r="E66" s="89">
        <v>46023</v>
      </c>
      <c r="F66" s="51">
        <v>45659270.219899997</v>
      </c>
      <c r="H66" s="109"/>
      <c r="I66" s="53"/>
      <c r="J66" s="53"/>
      <c r="K66" s="54"/>
      <c r="N66" s="25">
        <v>46010</v>
      </c>
      <c r="O66" s="26">
        <v>0.11180555555555556</v>
      </c>
      <c r="P66" s="50" t="s">
        <v>1020</v>
      </c>
      <c r="Q66" s="50" t="s">
        <v>1026</v>
      </c>
      <c r="R66" s="50" t="s">
        <v>1093</v>
      </c>
      <c r="S66" s="50" t="s">
        <v>1095</v>
      </c>
      <c r="T66" s="50">
        <v>-41690</v>
      </c>
      <c r="U66" s="50" t="s">
        <v>1024</v>
      </c>
      <c r="V66" s="50" t="s">
        <v>1025</v>
      </c>
      <c r="W66" s="50"/>
      <c r="X66" s="116"/>
      <c r="Y66" s="6"/>
    </row>
    <row r="67" spans="1:25" x14ac:dyDescent="0.4">
      <c r="C67" s="83"/>
      <c r="D67" s="84" t="s">
        <v>1159</v>
      </c>
      <c r="E67" s="89">
        <v>46023</v>
      </c>
      <c r="F67" s="51">
        <v>95985</v>
      </c>
      <c r="H67" s="109"/>
      <c r="I67" s="53"/>
      <c r="J67" s="53"/>
      <c r="K67" s="54"/>
      <c r="N67" s="25">
        <v>46009</v>
      </c>
      <c r="O67" s="26">
        <v>0.4</v>
      </c>
      <c r="P67" s="50" t="s">
        <v>1020</v>
      </c>
      <c r="Q67" s="50" t="s">
        <v>1021</v>
      </c>
      <c r="R67" s="50" t="s">
        <v>1295</v>
      </c>
      <c r="S67" s="50" t="s">
        <v>2115</v>
      </c>
      <c r="T67" s="50">
        <v>-14100</v>
      </c>
      <c r="U67" s="50" t="s">
        <v>1024</v>
      </c>
      <c r="V67" s="50" t="s">
        <v>1025</v>
      </c>
      <c r="W67" s="50"/>
      <c r="X67" s="116"/>
      <c r="Y67" s="6"/>
    </row>
    <row r="68" spans="1:25" x14ac:dyDescent="0.4">
      <c r="C68" s="80"/>
      <c r="D68" s="50" t="s">
        <v>1007</v>
      </c>
      <c r="E68" s="89">
        <v>46023</v>
      </c>
      <c r="F68" s="51">
        <v>1006648.96387</v>
      </c>
      <c r="H68" s="109"/>
      <c r="I68" s="53"/>
      <c r="J68" s="53"/>
      <c r="K68" s="54"/>
      <c r="N68" s="25">
        <v>46009</v>
      </c>
      <c r="O68" s="26">
        <v>0.16319444444444445</v>
      </c>
      <c r="P68" s="50" t="s">
        <v>1073</v>
      </c>
      <c r="Q68" s="50" t="s">
        <v>1218</v>
      </c>
      <c r="R68" s="50" t="s">
        <v>1054</v>
      </c>
      <c r="S68" s="50" t="s">
        <v>1219</v>
      </c>
      <c r="T68" s="50">
        <v>919</v>
      </c>
      <c r="U68" s="50" t="s">
        <v>1024</v>
      </c>
      <c r="V68" s="50" t="s">
        <v>1216</v>
      </c>
      <c r="W68" s="50"/>
      <c r="X68" s="116"/>
      <c r="Y68" s="6"/>
    </row>
    <row r="69" spans="1:25" x14ac:dyDescent="0.4">
      <c r="C69" s="79" t="s">
        <v>1002</v>
      </c>
      <c r="D69" s="50" t="s">
        <v>999</v>
      </c>
      <c r="E69" s="89">
        <v>45962</v>
      </c>
      <c r="F69" s="51">
        <v>3644374</v>
      </c>
      <c r="H69" s="109"/>
      <c r="I69" s="53"/>
      <c r="J69" s="53"/>
      <c r="K69" s="54"/>
      <c r="N69" s="25">
        <v>46008</v>
      </c>
      <c r="O69" s="26">
        <v>0.97083333333333333</v>
      </c>
      <c r="P69" s="50" t="s">
        <v>1020</v>
      </c>
      <c r="Q69" s="50" t="s">
        <v>1021</v>
      </c>
      <c r="R69" s="50" t="s">
        <v>1022</v>
      </c>
      <c r="S69" s="50" t="s">
        <v>2116</v>
      </c>
      <c r="T69" s="50">
        <v>-42000</v>
      </c>
      <c r="U69" s="50" t="s">
        <v>1024</v>
      </c>
      <c r="V69" s="50" t="s">
        <v>1025</v>
      </c>
      <c r="W69" s="50" t="s">
        <v>2158</v>
      </c>
      <c r="X69" s="116"/>
      <c r="Y69" s="6"/>
    </row>
    <row r="70" spans="1:25" x14ac:dyDescent="0.4">
      <c r="C70" s="80"/>
      <c r="D70" s="50" t="s">
        <v>1000</v>
      </c>
      <c r="E70" s="89">
        <v>45962</v>
      </c>
      <c r="F70" s="51">
        <v>1967879</v>
      </c>
      <c r="H70" s="109"/>
      <c r="I70" s="53"/>
      <c r="J70" s="53"/>
      <c r="K70" s="54"/>
      <c r="N70" s="25">
        <v>46008</v>
      </c>
      <c r="O70" s="26">
        <v>0.16458333333333333</v>
      </c>
      <c r="P70" s="50" t="s">
        <v>1073</v>
      </c>
      <c r="Q70" s="50" t="s">
        <v>1218</v>
      </c>
      <c r="R70" s="50" t="s">
        <v>1054</v>
      </c>
      <c r="S70" s="50" t="s">
        <v>1219</v>
      </c>
      <c r="T70" s="50">
        <v>1053</v>
      </c>
      <c r="U70" s="50" t="s">
        <v>1024</v>
      </c>
      <c r="V70" s="50" t="s">
        <v>1216</v>
      </c>
      <c r="W70" s="50"/>
      <c r="X70" s="116"/>
      <c r="Y70" s="6"/>
    </row>
    <row r="71" spans="1:25" x14ac:dyDescent="0.4">
      <c r="C71" s="80" t="s">
        <v>1796</v>
      </c>
      <c r="D71" s="50" t="s">
        <v>911</v>
      </c>
      <c r="E71" s="89" t="s">
        <v>1797</v>
      </c>
      <c r="F71" s="108">
        <v>-151666715</v>
      </c>
      <c r="H71" s="52"/>
      <c r="I71" s="53"/>
      <c r="J71" s="53"/>
      <c r="K71" s="54"/>
      <c r="N71" s="25">
        <v>46007</v>
      </c>
      <c r="O71" s="26">
        <v>0.77708333333333335</v>
      </c>
      <c r="P71" s="50" t="s">
        <v>1020</v>
      </c>
      <c r="Q71" s="50" t="s">
        <v>1029</v>
      </c>
      <c r="R71" s="50" t="s">
        <v>1030</v>
      </c>
      <c r="S71" s="50" t="s">
        <v>1031</v>
      </c>
      <c r="T71" s="50">
        <v>-17960</v>
      </c>
      <c r="U71" s="50" t="s">
        <v>1024</v>
      </c>
      <c r="V71" s="50" t="s">
        <v>1025</v>
      </c>
      <c r="W71" s="50" t="s">
        <v>2159</v>
      </c>
      <c r="X71" s="116"/>
      <c r="Y71" s="6"/>
    </row>
    <row r="72" spans="1:25" x14ac:dyDescent="0.4">
      <c r="C72" s="82"/>
      <c r="D72" s="53"/>
      <c r="E72" s="53"/>
      <c r="F72" s="54"/>
      <c r="H72" s="52"/>
      <c r="I72" s="53"/>
      <c r="J72" s="53"/>
      <c r="K72" s="54"/>
      <c r="N72" s="25">
        <v>46007</v>
      </c>
      <c r="O72" s="26">
        <v>0.16388888888888889</v>
      </c>
      <c r="P72" s="50" t="s">
        <v>1073</v>
      </c>
      <c r="Q72" s="50" t="s">
        <v>1218</v>
      </c>
      <c r="R72" s="50" t="s">
        <v>1054</v>
      </c>
      <c r="S72" s="50" t="s">
        <v>1219</v>
      </c>
      <c r="T72" s="50">
        <v>1053</v>
      </c>
      <c r="U72" s="50" t="s">
        <v>1024</v>
      </c>
      <c r="V72" s="50" t="s">
        <v>1216</v>
      </c>
      <c r="W72" s="50"/>
      <c r="X72" s="116"/>
      <c r="Y72" s="6"/>
    </row>
    <row r="73" spans="1:25" x14ac:dyDescent="0.4">
      <c r="A73" s="3" t="s">
        <v>926</v>
      </c>
      <c r="H73" s="52"/>
      <c r="I73" s="53"/>
      <c r="J73" s="53"/>
      <c r="K73" s="54"/>
      <c r="N73" s="25">
        <v>46006</v>
      </c>
      <c r="O73" s="26">
        <v>0.91249999999999998</v>
      </c>
      <c r="P73" s="50" t="s">
        <v>1020</v>
      </c>
      <c r="Q73" s="50" t="s">
        <v>1047</v>
      </c>
      <c r="R73" s="50" t="s">
        <v>1048</v>
      </c>
      <c r="S73" s="50" t="s">
        <v>2117</v>
      </c>
      <c r="T73" s="50">
        <v>-16200</v>
      </c>
      <c r="U73" s="50" t="s">
        <v>1024</v>
      </c>
      <c r="V73" s="50" t="s">
        <v>1025</v>
      </c>
      <c r="W73" s="50" t="s">
        <v>2160</v>
      </c>
      <c r="X73" s="116"/>
      <c r="Y73" s="6"/>
    </row>
    <row r="74" spans="1:25" ht="18" thickBot="1" x14ac:dyDescent="0.45">
      <c r="A74" s="31" t="s">
        <v>900</v>
      </c>
      <c r="B74" s="31" t="s">
        <v>901</v>
      </c>
      <c r="C74" s="61" t="s">
        <v>22</v>
      </c>
      <c r="D74" s="62"/>
      <c r="E74" s="31" t="s">
        <v>977</v>
      </c>
      <c r="F74" s="31" t="s">
        <v>981</v>
      </c>
      <c r="G74" s="31" t="s">
        <v>945</v>
      </c>
      <c r="H74" s="60" t="s">
        <v>0</v>
      </c>
      <c r="I74" s="31" t="s">
        <v>980</v>
      </c>
      <c r="J74" s="53"/>
      <c r="K74" s="54"/>
      <c r="N74" s="25">
        <v>46006</v>
      </c>
      <c r="O74" s="26">
        <v>0.90069444444444446</v>
      </c>
      <c r="P74" s="50" t="s">
        <v>1020</v>
      </c>
      <c r="Q74" s="50" t="s">
        <v>1026</v>
      </c>
      <c r="R74" s="50" t="s">
        <v>1151</v>
      </c>
      <c r="S74" s="50" t="s">
        <v>1639</v>
      </c>
      <c r="T74" s="50">
        <v>-10000</v>
      </c>
      <c r="U74" s="50" t="s">
        <v>1024</v>
      </c>
      <c r="V74" s="50" t="s">
        <v>1025</v>
      </c>
      <c r="W74" s="50"/>
      <c r="X74" s="116"/>
      <c r="Y74" s="6"/>
    </row>
    <row r="75" spans="1:25" ht="18" thickTop="1" x14ac:dyDescent="0.4">
      <c r="A75" s="7">
        <f>$L$1</f>
        <v>202512</v>
      </c>
      <c r="B75" s="7">
        <v>1</v>
      </c>
      <c r="C75" s="69" t="s">
        <v>4</v>
      </c>
      <c r="D75" s="70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5543000</v>
      </c>
      <c r="F75" s="41">
        <f t="shared" ref="F75:F80" ca="1" si="11">INDIRECT($J$1&amp;"!H"&amp;ROW())</f>
        <v>5582614</v>
      </c>
      <c r="G75" s="41">
        <f t="shared" ref="G75:G80" ca="1" si="12">H75-F75</f>
        <v>2372275</v>
      </c>
      <c r="H75" s="58">
        <f t="shared" ref="H75:H80" si="13">SUMIFS($T$3:$T$235,$P$3:$P$235,"수입",$Q$3:$Q$235,C75)</f>
        <v>7954889</v>
      </c>
      <c r="I75" s="43">
        <f t="shared" ref="I75:I80" si="14">H75-E75</f>
        <v>2411889</v>
      </c>
      <c r="N75" s="25">
        <v>46006</v>
      </c>
      <c r="O75" s="26">
        <v>0.43888888888888888</v>
      </c>
      <c r="P75" s="50" t="s">
        <v>1020</v>
      </c>
      <c r="Q75" s="50" t="s">
        <v>1021</v>
      </c>
      <c r="R75" s="50" t="s">
        <v>1295</v>
      </c>
      <c r="S75" s="50" t="s">
        <v>2097</v>
      </c>
      <c r="T75" s="50">
        <v>-7200</v>
      </c>
      <c r="U75" s="50" t="s">
        <v>1024</v>
      </c>
      <c r="V75" s="50" t="s">
        <v>1025</v>
      </c>
      <c r="W75" s="50"/>
      <c r="X75" s="116"/>
      <c r="Y75" s="6"/>
    </row>
    <row r="76" spans="1:25" x14ac:dyDescent="0.4">
      <c r="A76" s="4">
        <f t="shared" ref="A76:A80" si="15">$L$1</f>
        <v>202512</v>
      </c>
      <c r="B76" s="4">
        <f>B75+1</f>
        <v>2</v>
      </c>
      <c r="C76" s="74" t="s">
        <v>975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55199</v>
      </c>
      <c r="F76" s="41">
        <f t="shared" ca="1" si="11"/>
        <v>55199</v>
      </c>
      <c r="G76" s="41">
        <f t="shared" ca="1" si="12"/>
        <v>0</v>
      </c>
      <c r="H76" s="58">
        <f t="shared" si="13"/>
        <v>55199</v>
      </c>
      <c r="I76" s="43">
        <f t="shared" si="14"/>
        <v>0</v>
      </c>
      <c r="N76" s="25">
        <v>46006</v>
      </c>
      <c r="O76" s="26">
        <v>0.28611111111111109</v>
      </c>
      <c r="P76" s="50" t="s">
        <v>1020</v>
      </c>
      <c r="Q76" s="50" t="s">
        <v>1047</v>
      </c>
      <c r="R76" s="50" t="s">
        <v>1048</v>
      </c>
      <c r="S76" s="50" t="s">
        <v>2118</v>
      </c>
      <c r="T76" s="50">
        <v>-36500</v>
      </c>
      <c r="U76" s="50" t="s">
        <v>1024</v>
      </c>
      <c r="V76" s="50" t="s">
        <v>1297</v>
      </c>
      <c r="W76" s="50" t="s">
        <v>2161</v>
      </c>
      <c r="X76" s="116"/>
      <c r="Y76" s="6"/>
    </row>
    <row r="77" spans="1:25" x14ac:dyDescent="0.4">
      <c r="A77" s="4">
        <f t="shared" si="15"/>
        <v>202512</v>
      </c>
      <c r="B77" s="4">
        <f>B76+1</f>
        <v>3</v>
      </c>
      <c r="C77" s="74" t="s">
        <v>11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t="shared" ca="1" si="11"/>
        <v>0</v>
      </c>
      <c r="G77" s="41">
        <f t="shared" ca="1" si="12"/>
        <v>0</v>
      </c>
      <c r="H77" s="58">
        <f t="shared" si="13"/>
        <v>0</v>
      </c>
      <c r="I77" s="43">
        <f t="shared" si="14"/>
        <v>0</v>
      </c>
      <c r="N77" s="25">
        <v>46006</v>
      </c>
      <c r="O77" s="26">
        <v>0.18263888888888888</v>
      </c>
      <c r="P77" s="50" t="s">
        <v>1073</v>
      </c>
      <c r="Q77" s="50" t="s">
        <v>1218</v>
      </c>
      <c r="R77" s="50" t="s">
        <v>1054</v>
      </c>
      <c r="S77" s="50" t="s">
        <v>1219</v>
      </c>
      <c r="T77" s="50">
        <v>1053</v>
      </c>
      <c r="U77" s="50" t="s">
        <v>1024</v>
      </c>
      <c r="V77" s="50" t="s">
        <v>1216</v>
      </c>
      <c r="W77" s="50"/>
      <c r="X77" s="116"/>
      <c r="Y77" s="6"/>
    </row>
    <row r="78" spans="1:25" x14ac:dyDescent="0.4">
      <c r="A78" s="4">
        <f t="shared" si="15"/>
        <v>202512</v>
      </c>
      <c r="B78" s="4">
        <f>B77+1</f>
        <v>4</v>
      </c>
      <c r="C78" s="74" t="s">
        <v>976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t="shared" ca="1" si="11"/>
        <v>32783</v>
      </c>
      <c r="G78" s="41">
        <f t="shared" ca="1" si="12"/>
        <v>-1953</v>
      </c>
      <c r="H78" s="58">
        <f t="shared" si="13"/>
        <v>30830</v>
      </c>
      <c r="I78" s="43">
        <f t="shared" si="14"/>
        <v>30830</v>
      </c>
      <c r="N78" s="25">
        <v>46005</v>
      </c>
      <c r="O78" s="26">
        <v>0.7583333333333333</v>
      </c>
      <c r="P78" s="50" t="s">
        <v>1020</v>
      </c>
      <c r="Q78" s="50" t="s">
        <v>1029</v>
      </c>
      <c r="R78" s="50" t="s">
        <v>1030</v>
      </c>
      <c r="S78" s="50" t="s">
        <v>1769</v>
      </c>
      <c r="T78" s="50">
        <v>-3000</v>
      </c>
      <c r="U78" s="50" t="s">
        <v>1024</v>
      </c>
      <c r="V78" s="50" t="s">
        <v>1025</v>
      </c>
      <c r="W78" s="50"/>
      <c r="X78" s="116"/>
      <c r="Y78" s="6"/>
    </row>
    <row r="79" spans="1:25" x14ac:dyDescent="0.4">
      <c r="A79" s="4">
        <f t="shared" si="15"/>
        <v>202512</v>
      </c>
      <c r="B79" s="4">
        <f>B78+1</f>
        <v>5</v>
      </c>
      <c r="C79" s="74" t="s">
        <v>5</v>
      </c>
      <c r="D79" s="75"/>
      <c r="E79" s="23">
        <f>SUMIFS('수입&amp;예산'!$C$4:$C$11,'수입&amp;예산'!$A$4:$A$11,C79,'수입&amp;예산'!$D$4:$D$11,"M")*10000+SUMIFS('수입&amp;예산'!$C$4:$C$11,'수입&amp;예산'!$A$4:$A$11,C79,'수입&amp;예산'!$D$4:$D$11,"Y",'수입&amp;예산'!$E$4:$E$11,$L$1)*10000</f>
        <v>0</v>
      </c>
      <c r="F79" s="41">
        <f t="shared" ca="1" si="11"/>
        <v>0</v>
      </c>
      <c r="G79" s="41">
        <f t="shared" ca="1" si="12"/>
        <v>0</v>
      </c>
      <c r="H79" s="58">
        <f t="shared" si="13"/>
        <v>0</v>
      </c>
      <c r="I79" s="43">
        <f t="shared" si="14"/>
        <v>0</v>
      </c>
      <c r="N79" s="25">
        <v>46005</v>
      </c>
      <c r="O79" s="26">
        <v>0.3527777777777778</v>
      </c>
      <c r="P79" s="50" t="s">
        <v>1020</v>
      </c>
      <c r="Q79" s="50" t="s">
        <v>1021</v>
      </c>
      <c r="R79" s="50" t="s">
        <v>1295</v>
      </c>
      <c r="S79" s="50" t="s">
        <v>2119</v>
      </c>
      <c r="T79" s="50">
        <v>-12510</v>
      </c>
      <c r="U79" s="50" t="s">
        <v>1024</v>
      </c>
      <c r="V79" s="50" t="s">
        <v>1025</v>
      </c>
      <c r="W79" s="50"/>
      <c r="X79" s="116"/>
      <c r="Y79" s="6"/>
    </row>
    <row r="80" spans="1:25" x14ac:dyDescent="0.4">
      <c r="A80" s="4">
        <f t="shared" si="15"/>
        <v>202512</v>
      </c>
      <c r="B80" s="4">
        <f>B79+1</f>
        <v>6</v>
      </c>
      <c r="C80" s="105" t="s">
        <v>2</v>
      </c>
      <c r="D80" s="75"/>
      <c r="E80" s="23">
        <f>SUMIFS('수입&amp;예산'!$C$4:$C$11,'수입&amp;예산'!$A$4:$A$11,C80,'수입&amp;예산'!$D$4:$D$11,"M")*10000+SUMIFS('수입&amp;예산'!$C$4:$C$11,'수입&amp;예산'!$A$4:$A$11,C80,'수입&amp;예산'!$D$4:$D$11,"Y",'수입&amp;예산'!$E$4:$E$11,$L$1)*10000</f>
        <v>0</v>
      </c>
      <c r="F80" s="41">
        <f t="shared" ca="1" si="11"/>
        <v>0</v>
      </c>
      <c r="G80" s="41">
        <f t="shared" ca="1" si="12"/>
        <v>0</v>
      </c>
      <c r="H80" s="58">
        <f t="shared" si="13"/>
        <v>0</v>
      </c>
      <c r="I80" s="43">
        <f t="shared" si="14"/>
        <v>0</v>
      </c>
      <c r="N80" s="25">
        <v>46005</v>
      </c>
      <c r="O80" s="26">
        <v>0.18402777777777779</v>
      </c>
      <c r="P80" s="50" t="s">
        <v>1073</v>
      </c>
      <c r="Q80" s="50" t="s">
        <v>1218</v>
      </c>
      <c r="R80" s="50" t="s">
        <v>1054</v>
      </c>
      <c r="S80" s="50" t="s">
        <v>1219</v>
      </c>
      <c r="T80" s="50">
        <v>1053</v>
      </c>
      <c r="U80" s="50" t="s">
        <v>1024</v>
      </c>
      <c r="V80" s="50" t="s">
        <v>1216</v>
      </c>
      <c r="W80" s="50"/>
      <c r="X80" s="116"/>
      <c r="Y80" s="6"/>
    </row>
    <row r="81" spans="1:25" x14ac:dyDescent="0.4">
      <c r="A81" s="71" t="s">
        <v>14</v>
      </c>
      <c r="B81" s="72"/>
      <c r="C81" s="72"/>
      <c r="D81" s="73"/>
      <c r="E81" s="56">
        <f>SUM(E75:E80)</f>
        <v>5598199</v>
      </c>
      <c r="F81" s="56">
        <f ca="1">SUM(F75:F80)</f>
        <v>5670596</v>
      </c>
      <c r="G81" s="57">
        <f ca="1">SUM(G75:G80)</f>
        <v>2370322</v>
      </c>
      <c r="H81" s="59">
        <f>SUM(H75:H80)</f>
        <v>8040918</v>
      </c>
      <c r="I81" s="43">
        <f>SUM(I75:I80)</f>
        <v>2442719</v>
      </c>
      <c r="N81" s="25">
        <v>46004</v>
      </c>
      <c r="O81" s="26">
        <v>0.78888888888888886</v>
      </c>
      <c r="P81" s="50" t="s">
        <v>1020</v>
      </c>
      <c r="Q81" s="50" t="s">
        <v>1029</v>
      </c>
      <c r="R81" s="50" t="s">
        <v>1030</v>
      </c>
      <c r="S81" s="50" t="s">
        <v>1798</v>
      </c>
      <c r="T81" s="50">
        <v>-6250</v>
      </c>
      <c r="U81" s="50" t="s">
        <v>1024</v>
      </c>
      <c r="V81" s="50" t="s">
        <v>1099</v>
      </c>
      <c r="W81" s="50"/>
      <c r="X81" s="116"/>
      <c r="Y81" s="4"/>
    </row>
    <row r="82" spans="1:25" x14ac:dyDescent="0.4">
      <c r="N82" s="25">
        <v>46004</v>
      </c>
      <c r="O82" s="26">
        <v>0.18472222222222223</v>
      </c>
      <c r="P82" s="50" t="s">
        <v>1073</v>
      </c>
      <c r="Q82" s="50" t="s">
        <v>1218</v>
      </c>
      <c r="R82" s="50" t="s">
        <v>1054</v>
      </c>
      <c r="S82" s="50" t="s">
        <v>1219</v>
      </c>
      <c r="T82" s="50">
        <v>1053</v>
      </c>
      <c r="U82" s="50" t="s">
        <v>1024</v>
      </c>
      <c r="V82" s="50" t="s">
        <v>1216</v>
      </c>
      <c r="W82" s="50"/>
      <c r="X82" s="116"/>
      <c r="Y82" s="4"/>
    </row>
    <row r="83" spans="1:25" x14ac:dyDescent="0.4">
      <c r="N83" s="25">
        <v>46003</v>
      </c>
      <c r="O83" s="26">
        <v>0.80555555555555558</v>
      </c>
      <c r="P83" s="50" t="s">
        <v>1053</v>
      </c>
      <c r="Q83" s="50" t="s">
        <v>1066</v>
      </c>
      <c r="R83" s="50" t="s">
        <v>1054</v>
      </c>
      <c r="S83" s="50" t="s">
        <v>1067</v>
      </c>
      <c r="T83" s="50">
        <v>-3525752</v>
      </c>
      <c r="U83" s="50" t="s">
        <v>1024</v>
      </c>
      <c r="V83" s="50" t="s">
        <v>1036</v>
      </c>
      <c r="W83" s="50"/>
      <c r="X83" s="116"/>
      <c r="Y83" s="4"/>
    </row>
    <row r="84" spans="1:25" x14ac:dyDescent="0.4">
      <c r="N84" s="25">
        <v>46003</v>
      </c>
      <c r="O84" s="26">
        <v>0.71319444444444446</v>
      </c>
      <c r="P84" s="50" t="s">
        <v>1020</v>
      </c>
      <c r="Q84" s="50" t="s">
        <v>1026</v>
      </c>
      <c r="R84" s="50" t="s">
        <v>1151</v>
      </c>
      <c r="S84" s="50" t="s">
        <v>1639</v>
      </c>
      <c r="T84" s="50">
        <v>-10000</v>
      </c>
      <c r="U84" s="50" t="s">
        <v>1024</v>
      </c>
      <c r="V84" s="50" t="s">
        <v>1025</v>
      </c>
      <c r="W84" s="50"/>
      <c r="X84" s="116"/>
      <c r="Y84" s="4"/>
    </row>
    <row r="85" spans="1:25" x14ac:dyDescent="0.4">
      <c r="N85" s="25">
        <v>46003</v>
      </c>
      <c r="O85" s="26">
        <v>0.69513888888888886</v>
      </c>
      <c r="P85" s="50" t="s">
        <v>1020</v>
      </c>
      <c r="Q85" s="50" t="s">
        <v>1029</v>
      </c>
      <c r="R85" s="50" t="s">
        <v>1070</v>
      </c>
      <c r="S85" s="50" t="s">
        <v>2120</v>
      </c>
      <c r="T85" s="50">
        <v>-36000</v>
      </c>
      <c r="U85" s="50" t="s">
        <v>1024</v>
      </c>
      <c r="V85" s="50" t="s">
        <v>1025</v>
      </c>
      <c r="W85" s="50"/>
      <c r="X85" s="116"/>
      <c r="Y85" s="4"/>
    </row>
    <row r="86" spans="1:25" x14ac:dyDescent="0.4">
      <c r="N86" s="25">
        <v>46003</v>
      </c>
      <c r="O86" s="26">
        <v>0.55972222222222223</v>
      </c>
      <c r="P86" s="50" t="s">
        <v>1020</v>
      </c>
      <c r="Q86" s="50" t="s">
        <v>1029</v>
      </c>
      <c r="R86" s="50" t="s">
        <v>1070</v>
      </c>
      <c r="S86" s="50" t="s">
        <v>2065</v>
      </c>
      <c r="T86" s="50">
        <v>-6200</v>
      </c>
      <c r="U86" s="50" t="s">
        <v>1024</v>
      </c>
      <c r="V86" s="50" t="s">
        <v>1025</v>
      </c>
      <c r="W86" s="50" t="s">
        <v>2162</v>
      </c>
      <c r="X86" s="116"/>
      <c r="Y86" s="4"/>
    </row>
    <row r="87" spans="1:25" x14ac:dyDescent="0.4">
      <c r="N87" s="25">
        <v>46003</v>
      </c>
      <c r="O87" s="26">
        <v>0.18541666666666667</v>
      </c>
      <c r="P87" s="50" t="s">
        <v>1073</v>
      </c>
      <c r="Q87" s="50" t="s">
        <v>1218</v>
      </c>
      <c r="R87" s="50" t="s">
        <v>1054</v>
      </c>
      <c r="S87" s="50" t="s">
        <v>1219</v>
      </c>
      <c r="T87" s="50">
        <v>1053</v>
      </c>
      <c r="U87" s="50" t="s">
        <v>1024</v>
      </c>
      <c r="V87" s="50" t="s">
        <v>1216</v>
      </c>
      <c r="W87" s="50"/>
      <c r="X87" s="116"/>
      <c r="Y87" s="4"/>
    </row>
    <row r="88" spans="1:25" x14ac:dyDescent="0.4">
      <c r="N88" s="25">
        <v>46002</v>
      </c>
      <c r="O88" s="26">
        <v>0.84861111111111109</v>
      </c>
      <c r="P88" s="50" t="s">
        <v>1020</v>
      </c>
      <c r="Q88" s="50" t="s">
        <v>1026</v>
      </c>
      <c r="R88" s="50" t="s">
        <v>1151</v>
      </c>
      <c r="S88" s="50" t="s">
        <v>1639</v>
      </c>
      <c r="T88" s="50">
        <v>-10000</v>
      </c>
      <c r="U88" s="50" t="s">
        <v>1024</v>
      </c>
      <c r="V88" s="50" t="s">
        <v>1025</v>
      </c>
      <c r="W88" s="50"/>
      <c r="X88" s="116"/>
      <c r="Y88" s="4"/>
    </row>
    <row r="89" spans="1:25" x14ac:dyDescent="0.4">
      <c r="N89" s="25">
        <v>46002</v>
      </c>
      <c r="O89" s="26">
        <v>0.18958333333333333</v>
      </c>
      <c r="P89" s="50" t="s">
        <v>1073</v>
      </c>
      <c r="Q89" s="50" t="s">
        <v>1218</v>
      </c>
      <c r="R89" s="50" t="s">
        <v>1054</v>
      </c>
      <c r="S89" s="50" t="s">
        <v>1219</v>
      </c>
      <c r="T89" s="50">
        <v>1053</v>
      </c>
      <c r="U89" s="50" t="s">
        <v>1024</v>
      </c>
      <c r="V89" s="50" t="s">
        <v>1216</v>
      </c>
      <c r="W89" s="50"/>
      <c r="X89" s="116"/>
      <c r="Y89" s="4"/>
    </row>
    <row r="90" spans="1:25" x14ac:dyDescent="0.4">
      <c r="N90" s="25">
        <v>46001</v>
      </c>
      <c r="O90" s="26">
        <v>0.90625</v>
      </c>
      <c r="P90" s="50" t="s">
        <v>1053</v>
      </c>
      <c r="Q90" s="50" t="s">
        <v>1053</v>
      </c>
      <c r="R90" s="50" t="s">
        <v>1054</v>
      </c>
      <c r="S90" s="50" t="s">
        <v>1078</v>
      </c>
      <c r="T90" s="50">
        <v>-60000</v>
      </c>
      <c r="U90" s="50" t="s">
        <v>1024</v>
      </c>
      <c r="V90" s="50" t="s">
        <v>1079</v>
      </c>
      <c r="W90" s="50"/>
      <c r="X90" s="116"/>
      <c r="Y90" s="6"/>
    </row>
    <row r="91" spans="1:25" x14ac:dyDescent="0.4">
      <c r="N91" s="25">
        <v>46001</v>
      </c>
      <c r="O91" s="26">
        <v>0.5541666666666667</v>
      </c>
      <c r="P91" s="50" t="s">
        <v>1020</v>
      </c>
      <c r="Q91" s="50" t="s">
        <v>1029</v>
      </c>
      <c r="R91" s="50" t="s">
        <v>1030</v>
      </c>
      <c r="S91" s="50" t="s">
        <v>1781</v>
      </c>
      <c r="T91" s="50">
        <v>-6000</v>
      </c>
      <c r="U91" s="50" t="s">
        <v>1024</v>
      </c>
      <c r="V91" s="50" t="s">
        <v>1099</v>
      </c>
      <c r="W91" s="50"/>
      <c r="X91" s="116"/>
      <c r="Y91" s="6"/>
    </row>
    <row r="92" spans="1:25" x14ac:dyDescent="0.4">
      <c r="N92" s="25">
        <v>46001</v>
      </c>
      <c r="O92" s="26">
        <v>0.29930555555555555</v>
      </c>
      <c r="P92" s="50" t="s">
        <v>1020</v>
      </c>
      <c r="Q92" s="50" t="s">
        <v>1029</v>
      </c>
      <c r="R92" s="50" t="s">
        <v>1030</v>
      </c>
      <c r="S92" s="50" t="s">
        <v>1031</v>
      </c>
      <c r="T92" s="50">
        <v>-8460</v>
      </c>
      <c r="U92" s="50" t="s">
        <v>1024</v>
      </c>
      <c r="V92" s="50" t="s">
        <v>1025</v>
      </c>
      <c r="W92" s="50" t="s">
        <v>2163</v>
      </c>
      <c r="X92" s="116"/>
      <c r="Y92" s="6"/>
    </row>
    <row r="93" spans="1:25" x14ac:dyDescent="0.4">
      <c r="N93" s="25">
        <v>46001</v>
      </c>
      <c r="O93" s="26">
        <v>0.28541666666666665</v>
      </c>
      <c r="P93" s="50" t="s">
        <v>1020</v>
      </c>
      <c r="Q93" s="50" t="s">
        <v>1047</v>
      </c>
      <c r="R93" s="50" t="s">
        <v>1406</v>
      </c>
      <c r="S93" s="50" t="s">
        <v>2121</v>
      </c>
      <c r="T93" s="50">
        <v>-16310</v>
      </c>
      <c r="U93" s="50" t="s">
        <v>1024</v>
      </c>
      <c r="V93" s="50" t="s">
        <v>1228</v>
      </c>
      <c r="W93" s="50" t="s">
        <v>2164</v>
      </c>
      <c r="X93" s="116"/>
      <c r="Y93" s="6"/>
    </row>
    <row r="94" spans="1:25" x14ac:dyDescent="0.4">
      <c r="N94" s="25">
        <v>46001</v>
      </c>
      <c r="O94" s="26">
        <v>0.18472222222222223</v>
      </c>
      <c r="P94" s="50" t="s">
        <v>1073</v>
      </c>
      <c r="Q94" s="50" t="s">
        <v>1218</v>
      </c>
      <c r="R94" s="50" t="s">
        <v>1054</v>
      </c>
      <c r="S94" s="50" t="s">
        <v>1219</v>
      </c>
      <c r="T94" s="50">
        <v>1053</v>
      </c>
      <c r="U94" s="50" t="s">
        <v>1024</v>
      </c>
      <c r="V94" s="50" t="s">
        <v>1216</v>
      </c>
      <c r="W94" s="50"/>
      <c r="X94" s="116"/>
      <c r="Y94" s="6"/>
    </row>
    <row r="95" spans="1:25" x14ac:dyDescent="0.4">
      <c r="N95" s="25">
        <v>46000</v>
      </c>
      <c r="O95" s="26">
        <v>0.76944444444444449</v>
      </c>
      <c r="P95" s="50" t="s">
        <v>1020</v>
      </c>
      <c r="Q95" s="50" t="s">
        <v>1026</v>
      </c>
      <c r="R95" s="50" t="s">
        <v>1151</v>
      </c>
      <c r="S95" s="50" t="s">
        <v>1639</v>
      </c>
      <c r="T95" s="50">
        <v>-10000</v>
      </c>
      <c r="U95" s="50" t="s">
        <v>1024</v>
      </c>
      <c r="V95" s="50" t="s">
        <v>1025</v>
      </c>
      <c r="W95" s="50"/>
      <c r="X95" s="116"/>
      <c r="Y95" s="6"/>
    </row>
    <row r="96" spans="1:25" x14ac:dyDescent="0.4">
      <c r="N96" s="25">
        <v>46000</v>
      </c>
      <c r="O96" s="26">
        <v>0.67083333333333328</v>
      </c>
      <c r="P96" s="50" t="s">
        <v>1053</v>
      </c>
      <c r="Q96" s="50" t="s">
        <v>1053</v>
      </c>
      <c r="R96" s="50" t="s">
        <v>1054</v>
      </c>
      <c r="S96" s="50" t="s">
        <v>1621</v>
      </c>
      <c r="T96" s="50">
        <v>100000</v>
      </c>
      <c r="U96" s="50" t="s">
        <v>1024</v>
      </c>
      <c r="V96" s="50" t="s">
        <v>1036</v>
      </c>
      <c r="W96" s="50"/>
      <c r="X96" s="116"/>
      <c r="Y96" s="6"/>
    </row>
    <row r="97" spans="14:25" x14ac:dyDescent="0.4">
      <c r="N97" s="25">
        <v>46000</v>
      </c>
      <c r="O97" s="26">
        <v>0.53125</v>
      </c>
      <c r="P97" s="50" t="s">
        <v>1020</v>
      </c>
      <c r="Q97" s="50" t="s">
        <v>1047</v>
      </c>
      <c r="R97" s="50" t="s">
        <v>1077</v>
      </c>
      <c r="S97" s="50" t="s">
        <v>1078</v>
      </c>
      <c r="T97" s="50">
        <v>-100000</v>
      </c>
      <c r="U97" s="50" t="s">
        <v>1024</v>
      </c>
      <c r="V97" s="50" t="s">
        <v>1079</v>
      </c>
      <c r="W97" s="50" t="s">
        <v>2165</v>
      </c>
      <c r="X97" s="116"/>
      <c r="Y97" s="6"/>
    </row>
    <row r="98" spans="14:25" x14ac:dyDescent="0.4">
      <c r="N98" s="25">
        <v>46000</v>
      </c>
      <c r="O98" s="26">
        <v>0.18124999999999999</v>
      </c>
      <c r="P98" s="50" t="s">
        <v>1073</v>
      </c>
      <c r="Q98" s="50" t="s">
        <v>1218</v>
      </c>
      <c r="R98" s="50" t="s">
        <v>1054</v>
      </c>
      <c r="S98" s="50" t="s">
        <v>1219</v>
      </c>
      <c r="T98" s="50">
        <v>1053</v>
      </c>
      <c r="U98" s="50" t="s">
        <v>1024</v>
      </c>
      <c r="V98" s="50" t="s">
        <v>1216</v>
      </c>
      <c r="W98" s="50"/>
      <c r="X98" s="116"/>
      <c r="Y98" s="6"/>
    </row>
    <row r="99" spans="14:25" x14ac:dyDescent="0.4">
      <c r="N99" s="25">
        <v>45999</v>
      </c>
      <c r="O99" s="26">
        <v>0.74861111111111112</v>
      </c>
      <c r="P99" s="50" t="s">
        <v>1020</v>
      </c>
      <c r="Q99" s="50" t="s">
        <v>1047</v>
      </c>
      <c r="R99" s="50" t="s">
        <v>1048</v>
      </c>
      <c r="S99" s="50" t="s">
        <v>1120</v>
      </c>
      <c r="T99" s="50">
        <v>-38300</v>
      </c>
      <c r="U99" s="50" t="s">
        <v>1024</v>
      </c>
      <c r="V99" s="50" t="s">
        <v>1025</v>
      </c>
      <c r="W99" s="50" t="s">
        <v>2166</v>
      </c>
      <c r="X99" s="116"/>
      <c r="Y99" s="6"/>
    </row>
    <row r="100" spans="14:25" x14ac:dyDescent="0.4">
      <c r="N100" s="25">
        <v>45999</v>
      </c>
      <c r="O100" s="26">
        <v>0.72361111111111109</v>
      </c>
      <c r="P100" s="50" t="s">
        <v>1020</v>
      </c>
      <c r="Q100" s="50" t="s">
        <v>1047</v>
      </c>
      <c r="R100" s="50" t="s">
        <v>1063</v>
      </c>
      <c r="S100" s="50" t="s">
        <v>1031</v>
      </c>
      <c r="T100" s="50">
        <v>-20800</v>
      </c>
      <c r="U100" s="50" t="s">
        <v>1024</v>
      </c>
      <c r="V100" s="50" t="s">
        <v>1025</v>
      </c>
      <c r="W100" s="50" t="s">
        <v>2167</v>
      </c>
      <c r="X100" s="116"/>
      <c r="Y100" s="6"/>
    </row>
    <row r="101" spans="14:25" x14ac:dyDescent="0.4">
      <c r="N101" s="25">
        <v>45999</v>
      </c>
      <c r="O101" s="26">
        <v>0.53263888888888888</v>
      </c>
      <c r="P101" s="50" t="s">
        <v>1020</v>
      </c>
      <c r="Q101" s="50" t="s">
        <v>1029</v>
      </c>
      <c r="R101" s="50" t="s">
        <v>1070</v>
      </c>
      <c r="S101" s="50" t="s">
        <v>2122</v>
      </c>
      <c r="T101" s="50">
        <v>-6500</v>
      </c>
      <c r="U101" s="50" t="s">
        <v>1024</v>
      </c>
      <c r="V101" s="50" t="s">
        <v>1025</v>
      </c>
      <c r="W101" s="50" t="s">
        <v>2168</v>
      </c>
      <c r="X101" s="116"/>
      <c r="Y101" s="6"/>
    </row>
    <row r="102" spans="14:25" x14ac:dyDescent="0.4">
      <c r="N102" s="25">
        <v>45999</v>
      </c>
      <c r="O102" s="26">
        <v>0.46875</v>
      </c>
      <c r="P102" s="50" t="s">
        <v>1020</v>
      </c>
      <c r="Q102" s="50" t="s">
        <v>1029</v>
      </c>
      <c r="R102" s="50" t="s">
        <v>1045</v>
      </c>
      <c r="S102" s="50" t="s">
        <v>2123</v>
      </c>
      <c r="T102" s="50">
        <v>-4500</v>
      </c>
      <c r="U102" s="50" t="s">
        <v>1024</v>
      </c>
      <c r="V102" s="50" t="s">
        <v>1099</v>
      </c>
      <c r="W102" s="50" t="s">
        <v>2169</v>
      </c>
      <c r="X102" s="116"/>
      <c r="Y102" s="6"/>
    </row>
    <row r="103" spans="14:25" x14ac:dyDescent="0.4">
      <c r="N103" s="25">
        <v>45999</v>
      </c>
      <c r="O103" s="26">
        <v>0.43958333333333333</v>
      </c>
      <c r="P103" s="50" t="s">
        <v>1020</v>
      </c>
      <c r="Q103" s="50" t="s">
        <v>1029</v>
      </c>
      <c r="R103" s="50" t="s">
        <v>1070</v>
      </c>
      <c r="S103" s="50" t="s">
        <v>2124</v>
      </c>
      <c r="T103" s="50">
        <v>-20000</v>
      </c>
      <c r="U103" s="50" t="s">
        <v>1024</v>
      </c>
      <c r="V103" s="50" t="s">
        <v>1025</v>
      </c>
      <c r="W103" s="50" t="s">
        <v>2170</v>
      </c>
      <c r="X103" s="116"/>
      <c r="Y103" s="6"/>
    </row>
    <row r="104" spans="14:25" x14ac:dyDescent="0.4">
      <c r="N104" s="25">
        <v>45999</v>
      </c>
      <c r="O104" s="26">
        <v>0.36041666666666666</v>
      </c>
      <c r="P104" s="50" t="s">
        <v>1020</v>
      </c>
      <c r="Q104" s="50" t="s">
        <v>1029</v>
      </c>
      <c r="R104" s="50" t="s">
        <v>1070</v>
      </c>
      <c r="S104" s="50" t="s">
        <v>2125</v>
      </c>
      <c r="T104" s="50">
        <v>-1700</v>
      </c>
      <c r="U104" s="50" t="s">
        <v>1024</v>
      </c>
      <c r="V104" s="50" t="s">
        <v>1025</v>
      </c>
      <c r="W104" s="50" t="s">
        <v>2171</v>
      </c>
      <c r="X104" s="116"/>
      <c r="Y104" s="6"/>
    </row>
    <row r="105" spans="14:25" x14ac:dyDescent="0.4">
      <c r="N105" s="25">
        <v>45999</v>
      </c>
      <c r="O105" s="26">
        <v>0.30625000000000002</v>
      </c>
      <c r="P105" s="50" t="s">
        <v>1020</v>
      </c>
      <c r="Q105" s="50" t="s">
        <v>1029</v>
      </c>
      <c r="R105" s="50" t="s">
        <v>1070</v>
      </c>
      <c r="S105" s="50" t="s">
        <v>1707</v>
      </c>
      <c r="T105" s="50">
        <v>-1100</v>
      </c>
      <c r="U105" s="50" t="s">
        <v>1024</v>
      </c>
      <c r="V105" s="50" t="s">
        <v>1099</v>
      </c>
      <c r="W105" s="50" t="s">
        <v>2172</v>
      </c>
      <c r="X105" s="116"/>
      <c r="Y105" s="6"/>
    </row>
    <row r="106" spans="14:25" x14ac:dyDescent="0.4">
      <c r="N106" s="25">
        <v>45999</v>
      </c>
      <c r="O106" s="26">
        <v>0.30555555555555558</v>
      </c>
      <c r="P106" s="50" t="s">
        <v>1020</v>
      </c>
      <c r="Q106" s="50" t="s">
        <v>1029</v>
      </c>
      <c r="R106" s="50" t="s">
        <v>1070</v>
      </c>
      <c r="S106" s="50" t="s">
        <v>1752</v>
      </c>
      <c r="T106" s="50">
        <v>-4500</v>
      </c>
      <c r="U106" s="50" t="s">
        <v>1024</v>
      </c>
      <c r="V106" s="50" t="s">
        <v>1025</v>
      </c>
      <c r="W106" s="50" t="s">
        <v>1708</v>
      </c>
      <c r="X106" s="116"/>
      <c r="Y106" s="6"/>
    </row>
    <row r="107" spans="14:25" x14ac:dyDescent="0.4">
      <c r="N107" s="25">
        <v>45999</v>
      </c>
      <c r="O107" s="26">
        <v>0.30416666666666664</v>
      </c>
      <c r="P107" s="50" t="s">
        <v>1053</v>
      </c>
      <c r="Q107" s="50" t="s">
        <v>1053</v>
      </c>
      <c r="R107" s="50" t="s">
        <v>1054</v>
      </c>
      <c r="S107" s="50" t="s">
        <v>1230</v>
      </c>
      <c r="T107" s="50">
        <v>40000</v>
      </c>
      <c r="U107" s="50" t="s">
        <v>1024</v>
      </c>
      <c r="V107" s="50" t="s">
        <v>1231</v>
      </c>
      <c r="W107" s="50"/>
      <c r="X107" s="117"/>
      <c r="Y107" s="6"/>
    </row>
    <row r="108" spans="14:25" x14ac:dyDescent="0.4">
      <c r="N108" s="25">
        <v>45999</v>
      </c>
      <c r="O108" s="26">
        <v>0.30416666666666664</v>
      </c>
      <c r="P108" s="50" t="s">
        <v>1053</v>
      </c>
      <c r="Q108" s="50" t="s">
        <v>1053</v>
      </c>
      <c r="R108" s="50" t="s">
        <v>1054</v>
      </c>
      <c r="S108" s="50" t="s">
        <v>1232</v>
      </c>
      <c r="T108" s="50">
        <v>-40000</v>
      </c>
      <c r="U108" s="50" t="s">
        <v>1024</v>
      </c>
      <c r="V108" s="50" t="s">
        <v>1036</v>
      </c>
      <c r="W108" s="50"/>
      <c r="X108" s="117"/>
      <c r="Y108" s="6"/>
    </row>
    <row r="109" spans="14:25" x14ac:dyDescent="0.4">
      <c r="N109" s="25">
        <v>45999</v>
      </c>
      <c r="O109" s="26">
        <v>0.18263888888888888</v>
      </c>
      <c r="P109" s="50" t="s">
        <v>1073</v>
      </c>
      <c r="Q109" s="50" t="s">
        <v>1218</v>
      </c>
      <c r="R109" s="50" t="s">
        <v>1054</v>
      </c>
      <c r="S109" s="50" t="s">
        <v>1219</v>
      </c>
      <c r="T109" s="50">
        <v>1053</v>
      </c>
      <c r="U109" s="50" t="s">
        <v>1024</v>
      </c>
      <c r="V109" s="50" t="s">
        <v>1216</v>
      </c>
      <c r="W109" s="50"/>
      <c r="X109" s="117"/>
      <c r="Y109" s="6"/>
    </row>
    <row r="110" spans="14:25" x14ac:dyDescent="0.4">
      <c r="N110" s="25">
        <v>45998</v>
      </c>
      <c r="O110" s="26">
        <v>0.88472222222222219</v>
      </c>
      <c r="P110" s="50" t="s">
        <v>1020</v>
      </c>
      <c r="Q110" s="50" t="s">
        <v>1026</v>
      </c>
      <c r="R110" s="50" t="s">
        <v>1151</v>
      </c>
      <c r="S110" s="50" t="s">
        <v>1639</v>
      </c>
      <c r="T110" s="50">
        <v>-10000</v>
      </c>
      <c r="U110" s="50" t="s">
        <v>1024</v>
      </c>
      <c r="V110" s="50" t="s">
        <v>1025</v>
      </c>
      <c r="W110" s="50"/>
      <c r="X110" s="117"/>
      <c r="Y110" s="6"/>
    </row>
    <row r="111" spans="14:25" x14ac:dyDescent="0.4">
      <c r="N111" s="25">
        <v>45998</v>
      </c>
      <c r="O111" s="26">
        <v>0.25069444444444444</v>
      </c>
      <c r="P111" s="50" t="s">
        <v>1020</v>
      </c>
      <c r="Q111" s="50" t="s">
        <v>1029</v>
      </c>
      <c r="R111" s="50" t="s">
        <v>1045</v>
      </c>
      <c r="S111" s="50" t="s">
        <v>1051</v>
      </c>
      <c r="T111" s="50">
        <v>-59000</v>
      </c>
      <c r="U111" s="50" t="s">
        <v>1024</v>
      </c>
      <c r="V111" s="50" t="s">
        <v>1036</v>
      </c>
      <c r="W111" s="50" t="s">
        <v>2173</v>
      </c>
      <c r="X111" s="117"/>
      <c r="Y111" s="6"/>
    </row>
    <row r="112" spans="14:25" x14ac:dyDescent="0.4">
      <c r="N112" s="25">
        <v>45998</v>
      </c>
      <c r="O112" s="26">
        <v>0.18055555555555555</v>
      </c>
      <c r="P112" s="50" t="s">
        <v>1073</v>
      </c>
      <c r="Q112" s="50" t="s">
        <v>1218</v>
      </c>
      <c r="R112" s="50" t="s">
        <v>1054</v>
      </c>
      <c r="S112" s="50" t="s">
        <v>1219</v>
      </c>
      <c r="T112" s="50">
        <v>1053</v>
      </c>
      <c r="U112" s="50" t="s">
        <v>1024</v>
      </c>
      <c r="V112" s="50" t="s">
        <v>1216</v>
      </c>
      <c r="W112" s="50"/>
      <c r="X112" s="117"/>
      <c r="Y112" s="6"/>
    </row>
    <row r="113" spans="14:25" x14ac:dyDescent="0.4">
      <c r="N113" s="25">
        <v>45997</v>
      </c>
      <c r="O113" s="26">
        <v>0.73958333333333337</v>
      </c>
      <c r="P113" s="50" t="s">
        <v>1020</v>
      </c>
      <c r="Q113" s="50" t="s">
        <v>1047</v>
      </c>
      <c r="R113" s="50" t="s">
        <v>1406</v>
      </c>
      <c r="S113" s="50" t="s">
        <v>1031</v>
      </c>
      <c r="T113" s="50">
        <v>-61000</v>
      </c>
      <c r="U113" s="50" t="s">
        <v>1024</v>
      </c>
      <c r="V113" s="50" t="s">
        <v>1025</v>
      </c>
      <c r="W113" s="50" t="s">
        <v>2174</v>
      </c>
      <c r="X113" s="117"/>
      <c r="Y113" s="6"/>
    </row>
    <row r="114" spans="14:25" x14ac:dyDescent="0.4">
      <c r="N114" s="25">
        <v>45997</v>
      </c>
      <c r="O114" s="26">
        <v>0.18402777777777779</v>
      </c>
      <c r="P114" s="50" t="s">
        <v>1073</v>
      </c>
      <c r="Q114" s="50" t="s">
        <v>1218</v>
      </c>
      <c r="R114" s="50" t="s">
        <v>1054</v>
      </c>
      <c r="S114" s="50" t="s">
        <v>1219</v>
      </c>
      <c r="T114" s="50">
        <v>1053</v>
      </c>
      <c r="U114" s="50" t="s">
        <v>1024</v>
      </c>
      <c r="V114" s="50" t="s">
        <v>1216</v>
      </c>
      <c r="W114" s="50"/>
      <c r="X114" s="117"/>
      <c r="Y114" s="6"/>
    </row>
    <row r="115" spans="14:25" x14ac:dyDescent="0.4">
      <c r="N115" s="25">
        <v>45996</v>
      </c>
      <c r="O115" s="26">
        <v>0.74722222222222223</v>
      </c>
      <c r="P115" s="50" t="s">
        <v>1020</v>
      </c>
      <c r="Q115" s="50" t="s">
        <v>1047</v>
      </c>
      <c r="R115" s="50" t="s">
        <v>1406</v>
      </c>
      <c r="S115" s="50" t="s">
        <v>2126</v>
      </c>
      <c r="T115" s="50">
        <v>-6000</v>
      </c>
      <c r="U115" s="50" t="s">
        <v>1024</v>
      </c>
      <c r="V115" s="50" t="s">
        <v>1025</v>
      </c>
      <c r="W115" s="50" t="s">
        <v>2175</v>
      </c>
      <c r="X115" s="117"/>
      <c r="Y115" s="6"/>
    </row>
    <row r="116" spans="14:25" x14ac:dyDescent="0.4">
      <c r="N116" s="25">
        <v>45996</v>
      </c>
      <c r="O116" s="26">
        <v>0.71319444444444446</v>
      </c>
      <c r="P116" s="50" t="s">
        <v>1020</v>
      </c>
      <c r="Q116" s="50" t="s">
        <v>1029</v>
      </c>
      <c r="R116" s="50" t="s">
        <v>1070</v>
      </c>
      <c r="S116" s="50" t="s">
        <v>1889</v>
      </c>
      <c r="T116" s="50">
        <v>-1500</v>
      </c>
      <c r="U116" s="50" t="s">
        <v>1024</v>
      </c>
      <c r="V116" s="50" t="s">
        <v>1099</v>
      </c>
      <c r="W116" s="50" t="s">
        <v>2176</v>
      </c>
      <c r="X116" s="117"/>
      <c r="Y116" s="6"/>
    </row>
    <row r="117" spans="14:25" x14ac:dyDescent="0.4">
      <c r="N117" s="25">
        <v>45996</v>
      </c>
      <c r="O117" s="26">
        <v>0.67361111111111116</v>
      </c>
      <c r="P117" s="50" t="s">
        <v>1020</v>
      </c>
      <c r="Q117" s="50" t="s">
        <v>1029</v>
      </c>
      <c r="R117" s="50" t="s">
        <v>1070</v>
      </c>
      <c r="S117" s="50" t="s">
        <v>2127</v>
      </c>
      <c r="T117" s="50">
        <v>-10500</v>
      </c>
      <c r="U117" s="50" t="s">
        <v>1024</v>
      </c>
      <c r="V117" s="50" t="s">
        <v>1099</v>
      </c>
      <c r="W117" s="50" t="s">
        <v>2177</v>
      </c>
      <c r="X117" s="117"/>
      <c r="Y117" s="6"/>
    </row>
    <row r="118" spans="14:25" x14ac:dyDescent="0.4">
      <c r="N118" s="25">
        <v>45996</v>
      </c>
      <c r="O118" s="26">
        <v>0.27361111111111114</v>
      </c>
      <c r="P118" s="50" t="s">
        <v>1020</v>
      </c>
      <c r="Q118" s="50" t="s">
        <v>1026</v>
      </c>
      <c r="R118" s="50" t="s">
        <v>1151</v>
      </c>
      <c r="S118" s="50" t="s">
        <v>1639</v>
      </c>
      <c r="T118" s="50">
        <v>-10000</v>
      </c>
      <c r="U118" s="50" t="s">
        <v>1024</v>
      </c>
      <c r="V118" s="50" t="s">
        <v>1025</v>
      </c>
      <c r="W118" s="50"/>
      <c r="X118" s="117"/>
      <c r="Y118" s="6"/>
    </row>
    <row r="119" spans="14:25" x14ac:dyDescent="0.4">
      <c r="N119" s="25">
        <v>45996</v>
      </c>
      <c r="O119" s="26">
        <v>0.18263888888888888</v>
      </c>
      <c r="P119" s="50" t="s">
        <v>1073</v>
      </c>
      <c r="Q119" s="50" t="s">
        <v>1218</v>
      </c>
      <c r="R119" s="50" t="s">
        <v>1054</v>
      </c>
      <c r="S119" s="50" t="s">
        <v>1219</v>
      </c>
      <c r="T119" s="50">
        <v>1053</v>
      </c>
      <c r="U119" s="50" t="s">
        <v>1024</v>
      </c>
      <c r="V119" s="50" t="s">
        <v>1216</v>
      </c>
      <c r="W119" s="50"/>
      <c r="X119" s="117"/>
      <c r="Y119" s="6"/>
    </row>
    <row r="120" spans="14:25" x14ac:dyDescent="0.4">
      <c r="N120" s="25">
        <v>45995</v>
      </c>
      <c r="O120" s="26">
        <v>0.91666666666666663</v>
      </c>
      <c r="P120" s="50" t="s">
        <v>1020</v>
      </c>
      <c r="Q120" s="50" t="s">
        <v>1047</v>
      </c>
      <c r="R120" s="50" t="s">
        <v>1406</v>
      </c>
      <c r="S120" s="50" t="s">
        <v>2128</v>
      </c>
      <c r="T120" s="50">
        <v>-12100</v>
      </c>
      <c r="U120" s="50" t="s">
        <v>1024</v>
      </c>
      <c r="V120" s="50" t="s">
        <v>1297</v>
      </c>
      <c r="W120" s="50" t="s">
        <v>2178</v>
      </c>
      <c r="X120" s="117"/>
      <c r="Y120" s="6"/>
    </row>
    <row r="121" spans="14:25" x14ac:dyDescent="0.4">
      <c r="N121" s="25">
        <v>45995</v>
      </c>
      <c r="O121" s="26">
        <v>0.41736111111111113</v>
      </c>
      <c r="P121" s="50" t="s">
        <v>1020</v>
      </c>
      <c r="Q121" s="50" t="s">
        <v>1029</v>
      </c>
      <c r="R121" s="50" t="s">
        <v>1030</v>
      </c>
      <c r="S121" s="50" t="s">
        <v>1031</v>
      </c>
      <c r="T121" s="50">
        <v>-6990</v>
      </c>
      <c r="U121" s="50" t="s">
        <v>1024</v>
      </c>
      <c r="V121" s="50" t="s">
        <v>1025</v>
      </c>
      <c r="W121" s="50" t="s">
        <v>2179</v>
      </c>
      <c r="X121" s="117"/>
      <c r="Y121" s="6"/>
    </row>
    <row r="122" spans="14:25" x14ac:dyDescent="0.4">
      <c r="N122" s="25">
        <v>45995</v>
      </c>
      <c r="O122" s="26">
        <v>0.40763888888888888</v>
      </c>
      <c r="P122" s="50" t="s">
        <v>1020</v>
      </c>
      <c r="Q122" s="50" t="s">
        <v>1029</v>
      </c>
      <c r="R122" s="50" t="s">
        <v>1030</v>
      </c>
      <c r="S122" s="50" t="s">
        <v>1031</v>
      </c>
      <c r="T122" s="50">
        <v>-31210</v>
      </c>
      <c r="U122" s="50" t="s">
        <v>1024</v>
      </c>
      <c r="V122" s="50" t="s">
        <v>1025</v>
      </c>
      <c r="W122" s="50" t="s">
        <v>2180</v>
      </c>
      <c r="X122" s="117"/>
      <c r="Y122" s="6"/>
    </row>
    <row r="123" spans="14:25" x14ac:dyDescent="0.4">
      <c r="N123" s="25">
        <v>45995</v>
      </c>
      <c r="O123" s="26">
        <v>0.18263888888888888</v>
      </c>
      <c r="P123" s="50" t="s">
        <v>1073</v>
      </c>
      <c r="Q123" s="50" t="s">
        <v>1218</v>
      </c>
      <c r="R123" s="50" t="s">
        <v>1054</v>
      </c>
      <c r="S123" s="50" t="s">
        <v>1219</v>
      </c>
      <c r="T123" s="50">
        <v>1053</v>
      </c>
      <c r="U123" s="50" t="s">
        <v>1024</v>
      </c>
      <c r="V123" s="50" t="s">
        <v>1216</v>
      </c>
      <c r="W123" s="50"/>
      <c r="X123" s="117"/>
      <c r="Y123" s="6"/>
    </row>
    <row r="124" spans="14:25" x14ac:dyDescent="0.4">
      <c r="N124" s="25">
        <v>45994</v>
      </c>
      <c r="O124" s="26">
        <v>0.71388888888888891</v>
      </c>
      <c r="P124" s="50" t="s">
        <v>1020</v>
      </c>
      <c r="Q124" s="50" t="s">
        <v>1026</v>
      </c>
      <c r="R124" s="50" t="s">
        <v>1151</v>
      </c>
      <c r="S124" s="50" t="s">
        <v>1639</v>
      </c>
      <c r="T124" s="50">
        <v>-10000</v>
      </c>
      <c r="U124" s="50" t="s">
        <v>1024</v>
      </c>
      <c r="V124" s="50" t="s">
        <v>1025</v>
      </c>
      <c r="W124" s="50"/>
      <c r="X124" s="117"/>
      <c r="Y124" s="6"/>
    </row>
    <row r="125" spans="14:25" x14ac:dyDescent="0.4">
      <c r="N125" s="25">
        <v>45994</v>
      </c>
      <c r="O125" s="26">
        <v>0.62986111111111109</v>
      </c>
      <c r="P125" s="50" t="s">
        <v>1020</v>
      </c>
      <c r="Q125" s="50" t="s">
        <v>1029</v>
      </c>
      <c r="R125" s="50" t="s">
        <v>1045</v>
      </c>
      <c r="S125" s="50" t="s">
        <v>1031</v>
      </c>
      <c r="T125" s="50">
        <v>-38720</v>
      </c>
      <c r="U125" s="50" t="s">
        <v>1024</v>
      </c>
      <c r="V125" s="50" t="s">
        <v>1025</v>
      </c>
      <c r="W125" s="50" t="s">
        <v>2181</v>
      </c>
      <c r="X125" s="117"/>
      <c r="Y125" s="6"/>
    </row>
    <row r="126" spans="14:25" x14ac:dyDescent="0.4">
      <c r="N126" s="25">
        <v>45994</v>
      </c>
      <c r="O126" s="26">
        <v>0.62013888888888891</v>
      </c>
      <c r="P126" s="50" t="s">
        <v>1020</v>
      </c>
      <c r="Q126" s="50" t="s">
        <v>1029</v>
      </c>
      <c r="R126" s="50" t="s">
        <v>1030</v>
      </c>
      <c r="S126" s="50" t="s">
        <v>1781</v>
      </c>
      <c r="T126" s="50">
        <v>-39600</v>
      </c>
      <c r="U126" s="50" t="s">
        <v>1024</v>
      </c>
      <c r="V126" s="50" t="s">
        <v>1099</v>
      </c>
      <c r="W126" s="50" t="s">
        <v>2182</v>
      </c>
      <c r="X126" s="117"/>
      <c r="Y126" s="6"/>
    </row>
    <row r="127" spans="14:25" x14ac:dyDescent="0.4">
      <c r="N127" s="25">
        <v>45994</v>
      </c>
      <c r="O127" s="26">
        <v>0.40069444444444446</v>
      </c>
      <c r="P127" s="50" t="s">
        <v>1020</v>
      </c>
      <c r="Q127" s="50" t="s">
        <v>1026</v>
      </c>
      <c r="R127" s="50" t="s">
        <v>1027</v>
      </c>
      <c r="S127" s="50" t="s">
        <v>1028</v>
      </c>
      <c r="T127" s="50">
        <v>-7890</v>
      </c>
      <c r="U127" s="50" t="s">
        <v>1024</v>
      </c>
      <c r="V127" s="50" t="s">
        <v>1025</v>
      </c>
      <c r="W127" s="50"/>
      <c r="X127" s="117"/>
      <c r="Y127" s="6"/>
    </row>
    <row r="128" spans="14:25" x14ac:dyDescent="0.4">
      <c r="N128" s="25">
        <v>45994</v>
      </c>
      <c r="O128" s="26">
        <v>0.1875</v>
      </c>
      <c r="P128" s="50" t="s">
        <v>1073</v>
      </c>
      <c r="Q128" s="50" t="s">
        <v>1218</v>
      </c>
      <c r="R128" s="50" t="s">
        <v>1054</v>
      </c>
      <c r="S128" s="50" t="s">
        <v>1219</v>
      </c>
      <c r="T128" s="50">
        <v>1053</v>
      </c>
      <c r="U128" s="50" t="s">
        <v>1024</v>
      </c>
      <c r="V128" s="50" t="s">
        <v>1216</v>
      </c>
      <c r="W128" s="50"/>
      <c r="X128" s="117"/>
      <c r="Y128" s="6"/>
    </row>
    <row r="129" spans="14:25" x14ac:dyDescent="0.4">
      <c r="N129" s="25">
        <v>45993</v>
      </c>
      <c r="O129" s="26">
        <v>0.56736111111111109</v>
      </c>
      <c r="P129" s="50" t="s">
        <v>1020</v>
      </c>
      <c r="Q129" s="50" t="s">
        <v>1021</v>
      </c>
      <c r="R129" s="50" t="s">
        <v>1295</v>
      </c>
      <c r="S129" s="50" t="s">
        <v>2097</v>
      </c>
      <c r="T129" s="50">
        <v>-23200</v>
      </c>
      <c r="U129" s="50" t="s">
        <v>1024</v>
      </c>
      <c r="V129" s="50" t="s">
        <v>1025</v>
      </c>
      <c r="W129" s="50" t="s">
        <v>2183</v>
      </c>
      <c r="X129" s="117"/>
      <c r="Y129" s="6"/>
    </row>
    <row r="130" spans="14:25" x14ac:dyDescent="0.4">
      <c r="N130" s="25">
        <v>45993</v>
      </c>
      <c r="O130" s="26">
        <v>0.1875</v>
      </c>
      <c r="P130" s="50" t="s">
        <v>1073</v>
      </c>
      <c r="Q130" s="50" t="s">
        <v>1218</v>
      </c>
      <c r="R130" s="50" t="s">
        <v>1054</v>
      </c>
      <c r="S130" s="50" t="s">
        <v>1219</v>
      </c>
      <c r="T130" s="50">
        <v>1052</v>
      </c>
      <c r="U130" s="50" t="s">
        <v>1024</v>
      </c>
      <c r="V130" s="50" t="s">
        <v>1216</v>
      </c>
      <c r="W130" s="50"/>
      <c r="X130" s="117"/>
      <c r="Y130" s="6"/>
    </row>
    <row r="131" spans="14:25" x14ac:dyDescent="0.4">
      <c r="N131" s="25">
        <v>45992</v>
      </c>
      <c r="O131" s="26">
        <v>0.83333333333333337</v>
      </c>
      <c r="P131" s="50" t="s">
        <v>1020</v>
      </c>
      <c r="Q131" s="50" t="s">
        <v>1026</v>
      </c>
      <c r="R131" s="50" t="s">
        <v>1151</v>
      </c>
      <c r="S131" s="50" t="s">
        <v>1639</v>
      </c>
      <c r="T131" s="50">
        <v>-10000</v>
      </c>
      <c r="U131" s="50" t="s">
        <v>1024</v>
      </c>
      <c r="V131" s="50" t="s">
        <v>1025</v>
      </c>
      <c r="W131" s="50"/>
      <c r="X131" s="117"/>
      <c r="Y131" s="6"/>
    </row>
    <row r="132" spans="14:25" x14ac:dyDescent="0.4">
      <c r="N132" s="25">
        <v>45992</v>
      </c>
      <c r="O132" s="26">
        <v>0.56736111111111109</v>
      </c>
      <c r="P132" s="50" t="s">
        <v>1053</v>
      </c>
      <c r="Q132" s="50" t="s">
        <v>1053</v>
      </c>
      <c r="R132" s="50" t="s">
        <v>1054</v>
      </c>
      <c r="S132" s="50" t="s">
        <v>1230</v>
      </c>
      <c r="T132" s="50">
        <v>50000</v>
      </c>
      <c r="U132" s="50" t="s">
        <v>1024</v>
      </c>
      <c r="V132" s="50" t="s">
        <v>1231</v>
      </c>
      <c r="W132" s="50"/>
      <c r="X132" s="117"/>
      <c r="Y132" s="6"/>
    </row>
    <row r="133" spans="14:25" x14ac:dyDescent="0.4">
      <c r="N133" s="25">
        <v>45992</v>
      </c>
      <c r="O133" s="26">
        <v>0.56736111111111109</v>
      </c>
      <c r="P133" s="50" t="s">
        <v>1020</v>
      </c>
      <c r="Q133" s="50" t="s">
        <v>1047</v>
      </c>
      <c r="R133" s="50" t="s">
        <v>1406</v>
      </c>
      <c r="S133" s="50" t="s">
        <v>2129</v>
      </c>
      <c r="T133" s="50">
        <v>-45900</v>
      </c>
      <c r="U133" s="50" t="s">
        <v>1024</v>
      </c>
      <c r="V133" s="50" t="s">
        <v>1228</v>
      </c>
      <c r="W133" s="50" t="s">
        <v>2184</v>
      </c>
      <c r="X133" s="117"/>
      <c r="Y133" s="6"/>
    </row>
    <row r="134" spans="14:25" x14ac:dyDescent="0.4">
      <c r="N134" s="25">
        <v>45992</v>
      </c>
      <c r="O134" s="26">
        <v>0.56736111111111109</v>
      </c>
      <c r="P134" s="50" t="s">
        <v>1053</v>
      </c>
      <c r="Q134" s="50" t="s">
        <v>1053</v>
      </c>
      <c r="R134" s="50" t="s">
        <v>1054</v>
      </c>
      <c r="S134" s="50" t="s">
        <v>1232</v>
      </c>
      <c r="T134" s="50">
        <v>-50000</v>
      </c>
      <c r="U134" s="50" t="s">
        <v>1024</v>
      </c>
      <c r="V134" s="50" t="s">
        <v>1036</v>
      </c>
      <c r="W134" s="50"/>
      <c r="X134" s="117"/>
      <c r="Y134" s="6"/>
    </row>
    <row r="135" spans="14:25" x14ac:dyDescent="0.4">
      <c r="N135" s="25">
        <v>45992</v>
      </c>
      <c r="O135" s="26">
        <v>0.20208333333333334</v>
      </c>
      <c r="P135" s="50" t="s">
        <v>1073</v>
      </c>
      <c r="Q135" s="50" t="s">
        <v>1218</v>
      </c>
      <c r="R135" s="50" t="s">
        <v>1054</v>
      </c>
      <c r="S135" s="50" t="s">
        <v>1219</v>
      </c>
      <c r="T135" s="50">
        <v>1052</v>
      </c>
      <c r="U135" s="50" t="s">
        <v>1024</v>
      </c>
      <c r="V135" s="50" t="s">
        <v>1216</v>
      </c>
      <c r="W135" s="50"/>
      <c r="X135" s="117"/>
      <c r="Y135" s="6"/>
    </row>
    <row r="136" spans="14:25" x14ac:dyDescent="0.4">
      <c r="N136" s="25">
        <v>45992</v>
      </c>
      <c r="O136" s="26">
        <v>0.16944444444444445</v>
      </c>
      <c r="P136" s="50" t="s">
        <v>1073</v>
      </c>
      <c r="Q136" s="50" t="s">
        <v>1218</v>
      </c>
      <c r="R136" s="50" t="s">
        <v>1054</v>
      </c>
      <c r="S136" s="50" t="s">
        <v>2130</v>
      </c>
      <c r="T136" s="50">
        <v>65</v>
      </c>
      <c r="U136" s="50" t="s">
        <v>1024</v>
      </c>
      <c r="V136" s="50" t="s">
        <v>1214</v>
      </c>
      <c r="W136" s="50"/>
      <c r="X136" s="117"/>
      <c r="Y136" s="6"/>
    </row>
    <row r="137" spans="14:25" x14ac:dyDescent="0.4">
      <c r="N137" s="25"/>
      <c r="O137" s="26"/>
      <c r="P137" s="50"/>
      <c r="Q137" s="50"/>
      <c r="R137" s="50"/>
      <c r="S137" s="50"/>
      <c r="T137" s="50"/>
      <c r="U137" s="50"/>
      <c r="V137" s="50"/>
      <c r="W137" s="50"/>
      <c r="X137" s="117"/>
      <c r="Y137" s="6"/>
    </row>
    <row r="138" spans="14:25" x14ac:dyDescent="0.4">
      <c r="N138" s="25"/>
      <c r="O138" s="26"/>
      <c r="P138" s="50"/>
      <c r="Q138" s="50"/>
      <c r="R138" s="50"/>
      <c r="S138" s="50"/>
      <c r="T138" s="50"/>
      <c r="U138" s="50"/>
      <c r="V138" s="50"/>
      <c r="W138" s="50"/>
      <c r="X138" s="117"/>
      <c r="Y138" s="6"/>
    </row>
    <row r="139" spans="14:25" x14ac:dyDescent="0.4">
      <c r="N139" s="25"/>
      <c r="O139" s="26"/>
      <c r="P139" s="50"/>
      <c r="Q139" s="50"/>
      <c r="R139" s="50"/>
      <c r="S139" s="50"/>
      <c r="T139" s="50"/>
      <c r="U139" s="50"/>
      <c r="V139" s="50"/>
      <c r="W139" s="50"/>
      <c r="X139" s="117"/>
      <c r="Y139" s="6"/>
    </row>
    <row r="140" spans="14:25" x14ac:dyDescent="0.4">
      <c r="N140" s="25"/>
      <c r="O140" s="26"/>
      <c r="P140" s="50"/>
      <c r="Q140" s="50"/>
      <c r="R140" s="50"/>
      <c r="S140" s="50"/>
      <c r="T140" s="50"/>
      <c r="U140" s="50"/>
      <c r="V140" s="50"/>
      <c r="W140" s="50"/>
      <c r="X140" s="117"/>
      <c r="Y140" s="6"/>
    </row>
    <row r="141" spans="14:25" x14ac:dyDescent="0.4">
      <c r="N141" s="25"/>
      <c r="O141" s="26"/>
      <c r="P141" s="50"/>
      <c r="Q141" s="50"/>
      <c r="R141" s="50"/>
      <c r="S141" s="50"/>
      <c r="T141" s="50"/>
      <c r="U141" s="50"/>
      <c r="V141" s="50"/>
      <c r="W141" s="50"/>
      <c r="X141" s="117"/>
      <c r="Y141" s="6"/>
    </row>
    <row r="142" spans="14:25" x14ac:dyDescent="0.4">
      <c r="N142" s="25"/>
      <c r="O142" s="26"/>
      <c r="P142" s="50"/>
      <c r="Q142" s="50"/>
      <c r="R142" s="50"/>
      <c r="S142" s="50"/>
      <c r="T142" s="50"/>
      <c r="U142" s="50"/>
      <c r="V142" s="50"/>
      <c r="W142" s="50"/>
      <c r="X142" s="117"/>
      <c r="Y142" s="6"/>
    </row>
    <row r="143" spans="14:25" x14ac:dyDescent="0.4">
      <c r="N143" s="25"/>
      <c r="O143" s="26"/>
      <c r="P143" s="50"/>
      <c r="Q143" s="50"/>
      <c r="R143" s="50"/>
      <c r="S143" s="50"/>
      <c r="T143" s="50"/>
      <c r="U143" s="50"/>
      <c r="V143" s="50"/>
      <c r="W143" s="50"/>
      <c r="X143" s="117"/>
      <c r="Y143" s="6"/>
    </row>
    <row r="144" spans="14:25" x14ac:dyDescent="0.4">
      <c r="N144" s="25"/>
      <c r="O144" s="26"/>
      <c r="P144" s="50"/>
      <c r="Q144" s="50"/>
      <c r="R144" s="50"/>
      <c r="S144" s="50"/>
      <c r="T144" s="50"/>
      <c r="U144" s="50"/>
      <c r="V144" s="50"/>
      <c r="W144" s="50"/>
      <c r="X144" s="117"/>
      <c r="Y144" s="6"/>
    </row>
    <row r="145" spans="14:25" x14ac:dyDescent="0.4">
      <c r="N145" s="25"/>
      <c r="O145" s="26"/>
      <c r="P145" s="50"/>
      <c r="Q145" s="50"/>
      <c r="R145" s="50"/>
      <c r="S145" s="50"/>
      <c r="T145" s="50"/>
      <c r="U145" s="50"/>
      <c r="V145" s="50"/>
      <c r="W145" s="50"/>
      <c r="X145" s="117"/>
      <c r="Y145" s="6"/>
    </row>
    <row r="146" spans="14:25" x14ac:dyDescent="0.4">
      <c r="N146" s="25"/>
      <c r="O146" s="26"/>
      <c r="P146" s="50"/>
      <c r="Q146" s="50"/>
      <c r="R146" s="50"/>
      <c r="S146" s="50"/>
      <c r="T146" s="50"/>
      <c r="U146" s="50"/>
      <c r="V146" s="50"/>
      <c r="W146" s="50"/>
      <c r="X146" s="117"/>
      <c r="Y146" s="6"/>
    </row>
    <row r="147" spans="14:25" x14ac:dyDescent="0.4">
      <c r="N147" s="25"/>
      <c r="O147" s="26"/>
      <c r="P147" s="50"/>
      <c r="Q147" s="50"/>
      <c r="R147" s="50"/>
      <c r="S147" s="50"/>
      <c r="T147" s="50"/>
      <c r="U147" s="50"/>
      <c r="V147" s="50"/>
      <c r="W147" s="50"/>
      <c r="X147" s="117"/>
      <c r="Y147" s="6"/>
    </row>
    <row r="148" spans="14:25" x14ac:dyDescent="0.4">
      <c r="N148" s="25"/>
      <c r="O148" s="26"/>
      <c r="P148" s="50"/>
      <c r="Q148" s="50"/>
      <c r="R148" s="50"/>
      <c r="S148" s="50"/>
      <c r="T148" s="50"/>
      <c r="U148" s="50"/>
      <c r="V148" s="50"/>
      <c r="W148" s="50"/>
      <c r="X148" s="117"/>
      <c r="Y148" s="6"/>
    </row>
    <row r="149" spans="14:25" x14ac:dyDescent="0.4">
      <c r="N149" s="25"/>
      <c r="O149" s="26"/>
      <c r="P149" s="50"/>
      <c r="Q149" s="50"/>
      <c r="R149" s="50"/>
      <c r="S149" s="50"/>
      <c r="T149" s="50"/>
      <c r="U149" s="50"/>
      <c r="V149" s="50"/>
      <c r="W149" s="50"/>
      <c r="X149" s="117"/>
      <c r="Y149" s="6"/>
    </row>
    <row r="150" spans="14:25" x14ac:dyDescent="0.4">
      <c r="N150" s="25"/>
      <c r="O150" s="26"/>
      <c r="P150" s="50"/>
      <c r="Q150" s="50"/>
      <c r="R150" s="50"/>
      <c r="S150" s="50"/>
      <c r="T150" s="50"/>
      <c r="U150" s="50"/>
      <c r="V150" s="50"/>
      <c r="W150" s="50"/>
      <c r="X150" s="117"/>
      <c r="Y150" s="6"/>
    </row>
    <row r="151" spans="14:25" x14ac:dyDescent="0.4">
      <c r="N151" s="25"/>
      <c r="O151" s="26"/>
      <c r="P151" s="50"/>
      <c r="Q151" s="50"/>
      <c r="R151" s="50"/>
      <c r="S151" s="50"/>
      <c r="T151" s="50"/>
      <c r="U151" s="50"/>
      <c r="V151" s="50"/>
      <c r="W151" s="50"/>
      <c r="X151" s="117"/>
      <c r="Y151" s="6"/>
    </row>
    <row r="152" spans="14:25" x14ac:dyDescent="0.4">
      <c r="N152" s="25"/>
      <c r="O152" s="26"/>
      <c r="P152" s="50"/>
      <c r="Q152" s="50"/>
      <c r="R152" s="50"/>
      <c r="S152" s="50"/>
      <c r="T152" s="50"/>
      <c r="U152" s="50"/>
      <c r="V152" s="50"/>
      <c r="W152" s="50"/>
      <c r="X152" s="117"/>
      <c r="Y152" s="6"/>
    </row>
    <row r="153" spans="14:25" x14ac:dyDescent="0.4">
      <c r="N153" s="114"/>
      <c r="O153" s="115"/>
      <c r="P153" s="4"/>
      <c r="Q153" s="4"/>
      <c r="R153" s="4"/>
      <c r="S153" s="4"/>
      <c r="T153" s="4"/>
      <c r="U153" s="4"/>
      <c r="V153" s="4"/>
      <c r="W153" s="4"/>
      <c r="X153" s="117"/>
      <c r="Y153" s="6"/>
    </row>
    <row r="154" spans="14:25" x14ac:dyDescent="0.4">
      <c r="N154" s="114"/>
      <c r="O154" s="115"/>
      <c r="P154" s="4"/>
      <c r="Q154" s="4"/>
      <c r="R154" s="4"/>
      <c r="S154" s="4"/>
      <c r="T154" s="4"/>
      <c r="U154" s="4"/>
      <c r="V154" s="4"/>
      <c r="W154" s="4"/>
      <c r="X154" s="117"/>
      <c r="Y154" s="6"/>
    </row>
    <row r="155" spans="14:25" x14ac:dyDescent="0.4">
      <c r="N155" s="114"/>
      <c r="O155" s="115"/>
      <c r="P155" s="4"/>
      <c r="Q155" s="4"/>
      <c r="R155" s="4"/>
      <c r="S155" s="4"/>
      <c r="T155" s="4"/>
      <c r="U155" s="4"/>
      <c r="V155" s="4"/>
      <c r="W155" s="4"/>
      <c r="X155" s="117"/>
      <c r="Y155" s="6"/>
    </row>
    <row r="156" spans="14:25" x14ac:dyDescent="0.4">
      <c r="N156" s="114"/>
      <c r="O156" s="115"/>
      <c r="P156" s="4"/>
      <c r="Q156" s="4"/>
      <c r="R156" s="4"/>
      <c r="S156" s="4"/>
      <c r="T156" s="4"/>
      <c r="U156" s="4"/>
      <c r="V156" s="4"/>
      <c r="W156" s="4"/>
      <c r="X156" s="117"/>
      <c r="Y156" s="6"/>
    </row>
    <row r="157" spans="14:25" x14ac:dyDescent="0.4">
      <c r="N157" s="114"/>
      <c r="O157" s="115"/>
      <c r="P157" s="4"/>
      <c r="Q157" s="4"/>
      <c r="R157" s="4"/>
      <c r="S157" s="4"/>
      <c r="T157" s="4"/>
      <c r="U157" s="4"/>
      <c r="V157" s="4"/>
      <c r="W157" s="4"/>
      <c r="X157" s="117"/>
      <c r="Y157" s="6"/>
    </row>
    <row r="158" spans="14:25" x14ac:dyDescent="0.4">
      <c r="N158" s="114"/>
      <c r="O158" s="115"/>
      <c r="P158" s="4"/>
      <c r="Q158" s="4"/>
      <c r="R158" s="4"/>
      <c r="S158" s="4"/>
      <c r="T158" s="4"/>
      <c r="U158" s="4"/>
      <c r="V158" s="4"/>
      <c r="W158" s="4"/>
      <c r="X158" s="117"/>
      <c r="Y158" s="6"/>
    </row>
    <row r="159" spans="14:25" x14ac:dyDescent="0.4">
      <c r="N159" s="114"/>
      <c r="O159" s="115"/>
      <c r="P159" s="4"/>
      <c r="Q159" s="4"/>
      <c r="R159" s="4"/>
      <c r="S159" s="4"/>
      <c r="T159" s="4"/>
      <c r="U159" s="4"/>
      <c r="V159" s="4"/>
      <c r="W159" s="4"/>
      <c r="X159" s="117"/>
      <c r="Y159" s="6"/>
    </row>
    <row r="160" spans="14:25" x14ac:dyDescent="0.4">
      <c r="N160" s="114"/>
      <c r="O160" s="115"/>
      <c r="P160" s="4"/>
      <c r="Q160" s="4"/>
      <c r="R160" s="4"/>
      <c r="S160" s="4"/>
      <c r="T160" s="4"/>
      <c r="U160" s="4"/>
      <c r="V160" s="4"/>
      <c r="W160" s="4"/>
      <c r="X160" s="117"/>
      <c r="Y160" s="6"/>
    </row>
    <row r="161" spans="14:25" x14ac:dyDescent="0.4">
      <c r="N161" s="114"/>
      <c r="O161" s="115"/>
      <c r="P161" s="4"/>
      <c r="Q161" s="4"/>
      <c r="R161" s="4"/>
      <c r="S161" s="4"/>
      <c r="T161" s="4"/>
      <c r="U161" s="4"/>
      <c r="V161" s="4"/>
      <c r="W161" s="4"/>
      <c r="X161" s="117"/>
      <c r="Y161" s="6"/>
    </row>
    <row r="162" spans="14:25" x14ac:dyDescent="0.4">
      <c r="N162" s="114"/>
      <c r="O162" s="115"/>
      <c r="P162" s="4"/>
      <c r="Q162" s="4"/>
      <c r="R162" s="4"/>
      <c r="S162" s="4"/>
      <c r="T162" s="4"/>
      <c r="U162" s="4"/>
      <c r="V162" s="4"/>
      <c r="W162" s="4"/>
      <c r="X162" s="117"/>
      <c r="Y162" s="6"/>
    </row>
    <row r="163" spans="14:25" x14ac:dyDescent="0.4">
      <c r="N163" s="114"/>
      <c r="O163" s="115"/>
      <c r="P163" s="4"/>
      <c r="Q163" s="4"/>
      <c r="R163" s="4"/>
      <c r="S163" s="4"/>
      <c r="T163" s="4"/>
      <c r="U163" s="4"/>
      <c r="V163" s="4"/>
      <c r="W163" s="4"/>
      <c r="X163" s="117"/>
      <c r="Y163" s="6"/>
    </row>
    <row r="164" spans="14:25" x14ac:dyDescent="0.4">
      <c r="N164" s="114"/>
      <c r="O164" s="115"/>
      <c r="P164" s="4"/>
      <c r="Q164" s="4"/>
      <c r="R164" s="4"/>
      <c r="S164" s="4"/>
      <c r="T164" s="4"/>
      <c r="U164" s="4"/>
      <c r="V164" s="4"/>
      <c r="W164" s="4"/>
      <c r="X164" s="117"/>
      <c r="Y164" s="6"/>
    </row>
    <row r="165" spans="14:25" x14ac:dyDescent="0.4">
      <c r="N165" s="114"/>
      <c r="O165" s="115"/>
      <c r="P165" s="4"/>
      <c r="Q165" s="4"/>
      <c r="R165" s="4"/>
      <c r="S165" s="4"/>
      <c r="T165" s="4"/>
      <c r="U165" s="4"/>
      <c r="V165" s="4"/>
      <c r="W165" s="4"/>
      <c r="X165" s="117"/>
      <c r="Y165" s="6"/>
    </row>
    <row r="166" spans="14:25" x14ac:dyDescent="0.4">
      <c r="N166" s="114"/>
      <c r="O166" s="115"/>
      <c r="P166" s="4"/>
      <c r="Q166" s="4"/>
      <c r="R166" s="4"/>
      <c r="S166" s="4"/>
      <c r="T166" s="4"/>
      <c r="U166" s="4"/>
      <c r="V166" s="4"/>
      <c r="W166" s="4"/>
      <c r="X166" s="117"/>
      <c r="Y166" s="6"/>
    </row>
    <row r="167" spans="14:25" x14ac:dyDescent="0.4">
      <c r="N167" s="114"/>
      <c r="O167" s="115"/>
      <c r="P167" s="4"/>
      <c r="Q167" s="4"/>
      <c r="R167" s="4"/>
      <c r="S167" s="4"/>
      <c r="T167" s="4"/>
      <c r="U167" s="4"/>
      <c r="V167" s="4"/>
      <c r="W167" s="4"/>
      <c r="X167" s="117"/>
      <c r="Y167" s="6"/>
    </row>
    <row r="168" spans="14:25" x14ac:dyDescent="0.4">
      <c r="N168" s="114"/>
      <c r="O168" s="115"/>
      <c r="P168" s="4"/>
      <c r="Q168" s="4"/>
      <c r="R168" s="4"/>
      <c r="S168" s="4"/>
      <c r="T168" s="4"/>
      <c r="U168" s="4"/>
      <c r="V168" s="4"/>
      <c r="W168" s="4"/>
      <c r="X168" s="117"/>
      <c r="Y168" s="6"/>
    </row>
    <row r="169" spans="14:25" x14ac:dyDescent="0.4">
      <c r="N169" s="114"/>
      <c r="O169" s="115"/>
      <c r="P169" s="4"/>
      <c r="Q169" s="4"/>
      <c r="R169" s="4"/>
      <c r="S169" s="4"/>
      <c r="T169" s="4"/>
      <c r="U169" s="4"/>
      <c r="V169" s="4"/>
      <c r="W169" s="4"/>
      <c r="X169" s="117"/>
      <c r="Y169" s="6"/>
    </row>
    <row r="170" spans="14:25" x14ac:dyDescent="0.4">
      <c r="N170" s="114"/>
      <c r="O170" s="115"/>
      <c r="P170" s="4"/>
      <c r="Q170" s="4"/>
      <c r="R170" s="4"/>
      <c r="S170" s="4"/>
      <c r="T170" s="4"/>
      <c r="U170" s="4"/>
      <c r="V170" s="4"/>
      <c r="W170" s="4"/>
      <c r="X170" s="117"/>
      <c r="Y170" s="6"/>
    </row>
    <row r="171" spans="14:25" x14ac:dyDescent="0.4">
      <c r="N171" s="114"/>
      <c r="O171" s="115"/>
      <c r="P171" s="4"/>
      <c r="Q171" s="4"/>
      <c r="R171" s="4"/>
      <c r="S171" s="4"/>
      <c r="T171" s="4"/>
      <c r="U171" s="4"/>
      <c r="V171" s="4"/>
      <c r="W171" s="4"/>
      <c r="X171" s="117"/>
      <c r="Y171" s="6"/>
    </row>
    <row r="172" spans="14:25" x14ac:dyDescent="0.4">
      <c r="N172" s="114"/>
      <c r="O172" s="115"/>
      <c r="P172" s="4"/>
      <c r="Q172" s="4"/>
      <c r="R172" s="4"/>
      <c r="S172" s="4"/>
      <c r="T172" s="4"/>
      <c r="U172" s="4"/>
      <c r="V172" s="4"/>
      <c r="W172" s="4"/>
      <c r="X172" s="117"/>
      <c r="Y172" s="6"/>
    </row>
    <row r="173" spans="14:25" x14ac:dyDescent="0.4">
      <c r="N173" s="114"/>
      <c r="O173" s="115"/>
      <c r="P173" s="4"/>
      <c r="Q173" s="4"/>
      <c r="R173" s="4"/>
      <c r="S173" s="4"/>
      <c r="T173" s="4"/>
      <c r="U173" s="4"/>
      <c r="V173" s="4"/>
      <c r="W173" s="4"/>
      <c r="X173" s="117"/>
      <c r="Y173" s="6"/>
    </row>
    <row r="174" spans="14:25" x14ac:dyDescent="0.4">
      <c r="N174" s="114"/>
      <c r="O174" s="115"/>
      <c r="P174" s="4"/>
      <c r="Q174" s="4"/>
      <c r="R174" s="4"/>
      <c r="S174" s="4"/>
      <c r="T174" s="4"/>
      <c r="U174" s="4"/>
      <c r="V174" s="4"/>
      <c r="W174" s="4"/>
      <c r="X174" s="117"/>
      <c r="Y174" s="6"/>
    </row>
    <row r="175" spans="14:25" x14ac:dyDescent="0.4">
      <c r="N175" s="114"/>
      <c r="O175" s="115"/>
      <c r="P175" s="4"/>
      <c r="Q175" s="4"/>
      <c r="R175" s="4"/>
      <c r="S175" s="4"/>
      <c r="T175" s="4"/>
      <c r="U175" s="4"/>
      <c r="V175" s="4"/>
      <c r="W175" s="4"/>
      <c r="X175" s="117"/>
      <c r="Y175" s="6"/>
    </row>
    <row r="176" spans="14:25" x14ac:dyDescent="0.4">
      <c r="N176" s="114"/>
      <c r="O176" s="115"/>
      <c r="P176" s="4"/>
      <c r="Q176" s="4"/>
      <c r="R176" s="4"/>
      <c r="S176" s="4"/>
      <c r="T176" s="4"/>
      <c r="U176" s="4"/>
      <c r="V176" s="4"/>
      <c r="W176" s="4"/>
      <c r="X176" s="117"/>
      <c r="Y176" s="6"/>
    </row>
    <row r="177" spans="14:25" x14ac:dyDescent="0.4">
      <c r="N177" s="114"/>
      <c r="O177" s="115"/>
      <c r="P177" s="4"/>
      <c r="Q177" s="4"/>
      <c r="R177" s="4"/>
      <c r="S177" s="4"/>
      <c r="T177" s="4"/>
      <c r="U177" s="4"/>
      <c r="V177" s="4"/>
      <c r="W177" s="4"/>
      <c r="X177" s="117"/>
      <c r="Y177" s="6"/>
    </row>
    <row r="178" spans="14:25" x14ac:dyDescent="0.4">
      <c r="N178" s="114"/>
      <c r="O178" s="115"/>
      <c r="P178" s="4"/>
      <c r="Q178" s="4"/>
      <c r="R178" s="4"/>
      <c r="S178" s="4"/>
      <c r="T178" s="4"/>
      <c r="U178" s="4"/>
      <c r="V178" s="4"/>
      <c r="W178" s="4"/>
      <c r="X178" s="117"/>
      <c r="Y178" s="6"/>
    </row>
    <row r="179" spans="14:25" x14ac:dyDescent="0.4">
      <c r="N179" s="114"/>
      <c r="O179" s="115"/>
      <c r="P179" s="4"/>
      <c r="Q179" s="4"/>
      <c r="R179" s="4"/>
      <c r="S179" s="4"/>
      <c r="T179" s="4"/>
      <c r="U179" s="4"/>
      <c r="V179" s="4"/>
      <c r="W179" s="4"/>
      <c r="X179" s="117"/>
      <c r="Y179" s="6"/>
    </row>
    <row r="180" spans="14:25" x14ac:dyDescent="0.4">
      <c r="N180" s="114"/>
      <c r="O180" s="115"/>
      <c r="P180" s="4"/>
      <c r="Q180" s="4"/>
      <c r="R180" s="4"/>
      <c r="S180" s="4"/>
      <c r="T180" s="4"/>
      <c r="U180" s="4"/>
      <c r="V180" s="4"/>
      <c r="W180" s="4"/>
      <c r="X180" s="117"/>
      <c r="Y180" s="6"/>
    </row>
    <row r="181" spans="14:25" x14ac:dyDescent="0.4">
      <c r="N181" s="114"/>
      <c r="O181" s="115"/>
      <c r="P181" s="4"/>
      <c r="Q181" s="4"/>
      <c r="R181" s="4"/>
      <c r="S181" s="4"/>
      <c r="T181" s="4"/>
      <c r="U181" s="4"/>
      <c r="V181" s="4"/>
      <c r="W181" s="4"/>
      <c r="X181" s="117"/>
      <c r="Y181" s="6"/>
    </row>
    <row r="182" spans="14:25" x14ac:dyDescent="0.4">
      <c r="N182" s="114"/>
      <c r="O182" s="115"/>
      <c r="P182" s="4"/>
      <c r="Q182" s="4"/>
      <c r="R182" s="4"/>
      <c r="S182" s="4"/>
      <c r="T182" s="4"/>
      <c r="U182" s="4"/>
      <c r="V182" s="4"/>
      <c r="W182" s="4"/>
      <c r="X182" s="117"/>
      <c r="Y182" s="6"/>
    </row>
    <row r="183" spans="14:25" x14ac:dyDescent="0.4">
      <c r="N183" s="114"/>
      <c r="O183" s="115"/>
      <c r="P183" s="4"/>
      <c r="Q183" s="4"/>
      <c r="R183" s="4"/>
      <c r="S183" s="4"/>
      <c r="T183" s="4"/>
      <c r="U183" s="4"/>
      <c r="V183" s="4"/>
      <c r="W183" s="4"/>
      <c r="X183" s="117"/>
      <c r="Y183" s="6"/>
    </row>
    <row r="184" spans="14:25" x14ac:dyDescent="0.4">
      <c r="N184" s="114"/>
      <c r="O184" s="115"/>
      <c r="P184" s="4"/>
      <c r="Q184" s="4"/>
      <c r="R184" s="4"/>
      <c r="S184" s="4"/>
      <c r="T184" s="4"/>
      <c r="U184" s="4"/>
      <c r="V184" s="4"/>
      <c r="W184" s="4"/>
      <c r="X184" s="117"/>
      <c r="Y184" s="6"/>
    </row>
    <row r="185" spans="14:25" x14ac:dyDescent="0.4">
      <c r="N185" s="114"/>
      <c r="O185" s="115"/>
      <c r="P185" s="4"/>
      <c r="Q185" s="4"/>
      <c r="R185" s="4"/>
      <c r="S185" s="4"/>
      <c r="T185" s="4"/>
      <c r="U185" s="4"/>
      <c r="V185" s="4"/>
      <c r="W185" s="4"/>
      <c r="X185" s="117"/>
      <c r="Y185" s="6"/>
    </row>
    <row r="186" spans="14:25" x14ac:dyDescent="0.4">
      <c r="N186" s="114"/>
      <c r="O186" s="115"/>
      <c r="P186" s="4"/>
      <c r="Q186" s="4"/>
      <c r="R186" s="4"/>
      <c r="S186" s="4"/>
      <c r="T186" s="4"/>
      <c r="U186" s="4"/>
      <c r="V186" s="4"/>
      <c r="W186" s="4"/>
      <c r="X186" s="117"/>
      <c r="Y186" s="6"/>
    </row>
    <row r="187" spans="14:25" x14ac:dyDescent="0.4">
      <c r="N187" s="114"/>
      <c r="O187" s="115"/>
      <c r="P187" s="4"/>
      <c r="Q187" s="4"/>
      <c r="R187" s="4"/>
      <c r="S187" s="4"/>
      <c r="T187" s="4"/>
      <c r="U187" s="4"/>
      <c r="V187" s="4"/>
      <c r="W187" s="4"/>
      <c r="X187" s="117"/>
      <c r="Y187" s="6"/>
    </row>
    <row r="188" spans="14:25" x14ac:dyDescent="0.4">
      <c r="N188" s="114"/>
      <c r="O188" s="115"/>
      <c r="P188" s="4"/>
      <c r="Q188" s="4"/>
      <c r="R188" s="4"/>
      <c r="S188" s="4"/>
      <c r="T188" s="4"/>
      <c r="U188" s="4"/>
      <c r="V188" s="4"/>
      <c r="W188" s="4"/>
      <c r="X188" s="117"/>
      <c r="Y188" s="6"/>
    </row>
    <row r="189" spans="14:25" x14ac:dyDescent="0.4">
      <c r="N189" s="114"/>
      <c r="O189" s="115"/>
      <c r="P189" s="4"/>
      <c r="Q189" s="4"/>
      <c r="R189" s="4"/>
      <c r="S189" s="4"/>
      <c r="T189" s="4"/>
      <c r="U189" s="4"/>
      <c r="V189" s="4"/>
      <c r="W189" s="4"/>
      <c r="X189" s="117"/>
      <c r="Y189" s="6"/>
    </row>
    <row r="190" spans="14:25" x14ac:dyDescent="0.4">
      <c r="N190" s="114"/>
      <c r="O190" s="115"/>
      <c r="P190" s="4"/>
      <c r="Q190" s="4"/>
      <c r="R190" s="4"/>
      <c r="S190" s="4"/>
      <c r="T190" s="4"/>
      <c r="U190" s="4"/>
      <c r="V190" s="4"/>
      <c r="W190" s="4"/>
      <c r="X190" s="117"/>
      <c r="Y190" s="6"/>
    </row>
    <row r="191" spans="14:25" x14ac:dyDescent="0.4">
      <c r="N191" s="114"/>
      <c r="O191" s="115"/>
      <c r="P191" s="4"/>
      <c r="Q191" s="4"/>
      <c r="R191" s="4"/>
      <c r="S191" s="4"/>
      <c r="T191" s="4"/>
      <c r="U191" s="4"/>
      <c r="V191" s="4"/>
      <c r="W191" s="4"/>
      <c r="X191" s="117"/>
      <c r="Y191" s="6"/>
    </row>
    <row r="192" spans="14:25" x14ac:dyDescent="0.4">
      <c r="N192" s="114"/>
      <c r="O192" s="115"/>
      <c r="P192" s="4"/>
      <c r="Q192" s="4"/>
      <c r="R192" s="4"/>
      <c r="S192" s="4"/>
      <c r="T192" s="4"/>
      <c r="U192" s="4"/>
      <c r="V192" s="4"/>
      <c r="W192" s="4"/>
      <c r="X192" s="117"/>
      <c r="Y192" s="6"/>
    </row>
    <row r="193" spans="14:25" x14ac:dyDescent="0.4">
      <c r="N193" s="114"/>
      <c r="O193" s="115"/>
      <c r="P193" s="4"/>
      <c r="Q193" s="4"/>
      <c r="R193" s="4"/>
      <c r="S193" s="4"/>
      <c r="T193" s="4"/>
      <c r="U193" s="4"/>
      <c r="V193" s="4"/>
      <c r="W193" s="4"/>
      <c r="X193" s="117"/>
      <c r="Y193" s="6"/>
    </row>
    <row r="194" spans="14:25" x14ac:dyDescent="0.4">
      <c r="N194" s="114"/>
      <c r="O194" s="115"/>
      <c r="P194" s="4"/>
      <c r="Q194" s="4"/>
      <c r="R194" s="4"/>
      <c r="S194" s="4"/>
      <c r="T194" s="4"/>
      <c r="U194" s="4"/>
      <c r="V194" s="4"/>
      <c r="W194" s="4"/>
      <c r="X194" s="117"/>
      <c r="Y194" s="6"/>
    </row>
    <row r="195" spans="14:25" x14ac:dyDescent="0.4">
      <c r="N195" s="114"/>
      <c r="O195" s="115"/>
      <c r="P195" s="4"/>
      <c r="Q195" s="4"/>
      <c r="R195" s="4"/>
      <c r="S195" s="4"/>
      <c r="T195" s="4"/>
      <c r="U195" s="4"/>
      <c r="V195" s="4"/>
      <c r="W195" s="4"/>
      <c r="X195" s="117"/>
      <c r="Y195" s="6"/>
    </row>
    <row r="196" spans="14:25" x14ac:dyDescent="0.4">
      <c r="N196" s="114"/>
      <c r="O196" s="115"/>
      <c r="P196" s="4"/>
      <c r="Q196" s="4"/>
      <c r="R196" s="4"/>
      <c r="S196" s="4"/>
      <c r="T196" s="4"/>
      <c r="U196" s="4"/>
      <c r="V196" s="4"/>
      <c r="W196" s="4"/>
      <c r="X196" s="117"/>
      <c r="Y196" s="6"/>
    </row>
    <row r="197" spans="14:25" x14ac:dyDescent="0.4">
      <c r="N197" s="114"/>
      <c r="O197" s="115"/>
      <c r="P197" s="4"/>
      <c r="Q197" s="4"/>
      <c r="R197" s="4"/>
      <c r="S197" s="4"/>
      <c r="T197" s="4"/>
      <c r="U197" s="4"/>
      <c r="V197" s="4"/>
      <c r="W197" s="4"/>
      <c r="X197" s="117"/>
      <c r="Y197" s="6"/>
    </row>
    <row r="198" spans="14:25" x14ac:dyDescent="0.4">
      <c r="N198" s="114"/>
      <c r="O198" s="115"/>
      <c r="P198" s="4"/>
      <c r="Q198" s="4"/>
      <c r="R198" s="4"/>
      <c r="S198" s="4"/>
      <c r="T198" s="4"/>
      <c r="U198" s="4"/>
      <c r="V198" s="4"/>
      <c r="W198" s="4"/>
      <c r="X198" s="117"/>
      <c r="Y198" s="6"/>
    </row>
    <row r="199" spans="14:25" x14ac:dyDescent="0.4">
      <c r="N199" s="114"/>
      <c r="O199" s="115"/>
      <c r="P199" s="4"/>
      <c r="Q199" s="4"/>
      <c r="R199" s="4"/>
      <c r="S199" s="4"/>
      <c r="T199" s="4"/>
      <c r="U199" s="4"/>
      <c r="V199" s="4"/>
      <c r="W199" s="4"/>
      <c r="X199" s="117"/>
      <c r="Y199" s="6"/>
    </row>
    <row r="200" spans="14:25" x14ac:dyDescent="0.4">
      <c r="N200" s="114"/>
      <c r="O200" s="115"/>
      <c r="P200" s="4"/>
      <c r="Q200" s="4"/>
      <c r="R200" s="4"/>
      <c r="S200" s="4"/>
      <c r="T200" s="4"/>
      <c r="U200" s="4"/>
      <c r="V200" s="4"/>
      <c r="W200" s="4"/>
      <c r="X200" s="117"/>
      <c r="Y200" s="6"/>
    </row>
    <row r="201" spans="14:25" x14ac:dyDescent="0.4">
      <c r="N201" s="114"/>
      <c r="O201" s="115"/>
      <c r="P201" s="4"/>
      <c r="Q201" s="4"/>
      <c r="R201" s="4"/>
      <c r="S201" s="4"/>
      <c r="T201" s="4"/>
      <c r="U201" s="4"/>
      <c r="V201" s="4"/>
      <c r="W201" s="4"/>
      <c r="X201" s="117"/>
      <c r="Y201" s="6"/>
    </row>
    <row r="202" spans="14:25" x14ac:dyDescent="0.4">
      <c r="N202" s="114"/>
      <c r="O202" s="115"/>
      <c r="P202" s="4"/>
      <c r="Q202" s="4"/>
      <c r="R202" s="4"/>
      <c r="S202" s="4"/>
      <c r="T202" s="4"/>
      <c r="U202" s="4"/>
      <c r="V202" s="4"/>
      <c r="W202" s="4"/>
      <c r="X202" s="117"/>
      <c r="Y202" s="6"/>
    </row>
    <row r="203" spans="14:25" x14ac:dyDescent="0.4">
      <c r="N203" s="114"/>
      <c r="O203" s="115"/>
      <c r="P203" s="4"/>
      <c r="Q203" s="4"/>
      <c r="R203" s="4"/>
      <c r="S203" s="4"/>
      <c r="T203" s="4"/>
      <c r="U203" s="4"/>
      <c r="V203" s="4"/>
      <c r="W203" s="4"/>
      <c r="X203" s="117"/>
      <c r="Y203" s="6"/>
    </row>
    <row r="204" spans="14:25" x14ac:dyDescent="0.4">
      <c r="N204" s="114"/>
      <c r="O204" s="115"/>
      <c r="P204" s="4"/>
      <c r="Q204" s="4"/>
      <c r="R204" s="4"/>
      <c r="S204" s="4"/>
      <c r="T204" s="4"/>
      <c r="U204" s="4"/>
      <c r="V204" s="4"/>
      <c r="W204" s="4"/>
      <c r="X204" s="117"/>
      <c r="Y204" s="6"/>
    </row>
    <row r="205" spans="14:25" x14ac:dyDescent="0.4">
      <c r="N205" s="114"/>
      <c r="O205" s="115"/>
      <c r="P205" s="4"/>
      <c r="Q205" s="4"/>
      <c r="R205" s="4"/>
      <c r="S205" s="4"/>
      <c r="T205" s="4"/>
      <c r="U205" s="4"/>
      <c r="V205" s="4"/>
      <c r="W205" s="4"/>
      <c r="X205" s="117"/>
      <c r="Y205" s="6"/>
    </row>
    <row r="206" spans="14:25" x14ac:dyDescent="0.4">
      <c r="N206" s="114"/>
      <c r="O206" s="115"/>
      <c r="P206" s="4"/>
      <c r="Q206" s="4"/>
      <c r="R206" s="4"/>
      <c r="S206" s="4"/>
      <c r="T206" s="4"/>
      <c r="U206" s="4"/>
      <c r="V206" s="4"/>
      <c r="W206" s="4"/>
      <c r="X206" s="117"/>
      <c r="Y206" s="6"/>
    </row>
    <row r="207" spans="14:25" x14ac:dyDescent="0.4">
      <c r="N207" s="114"/>
      <c r="O207" s="115"/>
      <c r="P207" s="4"/>
      <c r="Q207" s="4"/>
      <c r="R207" s="4"/>
      <c r="S207" s="4"/>
      <c r="T207" s="4"/>
      <c r="U207" s="4"/>
      <c r="V207" s="4"/>
      <c r="W207" s="4"/>
      <c r="X207" s="117"/>
      <c r="Y207" s="6"/>
    </row>
    <row r="208" spans="14:25" x14ac:dyDescent="0.4">
      <c r="N208" s="114"/>
      <c r="O208" s="115"/>
      <c r="P208" s="4"/>
      <c r="Q208" s="4"/>
      <c r="R208" s="4"/>
      <c r="S208" s="4"/>
      <c r="T208" s="4"/>
      <c r="U208" s="4"/>
      <c r="V208" s="4"/>
      <c r="W208" s="4"/>
      <c r="X208" s="117"/>
      <c r="Y208" s="6"/>
    </row>
    <row r="209" spans="14:25" x14ac:dyDescent="0.4">
      <c r="N209" s="114"/>
      <c r="O209" s="115"/>
      <c r="P209" s="4"/>
      <c r="Q209" s="4"/>
      <c r="R209" s="4"/>
      <c r="S209" s="4"/>
      <c r="T209" s="4"/>
      <c r="U209" s="4"/>
      <c r="V209" s="4"/>
      <c r="W209" s="4"/>
      <c r="X209" s="117"/>
      <c r="Y209" s="6"/>
    </row>
    <row r="210" spans="14:25" x14ac:dyDescent="0.4">
      <c r="N210" s="114"/>
      <c r="O210" s="115"/>
      <c r="P210" s="4"/>
      <c r="Q210" s="4"/>
      <c r="R210" s="4"/>
      <c r="S210" s="4"/>
      <c r="T210" s="4"/>
      <c r="U210" s="4"/>
      <c r="V210" s="4"/>
      <c r="W210" s="4"/>
      <c r="X210" s="117"/>
      <c r="Y210" s="6"/>
    </row>
    <row r="211" spans="14:25" x14ac:dyDescent="0.4">
      <c r="N211" s="114"/>
      <c r="O211" s="115"/>
      <c r="P211" s="4"/>
      <c r="Q211" s="4"/>
      <c r="R211" s="4"/>
      <c r="S211" s="4"/>
      <c r="T211" s="4"/>
      <c r="U211" s="4"/>
      <c r="V211" s="4"/>
      <c r="W211" s="4"/>
      <c r="X211" s="117"/>
      <c r="Y211" s="6"/>
    </row>
    <row r="212" spans="14:25" x14ac:dyDescent="0.4">
      <c r="N212" s="114"/>
      <c r="O212" s="115"/>
      <c r="P212" s="4"/>
      <c r="Q212" s="4"/>
      <c r="R212" s="4"/>
      <c r="S212" s="4"/>
      <c r="T212" s="4"/>
      <c r="U212" s="4"/>
      <c r="V212" s="4"/>
      <c r="W212" s="4"/>
      <c r="X212" s="117"/>
      <c r="Y212" s="6"/>
    </row>
    <row r="213" spans="14:25" x14ac:dyDescent="0.4">
      <c r="N213" s="114"/>
      <c r="O213" s="115"/>
      <c r="P213" s="4"/>
      <c r="Q213" s="4"/>
      <c r="R213" s="4"/>
      <c r="S213" s="4"/>
      <c r="T213" s="4"/>
      <c r="U213" s="4"/>
      <c r="V213" s="4"/>
      <c r="W213" s="4"/>
      <c r="X213" s="117"/>
      <c r="Y213" s="6"/>
    </row>
    <row r="214" spans="14:25" x14ac:dyDescent="0.4">
      <c r="N214" s="114"/>
      <c r="O214" s="115"/>
      <c r="P214" s="4"/>
      <c r="Q214" s="4"/>
      <c r="R214" s="4"/>
      <c r="S214" s="4"/>
      <c r="T214" s="4"/>
      <c r="U214" s="4"/>
      <c r="V214" s="4"/>
      <c r="W214" s="4"/>
      <c r="X214" s="117"/>
      <c r="Y214" s="6"/>
    </row>
    <row r="215" spans="14:25" x14ac:dyDescent="0.4">
      <c r="N215" s="114"/>
      <c r="O215" s="115"/>
      <c r="P215" s="4"/>
      <c r="Q215" s="4"/>
      <c r="R215" s="4"/>
      <c r="S215" s="4"/>
      <c r="T215" s="4"/>
      <c r="U215" s="4"/>
      <c r="V215" s="4"/>
      <c r="W215" s="4"/>
      <c r="X215" s="117"/>
      <c r="Y215" s="6"/>
    </row>
    <row r="216" spans="14:25" x14ac:dyDescent="0.4">
      <c r="N216" s="114"/>
      <c r="O216" s="115"/>
      <c r="P216" s="4"/>
      <c r="Q216" s="4"/>
      <c r="R216" s="4"/>
      <c r="S216" s="4"/>
      <c r="T216" s="4"/>
      <c r="U216" s="4"/>
      <c r="V216" s="4"/>
      <c r="W216" s="4"/>
      <c r="X216" s="117"/>
      <c r="Y216" s="6"/>
    </row>
    <row r="217" spans="14:25" x14ac:dyDescent="0.4">
      <c r="N217" s="114"/>
      <c r="O217" s="115"/>
      <c r="P217" s="4"/>
      <c r="Q217" s="4"/>
      <c r="R217" s="4"/>
      <c r="S217" s="4"/>
      <c r="T217" s="4"/>
      <c r="U217" s="4"/>
      <c r="V217" s="4"/>
      <c r="W217" s="4"/>
      <c r="X217" s="117"/>
      <c r="Y217" s="6"/>
    </row>
    <row r="218" spans="14:25" x14ac:dyDescent="0.4">
      <c r="N218" s="114"/>
      <c r="O218" s="115"/>
      <c r="P218" s="4"/>
      <c r="Q218" s="4"/>
      <c r="R218" s="4"/>
      <c r="S218" s="4"/>
      <c r="T218" s="4"/>
      <c r="U218" s="4"/>
      <c r="V218" s="4"/>
      <c r="W218" s="4"/>
      <c r="X218" s="117"/>
      <c r="Y218" s="6"/>
    </row>
    <row r="219" spans="14:25" x14ac:dyDescent="0.4">
      <c r="N219" s="114"/>
      <c r="O219" s="115"/>
      <c r="P219" s="4"/>
      <c r="Q219" s="4"/>
      <c r="R219" s="4"/>
      <c r="S219" s="4"/>
      <c r="T219" s="4"/>
      <c r="U219" s="4"/>
      <c r="V219" s="4"/>
      <c r="W219" s="4"/>
      <c r="X219" s="117"/>
      <c r="Y219" s="6"/>
    </row>
    <row r="220" spans="14:25" x14ac:dyDescent="0.4">
      <c r="N220" s="114"/>
      <c r="O220" s="115"/>
      <c r="P220" s="4"/>
      <c r="Q220" s="4"/>
      <c r="R220" s="4"/>
      <c r="S220" s="4"/>
      <c r="T220" s="4"/>
      <c r="U220" s="4"/>
      <c r="V220" s="4"/>
      <c r="W220" s="4"/>
    </row>
    <row r="221" spans="14:25" x14ac:dyDescent="0.4">
      <c r="N221" s="114"/>
      <c r="O221" s="115"/>
      <c r="P221" s="4"/>
      <c r="Q221" s="4"/>
      <c r="R221" s="4"/>
      <c r="S221" s="4"/>
      <c r="T221" s="4"/>
      <c r="U221" s="4"/>
      <c r="V221" s="4"/>
      <c r="W221" s="4"/>
    </row>
    <row r="222" spans="14:25" x14ac:dyDescent="0.4">
      <c r="N222" s="114"/>
      <c r="O222" s="115"/>
      <c r="P222" s="4"/>
      <c r="Q222" s="4"/>
      <c r="R222" s="4"/>
      <c r="S222" s="4"/>
      <c r="T222" s="4"/>
      <c r="U222" s="4"/>
      <c r="V222" s="4"/>
      <c r="W222" s="4"/>
    </row>
    <row r="223" spans="14:25" x14ac:dyDescent="0.4">
      <c r="N223" s="114"/>
      <c r="O223" s="115"/>
      <c r="P223" s="4"/>
      <c r="Q223" s="4"/>
      <c r="R223" s="4"/>
      <c r="S223" s="4"/>
      <c r="T223" s="4"/>
      <c r="U223" s="4"/>
      <c r="V223" s="4"/>
      <c r="W223" s="4"/>
    </row>
    <row r="224" spans="14:25" x14ac:dyDescent="0.4">
      <c r="N224" s="114"/>
      <c r="O224" s="115"/>
      <c r="P224" s="4"/>
      <c r="Q224" s="4"/>
      <c r="R224" s="4"/>
      <c r="S224" s="4"/>
      <c r="T224" s="4"/>
      <c r="U224" s="4"/>
      <c r="V224" s="4"/>
      <c r="W224" s="4"/>
    </row>
    <row r="225" spans="14:23" x14ac:dyDescent="0.4">
      <c r="N225" s="114"/>
      <c r="O225" s="115"/>
      <c r="P225" s="4"/>
      <c r="Q225" s="4"/>
      <c r="R225" s="4"/>
      <c r="S225" s="4"/>
      <c r="T225" s="4"/>
      <c r="U225" s="4"/>
      <c r="V225" s="4"/>
      <c r="W225" s="4"/>
    </row>
    <row r="226" spans="14:23" x14ac:dyDescent="0.4">
      <c r="N226" s="114"/>
      <c r="O226" s="115"/>
      <c r="P226" s="4"/>
      <c r="Q226" s="4"/>
      <c r="R226" s="4"/>
      <c r="S226" s="4"/>
      <c r="T226" s="4"/>
      <c r="U226" s="4"/>
      <c r="V226" s="4"/>
      <c r="W226" s="4"/>
    </row>
    <row r="227" spans="14:23" x14ac:dyDescent="0.4">
      <c r="N227" s="114"/>
      <c r="O227" s="115"/>
      <c r="P227" s="4"/>
      <c r="Q227" s="4"/>
      <c r="R227" s="4"/>
      <c r="S227" s="4"/>
      <c r="T227" s="4"/>
      <c r="U227" s="4"/>
      <c r="V227" s="4"/>
      <c r="W227" s="4"/>
    </row>
    <row r="228" spans="14:23" x14ac:dyDescent="0.4">
      <c r="N228" s="114"/>
      <c r="O228" s="115"/>
      <c r="P228" s="4"/>
      <c r="Q228" s="4"/>
      <c r="R228" s="4"/>
      <c r="S228" s="4"/>
      <c r="T228" s="4"/>
      <c r="U228" s="4"/>
      <c r="V228" s="4"/>
      <c r="W228" s="4"/>
    </row>
    <row r="229" spans="14:23" x14ac:dyDescent="0.4">
      <c r="N229" s="114"/>
      <c r="O229" s="115"/>
      <c r="P229" s="4"/>
      <c r="Q229" s="4"/>
      <c r="R229" s="4"/>
      <c r="S229" s="4"/>
      <c r="T229" s="4"/>
      <c r="U229" s="4"/>
      <c r="V229" s="4"/>
      <c r="W229" s="4"/>
    </row>
    <row r="230" spans="14:23" x14ac:dyDescent="0.4">
      <c r="N230" s="114"/>
      <c r="O230" s="115"/>
      <c r="P230" s="4"/>
      <c r="Q230" s="4"/>
      <c r="R230" s="4"/>
      <c r="S230" s="4"/>
      <c r="T230" s="4"/>
      <c r="U230" s="4"/>
      <c r="V230" s="4"/>
      <c r="W230" s="4"/>
    </row>
    <row r="231" spans="14:23" x14ac:dyDescent="0.4">
      <c r="N231" s="114"/>
      <c r="O231" s="115"/>
      <c r="P231" s="4"/>
      <c r="Q231" s="4"/>
      <c r="R231" s="4"/>
      <c r="S231" s="4"/>
      <c r="T231" s="4"/>
      <c r="U231" s="4"/>
      <c r="V231" s="4"/>
      <c r="W231" s="4"/>
    </row>
    <row r="232" spans="14:23" x14ac:dyDescent="0.4">
      <c r="N232" s="114"/>
      <c r="O232" s="115"/>
      <c r="P232" s="4"/>
      <c r="Q232" s="4"/>
      <c r="R232" s="4"/>
      <c r="S232" s="4"/>
      <c r="T232" s="4"/>
      <c r="U232" s="4"/>
      <c r="V232" s="4"/>
      <c r="W232" s="4"/>
    </row>
    <row r="233" spans="14:23" x14ac:dyDescent="0.4">
      <c r="N233" s="114"/>
      <c r="O233" s="115"/>
      <c r="P233" s="4"/>
      <c r="Q233" s="4"/>
      <c r="R233" s="4"/>
      <c r="S233" s="4"/>
      <c r="T233" s="4"/>
      <c r="U233" s="4"/>
      <c r="V233" s="4"/>
      <c r="W233" s="4"/>
    </row>
    <row r="234" spans="14:23" x14ac:dyDescent="0.4">
      <c r="N234" s="114"/>
      <c r="O234" s="115"/>
      <c r="P234" s="4"/>
      <c r="Q234" s="4"/>
      <c r="R234" s="4"/>
      <c r="S234" s="4"/>
      <c r="T234" s="4"/>
      <c r="U234" s="4"/>
      <c r="V234" s="4"/>
      <c r="W234" s="4"/>
    </row>
    <row r="235" spans="14:23" x14ac:dyDescent="0.4">
      <c r="N235" s="114"/>
      <c r="O235" s="115"/>
      <c r="P235" s="4"/>
      <c r="Q235" s="4"/>
      <c r="R235" s="4"/>
      <c r="S235" s="4"/>
      <c r="T235" s="4"/>
      <c r="U235" s="4"/>
      <c r="V235" s="4"/>
      <c r="W235" s="4"/>
    </row>
    <row r="236" spans="14:23" x14ac:dyDescent="0.4">
      <c r="N236" s="114"/>
      <c r="O236" s="115"/>
      <c r="P236" s="4"/>
      <c r="Q236" s="4"/>
      <c r="R236" s="4"/>
      <c r="S236" s="4"/>
      <c r="T236" s="4"/>
      <c r="U236" s="4"/>
      <c r="V236" s="4"/>
      <c r="W236" s="4"/>
    </row>
    <row r="237" spans="14:23" x14ac:dyDescent="0.4">
      <c r="N237" s="114"/>
      <c r="O237" s="115"/>
      <c r="P237" s="4"/>
      <c r="Q237" s="4"/>
      <c r="R237" s="4"/>
      <c r="S237" s="4"/>
      <c r="T237" s="4"/>
      <c r="U237" s="4"/>
      <c r="V237" s="4"/>
      <c r="W237" s="4"/>
    </row>
    <row r="238" spans="14:23" x14ac:dyDescent="0.4">
      <c r="N238" s="114"/>
      <c r="O238" s="115"/>
      <c r="P238" s="4"/>
      <c r="Q238" s="4"/>
      <c r="R238" s="4"/>
      <c r="S238" s="4"/>
      <c r="T238" s="4"/>
      <c r="U238" s="4"/>
      <c r="V238" s="4"/>
      <c r="W238" s="4"/>
    </row>
    <row r="239" spans="14:23" x14ac:dyDescent="0.4">
      <c r="N239" s="114"/>
      <c r="O239" s="115"/>
      <c r="P239" s="4"/>
      <c r="Q239" s="4"/>
      <c r="R239" s="4"/>
      <c r="S239" s="4"/>
      <c r="T239" s="4"/>
      <c r="U239" s="4"/>
      <c r="V239" s="4"/>
      <c r="W239" s="4"/>
    </row>
    <row r="240" spans="14:23" x14ac:dyDescent="0.4">
      <c r="N240" s="114"/>
      <c r="O240" s="115"/>
      <c r="P240" s="4"/>
      <c r="Q240" s="4"/>
      <c r="R240" s="4"/>
      <c r="S240" s="4"/>
      <c r="T240" s="4"/>
      <c r="U240" s="4"/>
      <c r="V240" s="4"/>
      <c r="W240" s="4"/>
    </row>
    <row r="241" spans="14:23" x14ac:dyDescent="0.4">
      <c r="N241" s="114"/>
      <c r="O241" s="115"/>
      <c r="P241" s="4"/>
      <c r="Q241" s="4"/>
      <c r="R241" s="4"/>
      <c r="S241" s="4"/>
      <c r="T241" s="4"/>
      <c r="U241" s="4"/>
      <c r="V241" s="4"/>
      <c r="W241" s="4"/>
    </row>
    <row r="242" spans="14:23" x14ac:dyDescent="0.4">
      <c r="N242" s="114"/>
      <c r="O242" s="115"/>
      <c r="P242" s="4"/>
      <c r="Q242" s="4"/>
      <c r="R242" s="4"/>
      <c r="S242" s="4"/>
      <c r="T242" s="4"/>
      <c r="U242" s="4"/>
      <c r="V242" s="4"/>
      <c r="W242" s="4"/>
    </row>
    <row r="243" spans="14:23" x14ac:dyDescent="0.4">
      <c r="N243" s="114"/>
      <c r="O243" s="115"/>
      <c r="P243" s="4"/>
      <c r="Q243" s="4"/>
      <c r="R243" s="4"/>
      <c r="S243" s="4"/>
      <c r="T243" s="4"/>
      <c r="U243" s="4"/>
      <c r="V243" s="4"/>
      <c r="W243" s="4"/>
    </row>
    <row r="244" spans="14:23" x14ac:dyDescent="0.4">
      <c r="N244" s="114"/>
      <c r="O244" s="115"/>
      <c r="P244" s="4"/>
      <c r="Q244" s="4"/>
      <c r="R244" s="4"/>
      <c r="S244" s="4"/>
      <c r="T244" s="4"/>
      <c r="U244" s="4"/>
      <c r="V244" s="4"/>
      <c r="W244" s="4"/>
    </row>
    <row r="245" spans="14:23" x14ac:dyDescent="0.4">
      <c r="N245" s="114"/>
      <c r="O245" s="115"/>
      <c r="P245" s="4"/>
      <c r="Q245" s="4"/>
      <c r="R245" s="4"/>
      <c r="S245" s="4"/>
      <c r="T245" s="4"/>
      <c r="U245" s="4"/>
      <c r="V245" s="4"/>
      <c r="W245" s="4"/>
    </row>
    <row r="246" spans="14:23" x14ac:dyDescent="0.4">
      <c r="N246" s="114"/>
      <c r="O246" s="115"/>
      <c r="P246" s="4"/>
      <c r="Q246" s="4"/>
      <c r="R246" s="4"/>
      <c r="S246" s="4"/>
      <c r="T246" s="4"/>
      <c r="U246" s="4"/>
      <c r="V246" s="4"/>
      <c r="W246" s="4"/>
    </row>
    <row r="247" spans="14:23" x14ac:dyDescent="0.4">
      <c r="N247" s="114"/>
      <c r="O247" s="115"/>
      <c r="P247" s="4"/>
      <c r="Q247" s="4"/>
      <c r="R247" s="4"/>
      <c r="S247" s="4"/>
      <c r="T247" s="4"/>
      <c r="U247" s="4"/>
      <c r="V247" s="4"/>
      <c r="W247" s="4"/>
    </row>
    <row r="248" spans="14:23" x14ac:dyDescent="0.4">
      <c r="N248" s="114"/>
      <c r="O248" s="115"/>
      <c r="P248" s="4"/>
      <c r="Q248" s="4"/>
      <c r="R248" s="4"/>
      <c r="S248" s="4"/>
      <c r="T248" s="4"/>
      <c r="U248" s="4"/>
      <c r="V248" s="4"/>
      <c r="W248" s="4"/>
    </row>
    <row r="249" spans="14:23" x14ac:dyDescent="0.4">
      <c r="N249" s="114"/>
      <c r="O249" s="115"/>
      <c r="P249" s="4"/>
      <c r="Q249" s="4"/>
      <c r="R249" s="4"/>
      <c r="S249" s="4"/>
      <c r="T249" s="4"/>
      <c r="U249" s="4"/>
      <c r="V249" s="4"/>
      <c r="W249" s="4"/>
    </row>
    <row r="250" spans="14:23" x14ac:dyDescent="0.4">
      <c r="N250" s="114"/>
      <c r="O250" s="115"/>
      <c r="P250" s="4"/>
      <c r="Q250" s="4"/>
      <c r="R250" s="4"/>
      <c r="S250" s="4"/>
      <c r="T250" s="4"/>
      <c r="U250" s="4"/>
      <c r="V250" s="4"/>
      <c r="W250" s="4"/>
    </row>
    <row r="251" spans="14:23" x14ac:dyDescent="0.4">
      <c r="N251" s="114"/>
      <c r="O251" s="115"/>
      <c r="P251" s="4"/>
      <c r="Q251" s="4"/>
      <c r="R251" s="4"/>
      <c r="S251" s="4"/>
      <c r="T251" s="4"/>
      <c r="U251" s="4"/>
      <c r="V251" s="4"/>
      <c r="W251" s="4"/>
    </row>
    <row r="252" spans="14:23" x14ac:dyDescent="0.4">
      <c r="N252" s="114"/>
      <c r="O252" s="115"/>
      <c r="P252" s="4"/>
      <c r="Q252" s="4"/>
      <c r="R252" s="4"/>
      <c r="S252" s="4"/>
      <c r="T252" s="4"/>
      <c r="U252" s="4"/>
      <c r="V252" s="4"/>
      <c r="W252" s="4"/>
    </row>
    <row r="253" spans="14:23" x14ac:dyDescent="0.4">
      <c r="N253" s="114"/>
      <c r="O253" s="115"/>
      <c r="P253" s="4"/>
      <c r="Q253" s="4"/>
      <c r="R253" s="4"/>
      <c r="S253" s="4"/>
      <c r="T253" s="4"/>
      <c r="U253" s="4"/>
      <c r="V253" s="4"/>
      <c r="W253" s="4"/>
    </row>
    <row r="254" spans="14:23" x14ac:dyDescent="0.4">
      <c r="N254" s="114"/>
      <c r="O254" s="115"/>
      <c r="P254" s="4"/>
      <c r="Q254" s="4"/>
      <c r="R254" s="4"/>
      <c r="S254" s="4"/>
      <c r="T254" s="4"/>
      <c r="U254" s="4"/>
      <c r="V254" s="4"/>
      <c r="W254" s="4"/>
    </row>
    <row r="255" spans="14:23" x14ac:dyDescent="0.4">
      <c r="N255" s="114"/>
      <c r="O255" s="115"/>
      <c r="P255" s="4"/>
      <c r="Q255" s="4"/>
      <c r="R255" s="4"/>
      <c r="S255" s="4"/>
      <c r="T255" s="4"/>
      <c r="U255" s="4"/>
      <c r="V255" s="4"/>
      <c r="W255" s="4"/>
    </row>
    <row r="256" spans="14:23" x14ac:dyDescent="0.4">
      <c r="N256" s="114"/>
      <c r="O256" s="115"/>
      <c r="P256" s="4"/>
      <c r="Q256" s="4"/>
      <c r="R256" s="4"/>
      <c r="S256" s="4"/>
      <c r="T256" s="4"/>
      <c r="U256" s="4"/>
      <c r="V256" s="4"/>
      <c r="W256" s="4"/>
    </row>
    <row r="257" spans="14:23" x14ac:dyDescent="0.4">
      <c r="N257" s="114"/>
      <c r="O257" s="115"/>
      <c r="P257" s="4"/>
      <c r="Q257" s="4"/>
      <c r="R257" s="4"/>
      <c r="S257" s="4"/>
      <c r="T257" s="4"/>
      <c r="U257" s="4"/>
      <c r="V257" s="4"/>
      <c r="W257" s="4"/>
    </row>
    <row r="258" spans="14:23" x14ac:dyDescent="0.4">
      <c r="N258" s="114"/>
      <c r="O258" s="115"/>
      <c r="P258" s="4"/>
      <c r="Q258" s="4"/>
      <c r="R258" s="4"/>
      <c r="S258" s="4"/>
      <c r="T258" s="4"/>
      <c r="U258" s="4"/>
      <c r="V258" s="4"/>
      <c r="W258" s="4"/>
    </row>
    <row r="259" spans="14:23" x14ac:dyDescent="0.4">
      <c r="N259" s="114"/>
      <c r="O259" s="115"/>
      <c r="P259" s="4"/>
      <c r="Q259" s="4"/>
      <c r="R259" s="4"/>
      <c r="S259" s="4"/>
      <c r="T259" s="4"/>
      <c r="U259" s="4"/>
      <c r="V259" s="4"/>
      <c r="W259" s="4"/>
    </row>
    <row r="260" spans="14:23" x14ac:dyDescent="0.4">
      <c r="N260" s="114"/>
      <c r="O260" s="115"/>
      <c r="P260" s="4"/>
      <c r="Q260" s="4"/>
      <c r="R260" s="4"/>
      <c r="S260" s="4"/>
      <c r="T260" s="4"/>
      <c r="U260" s="4"/>
      <c r="V260" s="4"/>
      <c r="W260" s="4"/>
    </row>
    <row r="261" spans="14:23" x14ac:dyDescent="0.4">
      <c r="N261" s="114"/>
      <c r="O261" s="115"/>
      <c r="P261" s="4"/>
      <c r="Q261" s="4"/>
      <c r="R261" s="4"/>
      <c r="S261" s="4"/>
      <c r="T261" s="4"/>
      <c r="U261" s="4"/>
      <c r="V261" s="4"/>
      <c r="W261" s="4"/>
    </row>
    <row r="262" spans="14:23" x14ac:dyDescent="0.4">
      <c r="N262" s="114"/>
      <c r="O262" s="115"/>
      <c r="P262" s="4"/>
      <c r="Q262" s="4"/>
      <c r="R262" s="4"/>
      <c r="S262" s="4"/>
      <c r="T262" s="4"/>
      <c r="U262" s="4"/>
      <c r="V262" s="4"/>
      <c r="W262" s="4"/>
    </row>
    <row r="263" spans="14:23" x14ac:dyDescent="0.4">
      <c r="N263" s="114"/>
      <c r="O263" s="115"/>
      <c r="P263" s="4"/>
      <c r="Q263" s="4"/>
      <c r="R263" s="4"/>
      <c r="S263" s="4"/>
      <c r="T263" s="4"/>
      <c r="U263" s="4"/>
      <c r="V263" s="4"/>
      <c r="W263" s="4"/>
    </row>
    <row r="264" spans="14:23" x14ac:dyDescent="0.4">
      <c r="N264" s="114"/>
      <c r="O264" s="115"/>
      <c r="P264" s="4"/>
      <c r="Q264" s="4"/>
      <c r="R264" s="4"/>
      <c r="S264" s="4"/>
      <c r="T264" s="4"/>
      <c r="U264" s="4"/>
      <c r="V264" s="4"/>
      <c r="W264" s="4"/>
    </row>
    <row r="265" spans="14:23" x14ac:dyDescent="0.4">
      <c r="N265" s="114"/>
      <c r="O265" s="115"/>
      <c r="P265" s="4"/>
      <c r="Q265" s="4"/>
      <c r="R265" s="4"/>
      <c r="S265" s="4"/>
      <c r="T265" s="4"/>
      <c r="U265" s="4"/>
      <c r="V265" s="4"/>
      <c r="W265" s="4"/>
    </row>
    <row r="266" spans="14:23" x14ac:dyDescent="0.4">
      <c r="N266" s="114"/>
      <c r="O266" s="115"/>
      <c r="P266" s="4"/>
      <c r="Q266" s="4"/>
      <c r="R266" s="4"/>
      <c r="S266" s="4"/>
      <c r="T266" s="4"/>
      <c r="U266" s="4"/>
      <c r="V266" s="4"/>
      <c r="W266" s="4"/>
    </row>
    <row r="267" spans="14:23" x14ac:dyDescent="0.4">
      <c r="N267" s="114"/>
      <c r="O267" s="115"/>
      <c r="P267" s="4"/>
      <c r="Q267" s="4"/>
      <c r="R267" s="4"/>
      <c r="S267" s="4"/>
      <c r="T267" s="4"/>
      <c r="U267" s="4"/>
      <c r="V267" s="4"/>
      <c r="W267" s="4"/>
    </row>
    <row r="268" spans="14:23" x14ac:dyDescent="0.4">
      <c r="N268" s="114"/>
      <c r="O268" s="115"/>
      <c r="P268" s="4"/>
      <c r="Q268" s="4"/>
      <c r="R268" s="4"/>
      <c r="S268" s="4"/>
      <c r="T268" s="4"/>
      <c r="U268" s="4"/>
      <c r="V268" s="4"/>
      <c r="W268" s="4"/>
    </row>
    <row r="269" spans="14:23" x14ac:dyDescent="0.4">
      <c r="N269" s="114"/>
      <c r="O269" s="115"/>
      <c r="P269" s="4"/>
      <c r="Q269" s="4"/>
      <c r="R269" s="4"/>
      <c r="S269" s="4"/>
      <c r="T269" s="4"/>
      <c r="U269" s="4"/>
      <c r="V269" s="4"/>
      <c r="W269" s="4"/>
    </row>
    <row r="270" spans="14:23" x14ac:dyDescent="0.4">
      <c r="N270" s="114"/>
      <c r="O270" s="115"/>
      <c r="P270" s="4"/>
      <c r="Q270" s="4"/>
      <c r="R270" s="4"/>
      <c r="S270" s="4"/>
      <c r="T270" s="4"/>
      <c r="U270" s="4"/>
      <c r="V270" s="4"/>
      <c r="W270" s="4"/>
    </row>
    <row r="271" spans="14:23" x14ac:dyDescent="0.4">
      <c r="N271" s="114"/>
      <c r="O271" s="115"/>
      <c r="P271" s="4"/>
      <c r="Q271" s="4"/>
      <c r="R271" s="4"/>
      <c r="S271" s="4"/>
      <c r="T271" s="4"/>
      <c r="U271" s="4"/>
      <c r="V271" s="4"/>
      <c r="W271" s="4"/>
    </row>
    <row r="272" spans="14:23" x14ac:dyDescent="0.4">
      <c r="N272" s="114"/>
      <c r="O272" s="115"/>
      <c r="P272" s="4"/>
      <c r="Q272" s="4"/>
      <c r="R272" s="4"/>
      <c r="S272" s="4"/>
      <c r="T272" s="4"/>
      <c r="U272" s="4"/>
      <c r="V272" s="4"/>
      <c r="W272" s="4"/>
    </row>
    <row r="273" spans="14:23" x14ac:dyDescent="0.4">
      <c r="N273" s="114"/>
      <c r="O273" s="115"/>
      <c r="P273" s="4"/>
      <c r="Q273" s="4"/>
      <c r="R273" s="4"/>
      <c r="S273" s="4"/>
      <c r="T273" s="4"/>
      <c r="U273" s="4"/>
      <c r="V273" s="4"/>
      <c r="W273" s="4"/>
    </row>
    <row r="274" spans="14:23" x14ac:dyDescent="0.4">
      <c r="N274" s="114"/>
      <c r="O274" s="115"/>
      <c r="P274" s="4"/>
      <c r="Q274" s="4"/>
      <c r="R274" s="4"/>
      <c r="S274" s="4"/>
      <c r="T274" s="4"/>
      <c r="U274" s="4"/>
      <c r="V274" s="4"/>
      <c r="W274" s="4"/>
    </row>
    <row r="275" spans="14:23" x14ac:dyDescent="0.4">
      <c r="N275" s="114"/>
      <c r="O275" s="115"/>
      <c r="P275" s="4"/>
      <c r="Q275" s="4"/>
      <c r="R275" s="4"/>
      <c r="S275" s="4"/>
      <c r="T275" s="4"/>
      <c r="U275" s="4"/>
      <c r="V275" s="4"/>
      <c r="W275" s="4"/>
    </row>
    <row r="276" spans="14:23" x14ac:dyDescent="0.4">
      <c r="N276" s="114"/>
      <c r="O276" s="115"/>
      <c r="P276" s="4"/>
      <c r="Q276" s="4"/>
      <c r="R276" s="4"/>
      <c r="S276" s="4"/>
      <c r="T276" s="4"/>
      <c r="U276" s="4"/>
      <c r="V276" s="4"/>
      <c r="W276" s="4"/>
    </row>
    <row r="277" spans="14:23" x14ac:dyDescent="0.4">
      <c r="N277" s="114"/>
      <c r="O277" s="115"/>
      <c r="P277" s="4"/>
      <c r="Q277" s="4"/>
      <c r="R277" s="4"/>
      <c r="S277" s="4"/>
      <c r="T277" s="4"/>
      <c r="U277" s="4"/>
      <c r="V277" s="4"/>
      <c r="W277" s="4"/>
    </row>
    <row r="278" spans="14:23" x14ac:dyDescent="0.4">
      <c r="N278" s="114"/>
      <c r="O278" s="115"/>
      <c r="P278" s="4"/>
      <c r="Q278" s="4"/>
      <c r="R278" s="4"/>
      <c r="S278" s="4"/>
      <c r="T278" s="4"/>
      <c r="U278" s="4"/>
      <c r="V278" s="4"/>
      <c r="W278" s="4"/>
    </row>
    <row r="279" spans="14:23" x14ac:dyDescent="0.4">
      <c r="N279" s="114"/>
      <c r="O279" s="115"/>
      <c r="P279" s="4"/>
      <c r="Q279" s="4"/>
      <c r="R279" s="4"/>
      <c r="S279" s="4"/>
      <c r="T279" s="4"/>
      <c r="U279" s="4"/>
      <c r="V279" s="4"/>
      <c r="W279" s="4"/>
    </row>
    <row r="280" spans="14:23" x14ac:dyDescent="0.4">
      <c r="N280" s="114"/>
      <c r="O280" s="115"/>
      <c r="P280" s="4"/>
      <c r="Q280" s="4"/>
      <c r="R280" s="4"/>
      <c r="S280" s="4"/>
      <c r="T280" s="4"/>
      <c r="U280" s="4"/>
      <c r="V280" s="4"/>
      <c r="W280" s="4"/>
    </row>
    <row r="281" spans="14:23" x14ac:dyDescent="0.4">
      <c r="N281" s="114"/>
      <c r="O281" s="115"/>
      <c r="P281" s="4"/>
      <c r="Q281" s="4"/>
      <c r="R281" s="4"/>
      <c r="S281" s="4"/>
      <c r="T281" s="4"/>
      <c r="U281" s="4"/>
      <c r="V281" s="4"/>
      <c r="W281" s="4"/>
    </row>
    <row r="282" spans="14:23" x14ac:dyDescent="0.4">
      <c r="N282" s="114"/>
      <c r="O282" s="115"/>
      <c r="P282" s="4"/>
      <c r="Q282" s="4"/>
      <c r="R282" s="4"/>
      <c r="S282" s="4"/>
      <c r="T282" s="4"/>
      <c r="U282" s="4"/>
      <c r="V282" s="4"/>
      <c r="W282" s="4"/>
    </row>
    <row r="283" spans="14:23" x14ac:dyDescent="0.4">
      <c r="N283" s="114"/>
      <c r="O283" s="115"/>
      <c r="P283" s="4"/>
      <c r="Q283" s="4"/>
      <c r="R283" s="4"/>
      <c r="S283" s="4"/>
      <c r="T283" s="4"/>
      <c r="U283" s="4"/>
      <c r="V283" s="4"/>
      <c r="W283" s="4"/>
    </row>
    <row r="284" spans="14:23" x14ac:dyDescent="0.4">
      <c r="N284" s="114"/>
      <c r="O284" s="115"/>
      <c r="P284" s="4"/>
      <c r="Q284" s="4"/>
      <c r="R284" s="4"/>
      <c r="S284" s="4"/>
      <c r="T284" s="4"/>
      <c r="U284" s="4"/>
      <c r="V284" s="4"/>
      <c r="W284" s="4"/>
    </row>
    <row r="285" spans="14:23" x14ac:dyDescent="0.4">
      <c r="N285" s="114"/>
      <c r="O285" s="115"/>
      <c r="P285" s="4"/>
      <c r="Q285" s="4"/>
      <c r="R285" s="4"/>
      <c r="S285" s="4"/>
      <c r="T285" s="4"/>
      <c r="U285" s="4"/>
      <c r="V285" s="4"/>
      <c r="W285" s="4"/>
    </row>
    <row r="286" spans="14:23" x14ac:dyDescent="0.4">
      <c r="N286" s="114"/>
      <c r="O286" s="115"/>
      <c r="P286" s="4"/>
      <c r="Q286" s="4"/>
      <c r="R286" s="4"/>
      <c r="S286" s="4"/>
      <c r="T286" s="4"/>
      <c r="U286" s="4"/>
      <c r="V286" s="4"/>
      <c r="W286" s="4"/>
    </row>
    <row r="287" spans="14:23" x14ac:dyDescent="0.4">
      <c r="N287" s="114"/>
      <c r="O287" s="115"/>
      <c r="P287" s="4"/>
      <c r="Q287" s="4"/>
      <c r="R287" s="4"/>
      <c r="S287" s="4"/>
      <c r="T287" s="4"/>
      <c r="U287" s="4"/>
      <c r="V287" s="4"/>
      <c r="W287" s="4"/>
    </row>
    <row r="288" spans="14:23" x14ac:dyDescent="0.4">
      <c r="N288" s="114"/>
      <c r="O288" s="115"/>
      <c r="P288" s="4"/>
      <c r="Q288" s="4"/>
      <c r="R288" s="4"/>
      <c r="S288" s="4"/>
      <c r="T288" s="4"/>
      <c r="U288" s="4"/>
      <c r="V288" s="4"/>
      <c r="W288" s="4"/>
    </row>
    <row r="289" spans="14:23" x14ac:dyDescent="0.4">
      <c r="N289" s="114"/>
      <c r="O289" s="115"/>
      <c r="P289" s="4"/>
      <c r="Q289" s="4"/>
      <c r="R289" s="4"/>
      <c r="S289" s="4"/>
      <c r="T289" s="4"/>
      <c r="U289" s="4"/>
      <c r="V289" s="4"/>
      <c r="W289" s="4"/>
    </row>
    <row r="290" spans="14:23" x14ac:dyDescent="0.4">
      <c r="N290" s="114"/>
      <c r="O290" s="115"/>
      <c r="P290" s="4"/>
      <c r="Q290" s="4"/>
      <c r="R290" s="4"/>
      <c r="S290" s="4"/>
      <c r="T290" s="4"/>
      <c r="U290" s="4"/>
      <c r="V290" s="4"/>
      <c r="W290" s="4"/>
    </row>
    <row r="291" spans="14:23" x14ac:dyDescent="0.4">
      <c r="N291" s="114"/>
      <c r="O291" s="115"/>
      <c r="P291" s="4"/>
      <c r="Q291" s="4"/>
      <c r="R291" s="4"/>
      <c r="S291" s="4"/>
      <c r="T291" s="4"/>
      <c r="U291" s="4"/>
      <c r="V291" s="4"/>
      <c r="W291" s="4"/>
    </row>
    <row r="292" spans="14:23" x14ac:dyDescent="0.4">
      <c r="N292" s="114"/>
      <c r="O292" s="115"/>
      <c r="P292" s="4"/>
      <c r="Q292" s="4"/>
      <c r="R292" s="4"/>
      <c r="S292" s="4"/>
      <c r="T292" s="4"/>
      <c r="U292" s="4"/>
      <c r="V292" s="4"/>
      <c r="W292" s="4"/>
    </row>
    <row r="293" spans="14:23" x14ac:dyDescent="0.4">
      <c r="N293" s="114"/>
      <c r="O293" s="115"/>
      <c r="P293" s="4"/>
      <c r="Q293" s="4"/>
      <c r="R293" s="4"/>
      <c r="S293" s="4"/>
      <c r="T293" s="4"/>
      <c r="U293" s="4"/>
      <c r="V293" s="4"/>
      <c r="W293" s="4"/>
    </row>
    <row r="294" spans="14:23" x14ac:dyDescent="0.4">
      <c r="N294" s="114"/>
      <c r="O294" s="115"/>
      <c r="P294" s="4"/>
      <c r="Q294" s="4"/>
      <c r="R294" s="4"/>
      <c r="S294" s="4"/>
      <c r="T294" s="4"/>
      <c r="U294" s="4"/>
      <c r="V294" s="4"/>
      <c r="W294" s="4"/>
    </row>
    <row r="295" spans="14:23" x14ac:dyDescent="0.4">
      <c r="N295" s="114"/>
      <c r="O295" s="115"/>
      <c r="P295" s="4"/>
      <c r="Q295" s="4"/>
      <c r="R295" s="4"/>
      <c r="S295" s="4"/>
      <c r="T295" s="4"/>
      <c r="U295" s="4"/>
      <c r="V295" s="4"/>
      <c r="W295" s="4"/>
    </row>
    <row r="296" spans="14:23" x14ac:dyDescent="0.4">
      <c r="N296" s="114"/>
      <c r="O296" s="115"/>
      <c r="P296" s="4"/>
      <c r="Q296" s="4"/>
      <c r="R296" s="4"/>
      <c r="S296" s="4"/>
      <c r="T296" s="4"/>
      <c r="U296" s="4"/>
      <c r="V296" s="4"/>
      <c r="W296" s="4"/>
    </row>
    <row r="297" spans="14:23" x14ac:dyDescent="0.4">
      <c r="N297" s="114"/>
      <c r="O297" s="115"/>
      <c r="P297" s="4"/>
      <c r="Q297" s="4"/>
      <c r="R297" s="4"/>
      <c r="S297" s="4"/>
      <c r="T297" s="4"/>
      <c r="U297" s="4"/>
      <c r="V297" s="4"/>
      <c r="W297" s="4"/>
    </row>
    <row r="298" spans="14:23" x14ac:dyDescent="0.4">
      <c r="N298" s="114"/>
      <c r="O298" s="115"/>
      <c r="P298" s="4"/>
      <c r="Q298" s="4"/>
      <c r="R298" s="4"/>
      <c r="S298" s="4"/>
      <c r="T298" s="4"/>
      <c r="U298" s="4"/>
      <c r="V298" s="4"/>
      <c r="W298" s="4"/>
    </row>
    <row r="299" spans="14:23" x14ac:dyDescent="0.4">
      <c r="N299" s="114"/>
      <c r="O299" s="115"/>
      <c r="P299" s="4"/>
      <c r="Q299" s="4"/>
      <c r="R299" s="4"/>
      <c r="S299" s="4"/>
      <c r="T299" s="4"/>
      <c r="U299" s="4"/>
      <c r="V299" s="4"/>
      <c r="W299" s="4"/>
    </row>
    <row r="300" spans="14:23" x14ac:dyDescent="0.4">
      <c r="N300" s="114"/>
      <c r="O300" s="115"/>
      <c r="P300" s="4"/>
      <c r="Q300" s="4"/>
      <c r="R300" s="4"/>
      <c r="S300" s="4"/>
      <c r="T300" s="4"/>
      <c r="U300" s="4"/>
      <c r="V300" s="4"/>
      <c r="W300" s="4"/>
    </row>
    <row r="301" spans="14:23" x14ac:dyDescent="0.4">
      <c r="N301" s="114"/>
      <c r="O301" s="115"/>
      <c r="P301" s="4"/>
      <c r="Q301" s="4"/>
      <c r="R301" s="4"/>
      <c r="S301" s="4"/>
      <c r="T301" s="4"/>
      <c r="U301" s="4"/>
      <c r="V301" s="4"/>
      <c r="W301" s="4"/>
    </row>
    <row r="302" spans="14:23" x14ac:dyDescent="0.4">
      <c r="N302" s="114"/>
      <c r="O302" s="115"/>
      <c r="P302" s="4"/>
      <c r="Q302" s="4"/>
      <c r="R302" s="4"/>
      <c r="S302" s="4"/>
      <c r="T302" s="4"/>
      <c r="U302" s="4"/>
      <c r="V302" s="4"/>
      <c r="W302" s="4"/>
    </row>
    <row r="303" spans="14:23" x14ac:dyDescent="0.4">
      <c r="N303" s="114"/>
      <c r="O303" s="115"/>
      <c r="P303" s="4"/>
      <c r="Q303" s="4"/>
      <c r="R303" s="4"/>
      <c r="S303" s="4"/>
      <c r="T303" s="4"/>
      <c r="U303" s="4"/>
      <c r="V303" s="4"/>
      <c r="W303" s="4"/>
    </row>
    <row r="304" spans="14:23" x14ac:dyDescent="0.4">
      <c r="N304" s="114"/>
      <c r="O304" s="115"/>
      <c r="P304" s="4"/>
      <c r="Q304" s="4"/>
      <c r="R304" s="4"/>
      <c r="S304" s="4"/>
      <c r="T304" s="4"/>
      <c r="U304" s="4"/>
      <c r="V304" s="4"/>
      <c r="W304" s="4"/>
    </row>
    <row r="305" spans="14:23" x14ac:dyDescent="0.4">
      <c r="N305" s="114"/>
      <c r="O305" s="115"/>
      <c r="P305" s="4"/>
      <c r="Q305" s="4"/>
      <c r="R305" s="4"/>
      <c r="S305" s="4"/>
      <c r="T305" s="4"/>
      <c r="U305" s="4"/>
      <c r="V305" s="4"/>
      <c r="W305" s="4"/>
    </row>
    <row r="306" spans="14:23" x14ac:dyDescent="0.4">
      <c r="N306" s="114"/>
      <c r="O306" s="115"/>
      <c r="P306" s="4"/>
      <c r="Q306" s="4"/>
      <c r="R306" s="4"/>
      <c r="S306" s="4"/>
      <c r="T306" s="4"/>
      <c r="U306" s="4"/>
      <c r="V306" s="4"/>
      <c r="W306" s="4"/>
    </row>
    <row r="307" spans="14:23" x14ac:dyDescent="0.4">
      <c r="N307" s="114"/>
      <c r="O307" s="115"/>
      <c r="P307" s="4"/>
      <c r="Q307" s="4"/>
      <c r="R307" s="4"/>
      <c r="S307" s="4"/>
      <c r="T307" s="4"/>
      <c r="U307" s="4"/>
      <c r="V307" s="4"/>
      <c r="W307" s="4"/>
    </row>
    <row r="308" spans="14:23" x14ac:dyDescent="0.4">
      <c r="N308" s="114"/>
      <c r="O308" s="115"/>
      <c r="P308" s="4"/>
      <c r="Q308" s="4"/>
      <c r="R308" s="4"/>
      <c r="S308" s="4"/>
      <c r="T308" s="4"/>
      <c r="U308" s="4"/>
      <c r="V308" s="4"/>
      <c r="W308" s="4"/>
    </row>
    <row r="309" spans="14:23" x14ac:dyDescent="0.4">
      <c r="N309" s="114"/>
      <c r="O309" s="115"/>
      <c r="P309" s="4"/>
      <c r="Q309" s="4"/>
      <c r="R309" s="4"/>
      <c r="S309" s="4"/>
      <c r="T309" s="4"/>
      <c r="U309" s="4"/>
      <c r="V309" s="4"/>
      <c r="W309" s="4"/>
    </row>
    <row r="310" spans="14:23" x14ac:dyDescent="0.4">
      <c r="N310" s="114"/>
      <c r="O310" s="115"/>
      <c r="P310" s="4"/>
      <c r="Q310" s="4"/>
      <c r="R310" s="4"/>
      <c r="S310" s="4"/>
      <c r="T310" s="4"/>
      <c r="U310" s="4"/>
      <c r="V310" s="4"/>
      <c r="W310" s="4"/>
    </row>
    <row r="311" spans="14:23" x14ac:dyDescent="0.4">
      <c r="N311" s="114"/>
      <c r="O311" s="115"/>
      <c r="P311" s="4"/>
      <c r="Q311" s="4"/>
      <c r="R311" s="4"/>
      <c r="S311" s="4"/>
      <c r="T311" s="4"/>
      <c r="U311" s="4"/>
      <c r="V311" s="4"/>
      <c r="W311" s="4"/>
    </row>
    <row r="312" spans="14:23" x14ac:dyDescent="0.4">
      <c r="N312" s="114"/>
      <c r="O312" s="115"/>
      <c r="P312" s="4"/>
      <c r="Q312" s="4"/>
      <c r="R312" s="4"/>
      <c r="S312" s="4"/>
      <c r="T312" s="4"/>
      <c r="U312" s="4"/>
      <c r="V312" s="4"/>
      <c r="W312" s="4"/>
    </row>
    <row r="313" spans="14:23" x14ac:dyDescent="0.4">
      <c r="N313" s="114"/>
      <c r="O313" s="115"/>
      <c r="P313" s="4"/>
      <c r="Q313" s="4"/>
      <c r="R313" s="4"/>
      <c r="S313" s="4"/>
      <c r="T313" s="4"/>
      <c r="U313" s="4"/>
      <c r="V313" s="4"/>
      <c r="W313" s="4"/>
    </row>
    <row r="314" spans="14:23" x14ac:dyDescent="0.4">
      <c r="N314" s="114"/>
      <c r="O314" s="115"/>
      <c r="P314" s="4"/>
      <c r="Q314" s="4"/>
      <c r="R314" s="4"/>
      <c r="S314" s="4"/>
      <c r="T314" s="4"/>
      <c r="U314" s="4"/>
      <c r="V314" s="4"/>
      <c r="W314" s="4"/>
    </row>
    <row r="315" spans="14:23" x14ac:dyDescent="0.4">
      <c r="N315" s="114"/>
      <c r="O315" s="115"/>
      <c r="P315" s="4"/>
      <c r="Q315" s="4"/>
      <c r="R315" s="4"/>
      <c r="S315" s="4"/>
      <c r="T315" s="4"/>
      <c r="U315" s="4"/>
      <c r="V315" s="4"/>
      <c r="W315" s="4"/>
    </row>
    <row r="316" spans="14:23" x14ac:dyDescent="0.4">
      <c r="N316" s="114"/>
      <c r="O316" s="115"/>
      <c r="P316" s="4"/>
      <c r="Q316" s="4"/>
      <c r="R316" s="4"/>
      <c r="S316" s="4"/>
      <c r="T316" s="4"/>
      <c r="U316" s="4"/>
      <c r="V316" s="4"/>
      <c r="W316" s="4"/>
    </row>
    <row r="317" spans="14:23" x14ac:dyDescent="0.4">
      <c r="N317" s="114"/>
      <c r="O317" s="115"/>
      <c r="P317" s="4"/>
      <c r="Q317" s="4"/>
      <c r="R317" s="4"/>
      <c r="S317" s="4"/>
      <c r="T317" s="4"/>
      <c r="U317" s="4"/>
      <c r="V317" s="4"/>
      <c r="W317" s="4"/>
    </row>
    <row r="318" spans="14:23" x14ac:dyDescent="0.4">
      <c r="N318" s="114"/>
      <c r="O318" s="115"/>
      <c r="P318" s="4"/>
      <c r="Q318" s="4"/>
      <c r="R318" s="4"/>
      <c r="S318" s="4"/>
      <c r="T318" s="4"/>
      <c r="U318" s="4"/>
      <c r="V318" s="4"/>
      <c r="W318" s="4"/>
    </row>
    <row r="319" spans="14:23" x14ac:dyDescent="0.4">
      <c r="N319" s="114"/>
      <c r="O319" s="115"/>
      <c r="P319" s="4"/>
      <c r="Q319" s="4"/>
      <c r="R319" s="4"/>
      <c r="S319" s="4"/>
      <c r="T319" s="4"/>
      <c r="U319" s="4"/>
      <c r="V319" s="4"/>
      <c r="W319" s="4"/>
    </row>
    <row r="320" spans="14:23" x14ac:dyDescent="0.4">
      <c r="N320" s="114"/>
      <c r="O320" s="115"/>
      <c r="P320" s="4"/>
      <c r="Q320" s="4"/>
      <c r="R320" s="4"/>
      <c r="S320" s="4"/>
      <c r="T320" s="4"/>
      <c r="U320" s="4"/>
      <c r="V320" s="4"/>
      <c r="W320" s="4"/>
    </row>
    <row r="321" spans="14:23" x14ac:dyDescent="0.4">
      <c r="N321" s="114"/>
      <c r="O321" s="115"/>
      <c r="P321" s="4"/>
      <c r="Q321" s="4"/>
      <c r="R321" s="4"/>
      <c r="S321" s="4"/>
      <c r="T321" s="4"/>
      <c r="U321" s="4"/>
      <c r="V321" s="4"/>
      <c r="W321" s="4"/>
    </row>
    <row r="322" spans="14:23" x14ac:dyDescent="0.4">
      <c r="N322" s="114"/>
      <c r="O322" s="115"/>
      <c r="P322" s="4"/>
      <c r="Q322" s="4"/>
      <c r="R322" s="4"/>
      <c r="S322" s="4"/>
      <c r="T322" s="4"/>
      <c r="U322" s="4"/>
      <c r="V322" s="4"/>
      <c r="W322" s="4"/>
    </row>
    <row r="323" spans="14:23" x14ac:dyDescent="0.4">
      <c r="N323" s="114"/>
      <c r="O323" s="115"/>
      <c r="P323" s="4"/>
      <c r="Q323" s="4"/>
      <c r="R323" s="4"/>
      <c r="S323" s="4"/>
      <c r="T323" s="4"/>
      <c r="U323" s="4"/>
      <c r="V323" s="4"/>
      <c r="W323" s="4"/>
    </row>
    <row r="324" spans="14:23" x14ac:dyDescent="0.4">
      <c r="N324" s="114"/>
      <c r="O324" s="115"/>
      <c r="P324" s="4"/>
      <c r="Q324" s="4"/>
      <c r="R324" s="4"/>
      <c r="S324" s="4"/>
      <c r="T324" s="4"/>
      <c r="U324" s="4"/>
      <c r="V324" s="4"/>
      <c r="W324" s="4"/>
    </row>
    <row r="325" spans="14:23" x14ac:dyDescent="0.4">
      <c r="N325" s="114"/>
      <c r="O325" s="115"/>
      <c r="P325" s="4"/>
      <c r="Q325" s="4"/>
      <c r="R325" s="4"/>
      <c r="S325" s="4"/>
      <c r="T325" s="4"/>
      <c r="U325" s="4"/>
      <c r="V325" s="4"/>
      <c r="W325" s="4"/>
    </row>
    <row r="326" spans="14:23" x14ac:dyDescent="0.4">
      <c r="N326" s="114"/>
      <c r="O326" s="115"/>
      <c r="P326" s="4"/>
      <c r="Q326" s="4"/>
      <c r="R326" s="4"/>
      <c r="S326" s="4"/>
      <c r="T326" s="4"/>
      <c r="U326" s="4"/>
      <c r="V326" s="4"/>
      <c r="W326" s="4"/>
    </row>
    <row r="327" spans="14:23" x14ac:dyDescent="0.4">
      <c r="N327" s="114"/>
      <c r="O327" s="115"/>
      <c r="P327" s="4"/>
      <c r="Q327" s="4"/>
      <c r="R327" s="4"/>
      <c r="S327" s="4"/>
      <c r="T327" s="4"/>
      <c r="U327" s="4"/>
      <c r="V327" s="4"/>
      <c r="W327" s="4"/>
    </row>
    <row r="328" spans="14:23" x14ac:dyDescent="0.4">
      <c r="N328" s="114"/>
      <c r="O328" s="115"/>
      <c r="P328" s="4"/>
      <c r="Q328" s="4"/>
      <c r="R328" s="4"/>
      <c r="S328" s="4"/>
      <c r="T328" s="4"/>
      <c r="U328" s="4"/>
      <c r="V328" s="4"/>
      <c r="W328" s="4"/>
    </row>
    <row r="329" spans="14:23" x14ac:dyDescent="0.4">
      <c r="N329" s="114"/>
      <c r="O329" s="115"/>
      <c r="P329" s="4"/>
      <c r="Q329" s="4"/>
      <c r="R329" s="4"/>
      <c r="S329" s="4"/>
      <c r="T329" s="4"/>
      <c r="U329" s="4"/>
      <c r="V329" s="4"/>
      <c r="W329" s="4"/>
    </row>
    <row r="330" spans="14:23" x14ac:dyDescent="0.4">
      <c r="N330" s="114"/>
      <c r="O330" s="115"/>
      <c r="P330" s="4"/>
      <c r="Q330" s="4"/>
      <c r="R330" s="4"/>
      <c r="S330" s="4"/>
      <c r="T330" s="4"/>
      <c r="U330" s="4"/>
      <c r="V330" s="4"/>
      <c r="W330" s="4"/>
    </row>
    <row r="331" spans="14:23" x14ac:dyDescent="0.4">
      <c r="N331" s="114"/>
      <c r="O331" s="115"/>
      <c r="P331" s="4"/>
      <c r="Q331" s="4"/>
      <c r="R331" s="4"/>
      <c r="S331" s="4"/>
      <c r="T331" s="4"/>
      <c r="U331" s="4"/>
      <c r="V331" s="4"/>
      <c r="W331" s="4"/>
    </row>
    <row r="332" spans="14:23" x14ac:dyDescent="0.4">
      <c r="N332" s="114"/>
      <c r="O332" s="115"/>
      <c r="P332" s="4"/>
      <c r="Q332" s="4"/>
      <c r="R332" s="4"/>
      <c r="S332" s="4"/>
      <c r="T332" s="4"/>
      <c r="U332" s="4"/>
      <c r="V332" s="4"/>
      <c r="W332" s="4"/>
    </row>
    <row r="333" spans="14:23" x14ac:dyDescent="0.4">
      <c r="N333" s="114"/>
      <c r="O333" s="115"/>
      <c r="P333" s="4"/>
      <c r="Q333" s="4"/>
      <c r="R333" s="4"/>
      <c r="S333" s="4"/>
      <c r="T333" s="4"/>
      <c r="U333" s="4"/>
      <c r="V333" s="4"/>
      <c r="W333" s="4"/>
    </row>
    <row r="334" spans="14:23" x14ac:dyDescent="0.4">
      <c r="N334" s="114"/>
      <c r="O334" s="115"/>
      <c r="P334" s="4"/>
      <c r="Q334" s="4"/>
      <c r="R334" s="4"/>
      <c r="S334" s="4"/>
      <c r="T334" s="4"/>
      <c r="U334" s="4"/>
      <c r="V334" s="4"/>
      <c r="W334" s="4"/>
    </row>
    <row r="335" spans="14:23" x14ac:dyDescent="0.4">
      <c r="N335" s="114"/>
      <c r="O335" s="115"/>
      <c r="P335" s="4"/>
      <c r="Q335" s="4"/>
      <c r="R335" s="4"/>
      <c r="S335" s="4"/>
      <c r="T335" s="4"/>
      <c r="U335" s="4"/>
      <c r="V335" s="4"/>
      <c r="W335" s="4"/>
    </row>
    <row r="336" spans="14:23" x14ac:dyDescent="0.4">
      <c r="N336" s="114"/>
      <c r="O336" s="115"/>
      <c r="P336" s="4"/>
      <c r="Q336" s="4"/>
      <c r="R336" s="4"/>
      <c r="S336" s="4"/>
      <c r="T336" s="4"/>
      <c r="U336" s="4"/>
      <c r="V336" s="4"/>
      <c r="W336" s="4"/>
    </row>
    <row r="337" spans="14:23" x14ac:dyDescent="0.4">
      <c r="N337" s="114"/>
      <c r="O337" s="115"/>
      <c r="P337" s="4"/>
      <c r="Q337" s="4"/>
      <c r="R337" s="4"/>
      <c r="S337" s="4"/>
      <c r="T337" s="4"/>
      <c r="U337" s="4"/>
      <c r="V337" s="4"/>
      <c r="W337" s="4"/>
    </row>
    <row r="338" spans="14:23" x14ac:dyDescent="0.4">
      <c r="N338" s="114"/>
      <c r="O338" s="115"/>
      <c r="P338" s="4"/>
      <c r="Q338" s="4"/>
      <c r="R338" s="4"/>
      <c r="S338" s="4"/>
      <c r="T338" s="4"/>
      <c r="U338" s="4"/>
      <c r="V338" s="4"/>
      <c r="W338" s="4"/>
    </row>
    <row r="339" spans="14:23" x14ac:dyDescent="0.4">
      <c r="N339" s="114"/>
      <c r="O339" s="115"/>
      <c r="P339" s="4"/>
      <c r="Q339" s="4"/>
      <c r="R339" s="4"/>
      <c r="S339" s="4"/>
      <c r="T339" s="4"/>
      <c r="U339" s="4"/>
      <c r="V339" s="4"/>
      <c r="W339" s="4"/>
    </row>
    <row r="340" spans="14:23" x14ac:dyDescent="0.4">
      <c r="N340" s="114"/>
      <c r="O340" s="115"/>
      <c r="P340" s="4"/>
      <c r="Q340" s="4"/>
      <c r="R340" s="4"/>
      <c r="S340" s="4"/>
      <c r="T340" s="4"/>
      <c r="U340" s="4"/>
      <c r="V340" s="4"/>
      <c r="W340" s="4"/>
    </row>
    <row r="341" spans="14:23" x14ac:dyDescent="0.4">
      <c r="N341" s="114"/>
      <c r="O341" s="115"/>
      <c r="P341" s="4"/>
      <c r="Q341" s="4"/>
      <c r="R341" s="4"/>
      <c r="S341" s="4"/>
      <c r="T341" s="4"/>
      <c r="U341" s="4"/>
      <c r="V341" s="4"/>
      <c r="W341" s="4"/>
    </row>
    <row r="342" spans="14:23" x14ac:dyDescent="0.4">
      <c r="N342" s="114"/>
      <c r="O342" s="115"/>
      <c r="P342" s="4"/>
      <c r="Q342" s="4"/>
      <c r="R342" s="4"/>
      <c r="S342" s="4"/>
      <c r="T342" s="4"/>
      <c r="U342" s="4"/>
      <c r="V342" s="4"/>
      <c r="W342" s="4"/>
    </row>
    <row r="343" spans="14:23" x14ac:dyDescent="0.4">
      <c r="N343" s="114"/>
      <c r="O343" s="115"/>
      <c r="P343" s="4"/>
      <c r="Q343" s="4"/>
      <c r="R343" s="4"/>
      <c r="S343" s="4"/>
      <c r="T343" s="4"/>
      <c r="U343" s="4"/>
      <c r="V343" s="4"/>
      <c r="W343" s="4"/>
    </row>
    <row r="344" spans="14:23" x14ac:dyDescent="0.4">
      <c r="N344" s="114"/>
      <c r="O344" s="115"/>
      <c r="P344" s="4"/>
      <c r="Q344" s="4"/>
      <c r="R344" s="4"/>
      <c r="S344" s="4"/>
      <c r="T344" s="4"/>
      <c r="U344" s="4"/>
      <c r="V344" s="4"/>
      <c r="W344" s="4"/>
    </row>
    <row r="345" spans="14:23" x14ac:dyDescent="0.4">
      <c r="N345" s="114"/>
      <c r="O345" s="115"/>
      <c r="P345" s="4"/>
      <c r="Q345" s="4"/>
      <c r="R345" s="4"/>
      <c r="S345" s="4"/>
      <c r="T345" s="4"/>
      <c r="U345" s="4"/>
      <c r="V345" s="4"/>
      <c r="W345" s="4"/>
    </row>
    <row r="346" spans="14:23" x14ac:dyDescent="0.4">
      <c r="N346" s="114"/>
      <c r="O346" s="115"/>
      <c r="P346" s="4"/>
      <c r="Q346" s="4"/>
      <c r="R346" s="4"/>
      <c r="S346" s="4"/>
      <c r="T346" s="4"/>
      <c r="U346" s="4"/>
      <c r="V346" s="4"/>
      <c r="W346" s="4"/>
    </row>
    <row r="347" spans="14:23" x14ac:dyDescent="0.4">
      <c r="N347" s="114"/>
      <c r="O347" s="115"/>
      <c r="P347" s="4"/>
      <c r="Q347" s="4"/>
      <c r="R347" s="4"/>
      <c r="S347" s="4"/>
      <c r="T347" s="4"/>
      <c r="U347" s="4"/>
      <c r="V347" s="4"/>
      <c r="W347" s="4"/>
    </row>
    <row r="348" spans="14:23" x14ac:dyDescent="0.4">
      <c r="N348" s="114"/>
      <c r="O348" s="115"/>
      <c r="P348" s="4"/>
      <c r="Q348" s="4"/>
      <c r="R348" s="4"/>
      <c r="S348" s="4"/>
      <c r="T348" s="4"/>
      <c r="U348" s="4"/>
      <c r="V348" s="4"/>
      <c r="W348" s="4"/>
    </row>
    <row r="349" spans="14:23" x14ac:dyDescent="0.4">
      <c r="N349" s="114"/>
      <c r="O349" s="115"/>
      <c r="P349" s="4"/>
      <c r="Q349" s="4"/>
      <c r="R349" s="4"/>
      <c r="S349" s="4"/>
      <c r="T349" s="4"/>
      <c r="U349" s="4"/>
      <c r="V349" s="4"/>
      <c r="W349" s="4"/>
    </row>
    <row r="350" spans="14:23" x14ac:dyDescent="0.4">
      <c r="N350" s="114"/>
      <c r="O350" s="115"/>
      <c r="P350" s="4"/>
      <c r="Q350" s="4"/>
      <c r="R350" s="4"/>
      <c r="S350" s="4"/>
      <c r="T350" s="4"/>
      <c r="U350" s="4"/>
      <c r="V350" s="4"/>
      <c r="W350" s="4"/>
    </row>
    <row r="351" spans="14:23" x14ac:dyDescent="0.4">
      <c r="N351" s="114"/>
      <c r="O351" s="115"/>
      <c r="P351" s="4"/>
      <c r="Q351" s="4"/>
      <c r="R351" s="4"/>
      <c r="S351" s="4"/>
      <c r="T351" s="4"/>
      <c r="U351" s="4"/>
      <c r="V351" s="4"/>
      <c r="W351" s="4"/>
    </row>
    <row r="352" spans="14:23" x14ac:dyDescent="0.4">
      <c r="N352" s="114"/>
      <c r="O352" s="115"/>
      <c r="P352" s="4"/>
      <c r="Q352" s="4"/>
      <c r="R352" s="4"/>
      <c r="S352" s="4"/>
      <c r="T352" s="4"/>
      <c r="U352" s="4"/>
      <c r="V352" s="4"/>
      <c r="W352" s="4"/>
    </row>
    <row r="353" spans="14:23" x14ac:dyDescent="0.4">
      <c r="N353" s="114"/>
      <c r="O353" s="115"/>
      <c r="P353" s="4"/>
      <c r="Q353" s="4"/>
      <c r="R353" s="4"/>
      <c r="S353" s="4"/>
      <c r="T353" s="4"/>
      <c r="U353" s="4"/>
      <c r="V353" s="4"/>
      <c r="W353" s="4"/>
    </row>
    <row r="354" spans="14:23" x14ac:dyDescent="0.4">
      <c r="N354" s="114"/>
      <c r="O354" s="115"/>
      <c r="P354" s="4"/>
      <c r="Q354" s="4"/>
      <c r="R354" s="4"/>
      <c r="S354" s="4"/>
      <c r="T354" s="4"/>
      <c r="U354" s="4"/>
      <c r="V354" s="4"/>
      <c r="W354" s="4"/>
    </row>
    <row r="355" spans="14:23" x14ac:dyDescent="0.4">
      <c r="N355" s="114"/>
      <c r="O355" s="115"/>
      <c r="P355" s="4"/>
      <c r="Q355" s="4"/>
      <c r="R355" s="4"/>
      <c r="S355" s="4"/>
      <c r="T355" s="4"/>
      <c r="U355" s="4"/>
      <c r="V355" s="4"/>
      <c r="W355" s="4"/>
    </row>
    <row r="356" spans="14:23" x14ac:dyDescent="0.4">
      <c r="N356" s="114"/>
      <c r="O356" s="115"/>
      <c r="P356" s="4"/>
      <c r="Q356" s="4"/>
      <c r="R356" s="4"/>
      <c r="S356" s="4"/>
      <c r="T356" s="4"/>
      <c r="U356" s="4"/>
      <c r="V356" s="4"/>
      <c r="W356" s="4"/>
    </row>
    <row r="357" spans="14:23" x14ac:dyDescent="0.4">
      <c r="N357" s="114"/>
      <c r="O357" s="115"/>
      <c r="P357" s="4"/>
      <c r="Q357" s="4"/>
      <c r="R357" s="4"/>
      <c r="S357" s="4"/>
      <c r="T357" s="4"/>
      <c r="U357" s="4"/>
      <c r="V357" s="4"/>
      <c r="W357" s="4"/>
    </row>
    <row r="358" spans="14:23" x14ac:dyDescent="0.4">
      <c r="N358" s="114"/>
      <c r="O358" s="115"/>
      <c r="P358" s="4"/>
      <c r="Q358" s="4"/>
      <c r="R358" s="4"/>
      <c r="S358" s="4"/>
      <c r="T358" s="4"/>
      <c r="U358" s="4"/>
      <c r="V358" s="4"/>
      <c r="W358" s="4"/>
    </row>
    <row r="359" spans="14:23" x14ac:dyDescent="0.4">
      <c r="N359" s="114"/>
      <c r="O359" s="115"/>
      <c r="P359" s="4"/>
      <c r="Q359" s="4"/>
      <c r="R359" s="4"/>
      <c r="S359" s="4"/>
      <c r="T359" s="4"/>
      <c r="U359" s="4"/>
      <c r="V359" s="4"/>
      <c r="W359" s="4"/>
    </row>
    <row r="360" spans="14:23" x14ac:dyDescent="0.4">
      <c r="N360" s="114"/>
      <c r="O360" s="115"/>
      <c r="P360" s="4"/>
      <c r="Q360" s="4"/>
      <c r="R360" s="4"/>
      <c r="S360" s="4"/>
      <c r="T360" s="4"/>
      <c r="U360" s="4"/>
      <c r="V360" s="4"/>
      <c r="W360" s="4"/>
    </row>
    <row r="361" spans="14:23" x14ac:dyDescent="0.4">
      <c r="N361" s="114"/>
      <c r="O361" s="115"/>
      <c r="P361" s="4"/>
      <c r="Q361" s="4"/>
      <c r="R361" s="4"/>
      <c r="S361" s="4"/>
      <c r="T361" s="4"/>
      <c r="U361" s="4"/>
      <c r="V361" s="4"/>
      <c r="W361" s="4"/>
    </row>
    <row r="362" spans="14:23" x14ac:dyDescent="0.4">
      <c r="N362" s="114"/>
      <c r="O362" s="115"/>
      <c r="P362" s="4"/>
      <c r="Q362" s="4"/>
      <c r="R362" s="4"/>
      <c r="S362" s="4"/>
      <c r="T362" s="4"/>
      <c r="U362" s="4"/>
      <c r="V362" s="4"/>
      <c r="W362" s="4"/>
    </row>
    <row r="363" spans="14:23" x14ac:dyDescent="0.4">
      <c r="N363" s="114"/>
      <c r="O363" s="115"/>
      <c r="P363" s="4"/>
      <c r="Q363" s="4"/>
      <c r="R363" s="4"/>
      <c r="S363" s="4"/>
      <c r="T363" s="4"/>
      <c r="U363" s="4"/>
      <c r="V363" s="4"/>
      <c r="W363" s="4"/>
    </row>
    <row r="364" spans="14:23" x14ac:dyDescent="0.4">
      <c r="N364" s="114"/>
      <c r="O364" s="115"/>
      <c r="P364" s="4"/>
      <c r="Q364" s="4"/>
      <c r="R364" s="4"/>
      <c r="S364" s="4"/>
      <c r="T364" s="4"/>
      <c r="U364" s="4"/>
      <c r="V364" s="4"/>
      <c r="W364" s="4"/>
    </row>
    <row r="365" spans="14:23" x14ac:dyDescent="0.4">
      <c r="N365" s="114"/>
      <c r="O365" s="115"/>
      <c r="P365" s="4"/>
      <c r="Q365" s="4"/>
      <c r="R365" s="4"/>
      <c r="S365" s="4"/>
      <c r="T365" s="4"/>
      <c r="U365" s="4"/>
      <c r="V365" s="4"/>
      <c r="W365" s="4"/>
    </row>
    <row r="366" spans="14:23" x14ac:dyDescent="0.4">
      <c r="N366" s="114"/>
      <c r="O366" s="115"/>
      <c r="P366" s="4"/>
      <c r="Q366" s="4"/>
      <c r="R366" s="4"/>
      <c r="S366" s="4"/>
      <c r="T366" s="4"/>
      <c r="U366" s="4"/>
      <c r="V366" s="4"/>
      <c r="W366" s="4"/>
    </row>
    <row r="367" spans="14:23" x14ac:dyDescent="0.4">
      <c r="N367" s="114"/>
      <c r="O367" s="115"/>
      <c r="P367" s="4"/>
      <c r="Q367" s="4"/>
      <c r="R367" s="4"/>
      <c r="S367" s="4"/>
      <c r="T367" s="4"/>
      <c r="U367" s="4"/>
      <c r="V367" s="4"/>
      <c r="W367" s="4"/>
    </row>
    <row r="368" spans="14:23" x14ac:dyDescent="0.4">
      <c r="N368" s="114"/>
      <c r="O368" s="115"/>
      <c r="P368" s="4"/>
      <c r="Q368" s="4"/>
      <c r="R368" s="4"/>
      <c r="S368" s="4"/>
      <c r="T368" s="4"/>
      <c r="U368" s="4"/>
      <c r="V368" s="4"/>
      <c r="W368" s="4"/>
    </row>
    <row r="369" spans="14:23" x14ac:dyDescent="0.4">
      <c r="N369" s="114"/>
      <c r="O369" s="115"/>
      <c r="P369" s="4"/>
      <c r="Q369" s="4"/>
      <c r="R369" s="4"/>
      <c r="S369" s="4"/>
      <c r="T369" s="4"/>
      <c r="U369" s="4"/>
      <c r="V369" s="4"/>
      <c r="W369" s="4"/>
    </row>
    <row r="370" spans="14:23" x14ac:dyDescent="0.4">
      <c r="N370" s="114"/>
      <c r="O370" s="115"/>
      <c r="P370" s="4"/>
      <c r="Q370" s="4"/>
      <c r="R370" s="4"/>
      <c r="S370" s="4"/>
      <c r="T370" s="4"/>
      <c r="U370" s="4"/>
      <c r="V370" s="4"/>
      <c r="W370" s="4"/>
    </row>
    <row r="371" spans="14:23" x14ac:dyDescent="0.4">
      <c r="N371" s="114"/>
      <c r="O371" s="115"/>
      <c r="P371" s="4"/>
      <c r="Q371" s="4"/>
      <c r="R371" s="4"/>
      <c r="S371" s="4"/>
      <c r="T371" s="4"/>
      <c r="U371" s="4"/>
      <c r="V371" s="4"/>
      <c r="W371" s="4"/>
    </row>
    <row r="372" spans="14:23" x14ac:dyDescent="0.4">
      <c r="N372" s="114"/>
      <c r="O372" s="115"/>
      <c r="P372" s="4"/>
      <c r="Q372" s="4"/>
      <c r="R372" s="4"/>
      <c r="S372" s="4"/>
      <c r="T372" s="4"/>
      <c r="U372" s="4"/>
      <c r="V372" s="4"/>
      <c r="W372" s="4"/>
    </row>
    <row r="373" spans="14:23" x14ac:dyDescent="0.4">
      <c r="N373" s="114"/>
      <c r="O373" s="115"/>
      <c r="P373" s="4"/>
      <c r="Q373" s="4"/>
      <c r="R373" s="4"/>
      <c r="S373" s="4"/>
      <c r="T373" s="4"/>
      <c r="U373" s="4"/>
      <c r="V373" s="4"/>
      <c r="W373" s="4"/>
    </row>
    <row r="374" spans="14:23" x14ac:dyDescent="0.4">
      <c r="N374" s="114"/>
      <c r="O374" s="115"/>
      <c r="P374" s="4"/>
      <c r="Q374" s="4"/>
      <c r="R374" s="4"/>
      <c r="S374" s="4"/>
      <c r="T374" s="4"/>
      <c r="U374" s="4"/>
      <c r="V374" s="4"/>
      <c r="W374" s="4"/>
    </row>
    <row r="375" spans="14:23" x14ac:dyDescent="0.4">
      <c r="N375" s="114"/>
      <c r="O375" s="115"/>
      <c r="P375" s="4"/>
      <c r="Q375" s="4"/>
      <c r="R375" s="4"/>
      <c r="S375" s="4"/>
      <c r="T375" s="4"/>
      <c r="U375" s="4"/>
      <c r="V375" s="4"/>
      <c r="W375" s="4"/>
    </row>
    <row r="376" spans="14:23" x14ac:dyDescent="0.4">
      <c r="N376" s="114"/>
      <c r="O376" s="115"/>
      <c r="P376" s="4"/>
      <c r="Q376" s="4"/>
      <c r="R376" s="4"/>
      <c r="S376" s="4"/>
      <c r="T376" s="4"/>
      <c r="U376" s="4"/>
      <c r="V376" s="4"/>
      <c r="W376" s="4"/>
    </row>
    <row r="377" spans="14:23" x14ac:dyDescent="0.4">
      <c r="N377" s="114"/>
      <c r="O377" s="115"/>
      <c r="P377" s="4"/>
      <c r="Q377" s="4"/>
      <c r="R377" s="4"/>
      <c r="S377" s="4"/>
      <c r="T377" s="4"/>
      <c r="U377" s="4"/>
      <c r="V377" s="4"/>
      <c r="W377" s="4"/>
    </row>
    <row r="378" spans="14:23" x14ac:dyDescent="0.4">
      <c r="N378" s="114"/>
      <c r="O378" s="115"/>
      <c r="P378" s="4"/>
      <c r="Q378" s="4"/>
      <c r="R378" s="4"/>
      <c r="S378" s="4"/>
      <c r="T378" s="4"/>
      <c r="U378" s="4"/>
      <c r="V378" s="4"/>
      <c r="W378" s="4"/>
    </row>
    <row r="379" spans="14:23" x14ac:dyDescent="0.4">
      <c r="N379" s="114"/>
      <c r="O379" s="115"/>
      <c r="P379" s="4"/>
      <c r="Q379" s="4"/>
      <c r="R379" s="4"/>
      <c r="S379" s="4"/>
      <c r="T379" s="4"/>
      <c r="U379" s="4"/>
      <c r="V379" s="4"/>
      <c r="W379" s="4"/>
    </row>
    <row r="380" spans="14:23" x14ac:dyDescent="0.4">
      <c r="N380" s="114"/>
      <c r="O380" s="115"/>
      <c r="P380" s="4"/>
      <c r="Q380" s="4"/>
      <c r="R380" s="4"/>
      <c r="S380" s="4"/>
      <c r="T380" s="4"/>
      <c r="U380" s="4"/>
      <c r="V380" s="4"/>
      <c r="W380" s="4"/>
    </row>
    <row r="381" spans="14:23" x14ac:dyDescent="0.4">
      <c r="N381" s="114"/>
      <c r="O381" s="115"/>
      <c r="P381" s="4"/>
      <c r="Q381" s="4"/>
      <c r="R381" s="4"/>
      <c r="S381" s="4"/>
      <c r="T381" s="4"/>
      <c r="U381" s="4"/>
      <c r="V381" s="4"/>
      <c r="W381" s="4"/>
    </row>
    <row r="382" spans="14:23" x14ac:dyDescent="0.4">
      <c r="N382" s="114"/>
      <c r="O382" s="115"/>
      <c r="P382" s="4"/>
      <c r="Q382" s="4"/>
      <c r="R382" s="4"/>
      <c r="S382" s="4"/>
      <c r="T382" s="4"/>
      <c r="U382" s="4"/>
      <c r="V382" s="4"/>
      <c r="W382" s="4"/>
    </row>
    <row r="383" spans="14:23" x14ac:dyDescent="0.4">
      <c r="N383" s="114"/>
      <c r="O383" s="115"/>
      <c r="P383" s="4"/>
      <c r="Q383" s="4"/>
      <c r="R383" s="4"/>
      <c r="S383" s="4"/>
      <c r="T383" s="4"/>
      <c r="U383" s="4"/>
      <c r="V383" s="4"/>
      <c r="W383" s="4"/>
    </row>
    <row r="384" spans="14:23" x14ac:dyDescent="0.4">
      <c r="N384" s="114"/>
      <c r="O384" s="115"/>
      <c r="P384" s="4"/>
      <c r="Q384" s="4"/>
      <c r="R384" s="4"/>
      <c r="S384" s="4"/>
      <c r="T384" s="4"/>
      <c r="U384" s="4"/>
      <c r="V384" s="4"/>
      <c r="W384" s="4"/>
    </row>
    <row r="385" spans="14:23" x14ac:dyDescent="0.4">
      <c r="N385" s="114"/>
      <c r="O385" s="115"/>
      <c r="P385" s="4"/>
      <c r="Q385" s="4"/>
      <c r="R385" s="4"/>
      <c r="S385" s="4"/>
      <c r="T385" s="4"/>
      <c r="U385" s="4"/>
      <c r="V385" s="4"/>
      <c r="W385" s="4"/>
    </row>
    <row r="386" spans="14:23" x14ac:dyDescent="0.4">
      <c r="N386" s="114"/>
      <c r="O386" s="115"/>
      <c r="P386" s="4"/>
      <c r="Q386" s="4"/>
      <c r="R386" s="4"/>
      <c r="S386" s="4"/>
      <c r="T386" s="4"/>
      <c r="U386" s="4"/>
      <c r="V386" s="4"/>
      <c r="W386" s="4"/>
    </row>
    <row r="387" spans="14:23" x14ac:dyDescent="0.4">
      <c r="N387" s="114"/>
      <c r="O387" s="115"/>
      <c r="P387" s="4"/>
      <c r="Q387" s="4"/>
      <c r="R387" s="4"/>
      <c r="S387" s="4"/>
      <c r="T387" s="4"/>
      <c r="U387" s="4"/>
      <c r="V387" s="4"/>
      <c r="W387" s="4"/>
    </row>
    <row r="388" spans="14:23" x14ac:dyDescent="0.4">
      <c r="N388" s="114"/>
      <c r="O388" s="115"/>
      <c r="P388" s="4"/>
      <c r="Q388" s="4"/>
      <c r="R388" s="4"/>
      <c r="S388" s="4"/>
      <c r="T388" s="4"/>
      <c r="U388" s="4"/>
      <c r="V388" s="4"/>
      <c r="W388" s="4"/>
    </row>
    <row r="389" spans="14:23" x14ac:dyDescent="0.4">
      <c r="N389" s="114"/>
      <c r="O389" s="115"/>
      <c r="P389" s="4"/>
      <c r="Q389" s="4"/>
      <c r="R389" s="4"/>
      <c r="S389" s="4"/>
      <c r="T389" s="4"/>
      <c r="U389" s="4"/>
      <c r="V389" s="4"/>
      <c r="W389" s="4"/>
    </row>
    <row r="390" spans="14:23" x14ac:dyDescent="0.4">
      <c r="N390" s="114"/>
      <c r="O390" s="115"/>
      <c r="P390" s="4"/>
      <c r="Q390" s="4"/>
      <c r="R390" s="4"/>
      <c r="S390" s="4"/>
      <c r="T390" s="4"/>
      <c r="U390" s="4"/>
      <c r="V390" s="4"/>
      <c r="W390" s="4"/>
    </row>
    <row r="391" spans="14:23" x14ac:dyDescent="0.4">
      <c r="N391" s="114"/>
      <c r="O391" s="115"/>
      <c r="P391" s="4"/>
      <c r="Q391" s="4"/>
      <c r="R391" s="4"/>
      <c r="S391" s="4"/>
      <c r="T391" s="4"/>
      <c r="U391" s="4"/>
      <c r="V391" s="4"/>
      <c r="W391" s="4"/>
    </row>
    <row r="392" spans="14:23" x14ac:dyDescent="0.4">
      <c r="N392" s="114"/>
      <c r="O392" s="115"/>
      <c r="P392" s="4"/>
      <c r="Q392" s="4"/>
      <c r="R392" s="4"/>
      <c r="S392" s="4"/>
      <c r="T392" s="4"/>
      <c r="U392" s="4"/>
      <c r="V392" s="4"/>
      <c r="W392" s="4"/>
    </row>
    <row r="393" spans="14:23" x14ac:dyDescent="0.4">
      <c r="N393" s="114"/>
      <c r="O393" s="115"/>
      <c r="P393" s="4"/>
      <c r="Q393" s="4"/>
      <c r="R393" s="4"/>
      <c r="S393" s="4"/>
      <c r="T393" s="4"/>
      <c r="U393" s="4"/>
      <c r="V393" s="4"/>
      <c r="W393" s="4"/>
    </row>
    <row r="394" spans="14:23" x14ac:dyDescent="0.4">
      <c r="N394" s="114"/>
      <c r="O394" s="115"/>
      <c r="P394" s="4"/>
      <c r="Q394" s="4"/>
      <c r="R394" s="4"/>
      <c r="S394" s="4"/>
      <c r="T394" s="4"/>
      <c r="U394" s="4"/>
      <c r="V394" s="4"/>
      <c r="W394" s="4"/>
    </row>
    <row r="395" spans="14:23" x14ac:dyDescent="0.4">
      <c r="N395" s="114"/>
      <c r="O395" s="115"/>
      <c r="P395" s="4"/>
      <c r="Q395" s="4"/>
      <c r="R395" s="4"/>
      <c r="S395" s="4"/>
      <c r="T395" s="4"/>
      <c r="U395" s="4"/>
      <c r="V395" s="4"/>
      <c r="W395" s="4"/>
    </row>
    <row r="396" spans="14:23" x14ac:dyDescent="0.4">
      <c r="N396" s="114"/>
      <c r="O396" s="115"/>
      <c r="P396" s="4"/>
      <c r="Q396" s="4"/>
      <c r="R396" s="4"/>
      <c r="S396" s="4"/>
      <c r="T396" s="4"/>
      <c r="U396" s="4"/>
      <c r="V396" s="4"/>
      <c r="W396" s="4"/>
    </row>
    <row r="397" spans="14:23" x14ac:dyDescent="0.4">
      <c r="N397" s="114"/>
      <c r="O397" s="115"/>
      <c r="P397" s="4"/>
      <c r="Q397" s="4"/>
      <c r="R397" s="4"/>
      <c r="S397" s="4"/>
      <c r="T397" s="4"/>
      <c r="U397" s="4"/>
      <c r="V397" s="4"/>
      <c r="W397" s="4"/>
    </row>
    <row r="398" spans="14:23" x14ac:dyDescent="0.4">
      <c r="N398" s="114"/>
      <c r="O398" s="115"/>
      <c r="P398" s="4"/>
      <c r="Q398" s="4"/>
      <c r="R398" s="4"/>
      <c r="S398" s="4"/>
      <c r="T398" s="4"/>
      <c r="U398" s="4"/>
      <c r="V398" s="4"/>
      <c r="W398" s="4"/>
    </row>
    <row r="399" spans="14:23" x14ac:dyDescent="0.4">
      <c r="N399" s="114"/>
      <c r="O399" s="115"/>
      <c r="P399" s="4"/>
      <c r="Q399" s="4"/>
      <c r="R399" s="4"/>
      <c r="S399" s="4"/>
      <c r="T399" s="4"/>
      <c r="U399" s="4"/>
      <c r="V399" s="4"/>
      <c r="W399" s="4"/>
    </row>
    <row r="400" spans="14:23" x14ac:dyDescent="0.4">
      <c r="N400" s="114"/>
      <c r="O400" s="115"/>
      <c r="P400" s="4"/>
      <c r="Q400" s="4"/>
      <c r="R400" s="4"/>
      <c r="S400" s="4"/>
      <c r="T400" s="4"/>
      <c r="U400" s="4"/>
      <c r="V400" s="4"/>
      <c r="W400" s="4"/>
    </row>
    <row r="401" spans="14:23" x14ac:dyDescent="0.4">
      <c r="N401" s="114"/>
      <c r="O401" s="115"/>
      <c r="P401" s="4"/>
      <c r="Q401" s="4"/>
      <c r="R401" s="4"/>
      <c r="S401" s="4"/>
      <c r="T401" s="4"/>
      <c r="U401" s="4"/>
      <c r="V401" s="4"/>
      <c r="W401" s="4"/>
    </row>
    <row r="402" spans="14:23" x14ac:dyDescent="0.4">
      <c r="N402" s="114"/>
      <c r="O402" s="115"/>
      <c r="P402" s="4"/>
      <c r="Q402" s="4"/>
      <c r="R402" s="4"/>
      <c r="S402" s="4"/>
      <c r="T402" s="4"/>
      <c r="U402" s="4"/>
      <c r="V402" s="4"/>
      <c r="W402" s="4"/>
    </row>
    <row r="403" spans="14:23" x14ac:dyDescent="0.4">
      <c r="N403" s="114"/>
      <c r="O403" s="115"/>
      <c r="P403" s="4"/>
      <c r="Q403" s="4"/>
      <c r="R403" s="4"/>
      <c r="S403" s="4"/>
      <c r="T403" s="4"/>
      <c r="U403" s="4"/>
      <c r="V403" s="4"/>
      <c r="W403" s="4"/>
    </row>
    <row r="404" spans="14:23" x14ac:dyDescent="0.4">
      <c r="N404" s="114"/>
      <c r="O404" s="115"/>
      <c r="P404" s="4"/>
      <c r="Q404" s="4"/>
      <c r="R404" s="4"/>
      <c r="S404" s="4"/>
      <c r="T404" s="4"/>
      <c r="U404" s="4"/>
      <c r="V404" s="4"/>
      <c r="W404" s="4"/>
    </row>
    <row r="405" spans="14:23" x14ac:dyDescent="0.4">
      <c r="N405" s="114"/>
      <c r="O405" s="115"/>
      <c r="P405" s="4"/>
      <c r="Q405" s="4"/>
      <c r="R405" s="4"/>
      <c r="S405" s="4"/>
      <c r="T405" s="4"/>
      <c r="U405" s="4"/>
      <c r="V405" s="4"/>
      <c r="W405" s="4"/>
    </row>
    <row r="406" spans="14:23" x14ac:dyDescent="0.4">
      <c r="N406" s="114"/>
      <c r="O406" s="115"/>
      <c r="P406" s="4"/>
      <c r="Q406" s="4"/>
      <c r="R406" s="4"/>
      <c r="S406" s="4"/>
      <c r="T406" s="4"/>
      <c r="U406" s="4"/>
      <c r="V406" s="4"/>
      <c r="W406" s="4"/>
    </row>
    <row r="407" spans="14:23" x14ac:dyDescent="0.4">
      <c r="N407" s="114"/>
      <c r="O407" s="115"/>
      <c r="P407" s="4"/>
      <c r="Q407" s="4"/>
      <c r="R407" s="4"/>
      <c r="S407" s="4"/>
      <c r="T407" s="4"/>
      <c r="U407" s="4"/>
      <c r="V407" s="4"/>
      <c r="W407" s="4"/>
    </row>
    <row r="408" spans="14:23" x14ac:dyDescent="0.4">
      <c r="N408" s="114"/>
      <c r="O408" s="115"/>
      <c r="P408" s="4"/>
      <c r="Q408" s="4"/>
      <c r="R408" s="4"/>
      <c r="S408" s="4"/>
      <c r="T408" s="4"/>
      <c r="U408" s="4"/>
      <c r="V408" s="4"/>
      <c r="W408" s="4"/>
    </row>
    <row r="409" spans="14:23" x14ac:dyDescent="0.4">
      <c r="N409" s="114"/>
      <c r="O409" s="115"/>
      <c r="P409" s="4"/>
      <c r="Q409" s="4"/>
      <c r="R409" s="4"/>
      <c r="S409" s="4"/>
      <c r="T409" s="4"/>
      <c r="U409" s="4"/>
      <c r="V409" s="4"/>
      <c r="W409" s="4"/>
    </row>
    <row r="410" spans="14:23" x14ac:dyDescent="0.4">
      <c r="N410" s="114"/>
      <c r="O410" s="115"/>
      <c r="P410" s="4"/>
      <c r="Q410" s="4"/>
      <c r="R410" s="4"/>
      <c r="S410" s="4"/>
      <c r="T410" s="4"/>
      <c r="U410" s="4"/>
      <c r="V410" s="4"/>
      <c r="W410" s="4"/>
    </row>
    <row r="411" spans="14:23" x14ac:dyDescent="0.4">
      <c r="N411" s="114"/>
      <c r="O411" s="115"/>
      <c r="P411" s="4"/>
      <c r="Q411" s="4"/>
      <c r="R411" s="4"/>
      <c r="S411" s="4"/>
      <c r="T411" s="4"/>
      <c r="U411" s="4"/>
      <c r="V411" s="4"/>
      <c r="W411" s="4"/>
    </row>
    <row r="412" spans="14:23" x14ac:dyDescent="0.4">
      <c r="N412" s="114"/>
      <c r="O412" s="115"/>
      <c r="P412" s="4"/>
      <c r="Q412" s="4"/>
      <c r="R412" s="4"/>
      <c r="S412" s="4"/>
      <c r="T412" s="4"/>
      <c r="U412" s="4"/>
      <c r="V412" s="4"/>
      <c r="W412" s="4"/>
    </row>
    <row r="413" spans="14:23" x14ac:dyDescent="0.4">
      <c r="N413" s="114"/>
      <c r="O413" s="115"/>
      <c r="P413" s="4"/>
      <c r="Q413" s="4"/>
      <c r="R413" s="4"/>
      <c r="S413" s="4"/>
      <c r="T413" s="4"/>
      <c r="U413" s="4"/>
      <c r="V413" s="4"/>
      <c r="W413" s="4"/>
    </row>
    <row r="414" spans="14:23" x14ac:dyDescent="0.4">
      <c r="N414" s="114"/>
      <c r="O414" s="115"/>
      <c r="P414" s="4"/>
      <c r="Q414" s="4"/>
      <c r="R414" s="4"/>
      <c r="S414" s="4"/>
      <c r="T414" s="4"/>
      <c r="U414" s="4"/>
      <c r="V414" s="4"/>
      <c r="W414" s="4"/>
    </row>
    <row r="415" spans="14:23" x14ac:dyDescent="0.4">
      <c r="N415" s="114"/>
      <c r="O415" s="115"/>
      <c r="P415" s="4"/>
      <c r="Q415" s="4"/>
      <c r="R415" s="4"/>
      <c r="S415" s="4"/>
      <c r="T415" s="4"/>
      <c r="U415" s="4"/>
      <c r="V415" s="4"/>
      <c r="W415" s="4"/>
    </row>
    <row r="416" spans="14:23" x14ac:dyDescent="0.4">
      <c r="N416" s="114"/>
      <c r="O416" s="115"/>
      <c r="P416" s="4"/>
      <c r="Q416" s="4"/>
      <c r="R416" s="4"/>
      <c r="S416" s="4"/>
      <c r="T416" s="4"/>
      <c r="U416" s="4"/>
      <c r="V416" s="4"/>
      <c r="W416" s="4"/>
    </row>
    <row r="417" spans="14:23" x14ac:dyDescent="0.4">
      <c r="N417" s="114"/>
      <c r="O417" s="115"/>
      <c r="P417" s="4"/>
      <c r="Q417" s="4"/>
      <c r="R417" s="4"/>
      <c r="S417" s="4"/>
      <c r="T417" s="4"/>
      <c r="U417" s="4"/>
      <c r="V417" s="4"/>
      <c r="W417" s="4"/>
    </row>
    <row r="418" spans="14:23" x14ac:dyDescent="0.4">
      <c r="N418" s="114"/>
      <c r="O418" s="115"/>
      <c r="P418" s="4"/>
      <c r="Q418" s="4"/>
      <c r="R418" s="4"/>
      <c r="S418" s="4"/>
      <c r="T418" s="4"/>
      <c r="U418" s="4"/>
      <c r="V418" s="4"/>
      <c r="W418" s="4"/>
    </row>
    <row r="419" spans="14:23" x14ac:dyDescent="0.4">
      <c r="N419" s="114"/>
      <c r="O419" s="115"/>
      <c r="P419" s="4"/>
      <c r="Q419" s="4"/>
      <c r="R419" s="4"/>
      <c r="S419" s="4"/>
      <c r="T419" s="4"/>
      <c r="U419" s="4"/>
      <c r="V419" s="4"/>
      <c r="W419" s="4"/>
    </row>
    <row r="420" spans="14:23" x14ac:dyDescent="0.4">
      <c r="N420" s="114"/>
      <c r="O420" s="115"/>
      <c r="P420" s="4"/>
      <c r="Q420" s="4"/>
      <c r="R420" s="4"/>
      <c r="S420" s="4"/>
      <c r="T420" s="4"/>
      <c r="U420" s="4"/>
      <c r="V420" s="4"/>
      <c r="W420" s="4"/>
    </row>
    <row r="421" spans="14:23" x14ac:dyDescent="0.4">
      <c r="N421" s="114"/>
      <c r="O421" s="115"/>
      <c r="P421" s="4"/>
      <c r="Q421" s="4"/>
      <c r="R421" s="4"/>
      <c r="S421" s="4"/>
      <c r="T421" s="4"/>
      <c r="U421" s="4"/>
      <c r="V421" s="4"/>
      <c r="W421" s="4"/>
    </row>
    <row r="422" spans="14:23" x14ac:dyDescent="0.4">
      <c r="N422" s="114"/>
      <c r="O422" s="115"/>
      <c r="P422" s="4"/>
      <c r="Q422" s="4"/>
      <c r="R422" s="4"/>
      <c r="S422" s="4"/>
      <c r="T422" s="4"/>
      <c r="U422" s="4"/>
      <c r="V422" s="4"/>
      <c r="W422" s="4"/>
    </row>
    <row r="423" spans="14:23" x14ac:dyDescent="0.4">
      <c r="N423" s="114"/>
      <c r="O423" s="115"/>
      <c r="P423" s="4"/>
      <c r="Q423" s="4"/>
      <c r="R423" s="4"/>
      <c r="S423" s="4"/>
      <c r="T423" s="4"/>
      <c r="U423" s="4"/>
      <c r="V423" s="4"/>
      <c r="W423" s="4"/>
    </row>
    <row r="424" spans="14:23" x14ac:dyDescent="0.4">
      <c r="N424" s="114"/>
      <c r="O424" s="115"/>
      <c r="P424" s="4"/>
      <c r="Q424" s="4"/>
      <c r="R424" s="4"/>
      <c r="S424" s="4"/>
      <c r="T424" s="4"/>
      <c r="U424" s="4"/>
      <c r="V424" s="4"/>
      <c r="W424" s="4"/>
    </row>
    <row r="425" spans="14:23" x14ac:dyDescent="0.4">
      <c r="N425" s="114"/>
      <c r="O425" s="115"/>
      <c r="P425" s="4"/>
      <c r="Q425" s="4"/>
      <c r="R425" s="4"/>
      <c r="S425" s="4"/>
      <c r="T425" s="4"/>
      <c r="U425" s="4"/>
      <c r="V425" s="4"/>
      <c r="W425" s="4"/>
    </row>
    <row r="426" spans="14:23" x14ac:dyDescent="0.4">
      <c r="N426" s="114"/>
      <c r="O426" s="115"/>
      <c r="P426" s="4"/>
      <c r="Q426" s="4"/>
      <c r="R426" s="4"/>
      <c r="S426" s="4"/>
      <c r="T426" s="4"/>
      <c r="U426" s="4"/>
      <c r="V426" s="4"/>
      <c r="W426" s="4"/>
    </row>
    <row r="427" spans="14:23" x14ac:dyDescent="0.4">
      <c r="N427" s="114"/>
      <c r="O427" s="115"/>
      <c r="P427" s="4"/>
      <c r="Q427" s="4"/>
      <c r="R427" s="4"/>
      <c r="S427" s="4"/>
      <c r="T427" s="4"/>
      <c r="U427" s="4"/>
      <c r="V427" s="4"/>
      <c r="W427" s="4"/>
    </row>
    <row r="428" spans="14:23" x14ac:dyDescent="0.4">
      <c r="N428" s="114"/>
      <c r="O428" s="115"/>
      <c r="P428" s="4"/>
      <c r="Q428" s="4"/>
      <c r="R428" s="4"/>
      <c r="S428" s="4"/>
      <c r="T428" s="4"/>
      <c r="U428" s="4"/>
      <c r="V428" s="4"/>
      <c r="W428" s="4"/>
    </row>
    <row r="429" spans="14:23" x14ac:dyDescent="0.4">
      <c r="N429" s="114"/>
      <c r="O429" s="115"/>
      <c r="P429" s="4"/>
      <c r="Q429" s="4"/>
      <c r="R429" s="4"/>
      <c r="S429" s="4"/>
      <c r="T429" s="4"/>
      <c r="U429" s="4"/>
      <c r="V429" s="4"/>
      <c r="W429" s="4"/>
    </row>
    <row r="430" spans="14:23" x14ac:dyDescent="0.4">
      <c r="N430" s="114"/>
      <c r="O430" s="115"/>
      <c r="P430" s="4"/>
      <c r="Q430" s="4"/>
      <c r="R430" s="4"/>
      <c r="S430" s="4"/>
      <c r="T430" s="4"/>
      <c r="U430" s="4"/>
      <c r="V430" s="4"/>
      <c r="W430" s="4"/>
    </row>
    <row r="431" spans="14:23" x14ac:dyDescent="0.4">
      <c r="N431" s="114"/>
      <c r="O431" s="115"/>
      <c r="P431" s="4"/>
      <c r="Q431" s="4"/>
      <c r="R431" s="4"/>
      <c r="S431" s="4"/>
      <c r="T431" s="4"/>
      <c r="U431" s="4"/>
      <c r="V431" s="4"/>
      <c r="W431" s="4"/>
    </row>
    <row r="432" spans="14:23" x14ac:dyDescent="0.4">
      <c r="N432" s="114"/>
      <c r="O432" s="115"/>
      <c r="P432" s="4"/>
      <c r="Q432" s="4"/>
      <c r="R432" s="4"/>
      <c r="S432" s="4"/>
      <c r="T432" s="4"/>
      <c r="U432" s="4"/>
      <c r="V432" s="4"/>
      <c r="W432" s="4"/>
    </row>
    <row r="433" spans="14:23" x14ac:dyDescent="0.4">
      <c r="N433" s="114"/>
      <c r="O433" s="115"/>
      <c r="P433" s="4"/>
      <c r="Q433" s="4"/>
      <c r="R433" s="4"/>
      <c r="S433" s="4"/>
      <c r="T433" s="4"/>
      <c r="U433" s="4"/>
      <c r="V433" s="4"/>
      <c r="W433" s="4"/>
    </row>
    <row r="434" spans="14:23" x14ac:dyDescent="0.4">
      <c r="N434" s="114"/>
      <c r="O434" s="115"/>
      <c r="P434" s="4"/>
      <c r="Q434" s="4"/>
      <c r="R434" s="4"/>
      <c r="S434" s="4"/>
      <c r="T434" s="4"/>
      <c r="U434" s="4"/>
      <c r="V434" s="4"/>
      <c r="W434" s="4"/>
    </row>
    <row r="435" spans="14:23" x14ac:dyDescent="0.4">
      <c r="N435" s="114"/>
      <c r="O435" s="115"/>
      <c r="P435" s="4"/>
      <c r="Q435" s="4"/>
      <c r="R435" s="4"/>
      <c r="S435" s="4"/>
      <c r="T435" s="4"/>
      <c r="U435" s="4"/>
      <c r="V435" s="4"/>
      <c r="W435" s="4"/>
    </row>
    <row r="436" spans="14:23" x14ac:dyDescent="0.4">
      <c r="N436" s="114"/>
      <c r="O436" s="115"/>
      <c r="P436" s="4"/>
      <c r="Q436" s="4"/>
      <c r="R436" s="4"/>
      <c r="S436" s="4"/>
      <c r="T436" s="4"/>
      <c r="U436" s="4"/>
      <c r="V436" s="4"/>
      <c r="W436" s="4"/>
    </row>
    <row r="437" spans="14:23" x14ac:dyDescent="0.4">
      <c r="N437" s="114"/>
      <c r="O437" s="115"/>
      <c r="P437" s="4"/>
      <c r="Q437" s="4"/>
      <c r="R437" s="4"/>
      <c r="S437" s="4"/>
      <c r="T437" s="4"/>
      <c r="U437" s="4"/>
      <c r="V437" s="4"/>
      <c r="W437" s="4"/>
    </row>
    <row r="438" spans="14:23" x14ac:dyDescent="0.4">
      <c r="N438" s="114"/>
      <c r="O438" s="115"/>
      <c r="P438" s="4"/>
      <c r="Q438" s="4"/>
      <c r="R438" s="4"/>
      <c r="S438" s="4"/>
      <c r="T438" s="4"/>
      <c r="U438" s="4"/>
      <c r="V438" s="4"/>
      <c r="W438" s="4"/>
    </row>
    <row r="439" spans="14:23" x14ac:dyDescent="0.4">
      <c r="N439" s="114"/>
      <c r="O439" s="115"/>
      <c r="P439" s="4"/>
      <c r="Q439" s="4"/>
      <c r="R439" s="4"/>
      <c r="S439" s="4"/>
      <c r="T439" s="4"/>
      <c r="U439" s="4"/>
      <c r="V439" s="4"/>
      <c r="W439" s="4"/>
    </row>
    <row r="440" spans="14:23" x14ac:dyDescent="0.4">
      <c r="N440" s="114"/>
      <c r="O440" s="115"/>
      <c r="P440" s="4"/>
      <c r="Q440" s="4"/>
      <c r="R440" s="4"/>
      <c r="S440" s="4"/>
      <c r="T440" s="4"/>
      <c r="U440" s="4"/>
      <c r="V440" s="4"/>
      <c r="W440" s="4"/>
    </row>
    <row r="441" spans="14:23" x14ac:dyDescent="0.4">
      <c r="N441" s="114"/>
      <c r="O441" s="115"/>
      <c r="P441" s="4"/>
      <c r="Q441" s="4"/>
      <c r="R441" s="4"/>
      <c r="S441" s="4"/>
      <c r="T441" s="4"/>
      <c r="U441" s="4"/>
      <c r="V441" s="4"/>
      <c r="W441" s="4"/>
    </row>
    <row r="442" spans="14:23" x14ac:dyDescent="0.4">
      <c r="N442" s="114"/>
      <c r="O442" s="115"/>
      <c r="P442" s="4"/>
      <c r="Q442" s="4"/>
      <c r="R442" s="4"/>
      <c r="S442" s="4"/>
      <c r="T442" s="4"/>
      <c r="U442" s="4"/>
      <c r="V442" s="4"/>
      <c r="W442" s="4"/>
    </row>
    <row r="443" spans="14:23" x14ac:dyDescent="0.4">
      <c r="N443" s="114"/>
      <c r="O443" s="115"/>
      <c r="P443" s="4"/>
      <c r="Q443" s="4"/>
      <c r="R443" s="4"/>
      <c r="S443" s="4"/>
      <c r="T443" s="4"/>
      <c r="U443" s="4"/>
      <c r="V443" s="4"/>
      <c r="W443" s="4"/>
    </row>
    <row r="444" spans="14:23" x14ac:dyDescent="0.4">
      <c r="N444" s="114"/>
      <c r="O444" s="115"/>
      <c r="P444" s="4"/>
      <c r="Q444" s="4"/>
      <c r="R444" s="4"/>
      <c r="S444" s="4"/>
      <c r="T444" s="4"/>
      <c r="U444" s="4"/>
      <c r="V444" s="4"/>
      <c r="W444" s="4"/>
    </row>
    <row r="445" spans="14:23" x14ac:dyDescent="0.4">
      <c r="N445" s="114"/>
      <c r="O445" s="115"/>
      <c r="P445" s="4"/>
      <c r="Q445" s="4"/>
      <c r="R445" s="4"/>
      <c r="S445" s="4"/>
      <c r="T445" s="4"/>
      <c r="U445" s="4"/>
      <c r="V445" s="4"/>
      <c r="W445" s="4"/>
    </row>
    <row r="446" spans="14:23" x14ac:dyDescent="0.4">
      <c r="N446" s="114"/>
      <c r="O446" s="115"/>
      <c r="P446" s="4"/>
      <c r="Q446" s="4"/>
      <c r="R446" s="4"/>
      <c r="S446" s="4"/>
      <c r="T446" s="4"/>
      <c r="U446" s="4"/>
      <c r="V446" s="4"/>
      <c r="W446" s="4"/>
    </row>
    <row r="447" spans="14:23" x14ac:dyDescent="0.4">
      <c r="N447" s="114"/>
      <c r="O447" s="115"/>
      <c r="P447" s="4"/>
      <c r="Q447" s="4"/>
      <c r="R447" s="4"/>
      <c r="S447" s="4"/>
      <c r="T447" s="4"/>
      <c r="U447" s="4"/>
      <c r="V447" s="4"/>
      <c r="W447" s="4"/>
    </row>
    <row r="448" spans="14:23" x14ac:dyDescent="0.4">
      <c r="N448" s="114"/>
      <c r="O448" s="115"/>
      <c r="P448" s="4"/>
      <c r="Q448" s="4"/>
      <c r="R448" s="4"/>
      <c r="S448" s="4"/>
      <c r="T448" s="4"/>
      <c r="U448" s="4"/>
      <c r="V448" s="4"/>
      <c r="W448" s="4"/>
    </row>
    <row r="449" spans="14:23" x14ac:dyDescent="0.4">
      <c r="N449" s="114"/>
      <c r="O449" s="115"/>
      <c r="P449" s="4"/>
      <c r="Q449" s="4"/>
      <c r="R449" s="4"/>
      <c r="S449" s="4"/>
      <c r="T449" s="4"/>
      <c r="U449" s="4"/>
      <c r="V449" s="4"/>
      <c r="W449" s="4"/>
    </row>
    <row r="450" spans="14:23" x14ac:dyDescent="0.4">
      <c r="N450" s="114"/>
      <c r="O450" s="115"/>
      <c r="P450" s="4"/>
      <c r="Q450" s="4"/>
      <c r="R450" s="4"/>
      <c r="S450" s="4"/>
      <c r="T450" s="4"/>
      <c r="U450" s="4"/>
      <c r="V450" s="4"/>
      <c r="W450" s="4"/>
    </row>
    <row r="451" spans="14:23" x14ac:dyDescent="0.4">
      <c r="N451" s="114"/>
      <c r="O451" s="115"/>
      <c r="P451" s="4"/>
      <c r="Q451" s="4"/>
      <c r="R451" s="4"/>
      <c r="S451" s="4"/>
      <c r="T451" s="4"/>
      <c r="U451" s="4"/>
      <c r="V451" s="4"/>
      <c r="W451" s="4"/>
    </row>
    <row r="452" spans="14:23" x14ac:dyDescent="0.4">
      <c r="N452" s="114"/>
      <c r="O452" s="115"/>
      <c r="P452" s="4"/>
      <c r="Q452" s="4"/>
      <c r="R452" s="4"/>
      <c r="S452" s="4"/>
      <c r="T452" s="4"/>
      <c r="U452" s="4"/>
      <c r="V452" s="4"/>
      <c r="W452" s="4"/>
    </row>
    <row r="453" spans="14:23" x14ac:dyDescent="0.4">
      <c r="N453" s="114"/>
      <c r="O453" s="115"/>
      <c r="P453" s="4"/>
      <c r="Q453" s="4"/>
      <c r="R453" s="4"/>
      <c r="S453" s="4"/>
      <c r="T453" s="4"/>
      <c r="U453" s="4"/>
      <c r="V453" s="4"/>
      <c r="W453" s="4"/>
    </row>
    <row r="454" spans="14:23" x14ac:dyDescent="0.4">
      <c r="N454" s="114"/>
      <c r="O454" s="115"/>
      <c r="P454" s="4"/>
      <c r="Q454" s="4"/>
      <c r="R454" s="4"/>
      <c r="S454" s="4"/>
      <c r="T454" s="4"/>
      <c r="U454" s="4"/>
      <c r="V454" s="4"/>
      <c r="W454" s="4"/>
    </row>
    <row r="455" spans="14:23" x14ac:dyDescent="0.4">
      <c r="N455" s="114"/>
      <c r="O455" s="115"/>
      <c r="P455" s="4"/>
      <c r="Q455" s="4"/>
      <c r="R455" s="4"/>
      <c r="S455" s="4"/>
      <c r="T455" s="4"/>
      <c r="U455" s="4"/>
      <c r="V455" s="4"/>
      <c r="W455" s="4"/>
    </row>
    <row r="456" spans="14:23" x14ac:dyDescent="0.4">
      <c r="N456" s="114"/>
      <c r="O456" s="115"/>
      <c r="P456" s="4"/>
      <c r="Q456" s="4"/>
      <c r="R456" s="4"/>
      <c r="S456" s="4"/>
      <c r="T456" s="4"/>
      <c r="U456" s="4"/>
      <c r="V456" s="4"/>
      <c r="W456" s="4"/>
    </row>
    <row r="457" spans="14:23" x14ac:dyDescent="0.4">
      <c r="N457" s="114"/>
      <c r="O457" s="115"/>
      <c r="P457" s="4"/>
      <c r="Q457" s="4"/>
      <c r="R457" s="4"/>
      <c r="S457" s="4"/>
      <c r="T457" s="4"/>
      <c r="U457" s="4"/>
      <c r="V457" s="4"/>
      <c r="W457" s="4"/>
    </row>
    <row r="458" spans="14:23" x14ac:dyDescent="0.4">
      <c r="N458" s="114"/>
      <c r="O458" s="115"/>
      <c r="P458" s="4"/>
      <c r="Q458" s="4"/>
      <c r="R458" s="4"/>
      <c r="S458" s="4"/>
      <c r="T458" s="4"/>
      <c r="U458" s="4"/>
      <c r="V458" s="4"/>
      <c r="W458" s="4"/>
    </row>
    <row r="459" spans="14:23" x14ac:dyDescent="0.4">
      <c r="N459" s="114"/>
      <c r="O459" s="115"/>
      <c r="P459" s="4"/>
      <c r="Q459" s="4"/>
      <c r="R459" s="4"/>
      <c r="S459" s="4"/>
      <c r="T459" s="4"/>
      <c r="U459" s="4"/>
      <c r="V459" s="4"/>
      <c r="W459" s="4"/>
    </row>
    <row r="460" spans="14:23" x14ac:dyDescent="0.4">
      <c r="N460" s="114"/>
      <c r="O460" s="115"/>
      <c r="P460" s="4"/>
      <c r="Q460" s="4"/>
      <c r="R460" s="4"/>
      <c r="S460" s="4"/>
      <c r="T460" s="4"/>
      <c r="U460" s="4"/>
      <c r="V460" s="4"/>
      <c r="W460" s="4"/>
    </row>
    <row r="461" spans="14:23" x14ac:dyDescent="0.4">
      <c r="N461" s="114"/>
      <c r="O461" s="115"/>
      <c r="P461" s="4"/>
      <c r="Q461" s="4"/>
      <c r="R461" s="4"/>
      <c r="S461" s="4"/>
      <c r="T461" s="4"/>
      <c r="U461" s="4"/>
      <c r="V461" s="4"/>
      <c r="W461" s="4"/>
    </row>
    <row r="462" spans="14:23" x14ac:dyDescent="0.4">
      <c r="N462" s="114"/>
      <c r="O462" s="115"/>
      <c r="P462" s="4"/>
      <c r="Q462" s="4"/>
      <c r="R462" s="4"/>
      <c r="S462" s="4"/>
      <c r="T462" s="4"/>
      <c r="U462" s="4"/>
      <c r="V462" s="4"/>
      <c r="W462" s="4"/>
    </row>
    <row r="463" spans="14:23" x14ac:dyDescent="0.4">
      <c r="N463" s="114"/>
      <c r="O463" s="115"/>
      <c r="P463" s="4"/>
      <c r="Q463" s="4"/>
      <c r="R463" s="4"/>
      <c r="S463" s="4"/>
      <c r="T463" s="4"/>
      <c r="U463" s="4"/>
      <c r="V463" s="4"/>
      <c r="W463" s="4"/>
    </row>
    <row r="464" spans="14:23" x14ac:dyDescent="0.4">
      <c r="N464" s="114"/>
      <c r="O464" s="115"/>
      <c r="P464" s="4"/>
      <c r="Q464" s="4"/>
      <c r="R464" s="4"/>
      <c r="S464" s="4"/>
      <c r="T464" s="4"/>
      <c r="U464" s="4"/>
      <c r="V464" s="4"/>
      <c r="W464" s="4"/>
    </row>
    <row r="465" spans="14:23" x14ac:dyDescent="0.4">
      <c r="N465" s="114"/>
      <c r="O465" s="115"/>
      <c r="P465" s="4"/>
      <c r="Q465" s="4"/>
      <c r="R465" s="4"/>
      <c r="S465" s="4"/>
      <c r="T465" s="4"/>
      <c r="U465" s="4"/>
      <c r="V465" s="4"/>
      <c r="W465" s="4"/>
    </row>
    <row r="466" spans="14:23" x14ac:dyDescent="0.4">
      <c r="N466" s="114"/>
      <c r="O466" s="115"/>
      <c r="P466" s="4"/>
      <c r="Q466" s="4"/>
      <c r="R466" s="4"/>
      <c r="S466" s="4"/>
      <c r="T466" s="4"/>
      <c r="U466" s="4"/>
      <c r="V466" s="4"/>
      <c r="W466" s="4"/>
    </row>
    <row r="467" spans="14:23" x14ac:dyDescent="0.4">
      <c r="N467" s="114"/>
      <c r="O467" s="115"/>
      <c r="P467" s="4"/>
      <c r="Q467" s="4"/>
      <c r="R467" s="4"/>
      <c r="S467" s="4"/>
      <c r="T467" s="4"/>
      <c r="U467" s="4"/>
      <c r="V467" s="4"/>
      <c r="W467" s="4"/>
    </row>
    <row r="468" spans="14:23" x14ac:dyDescent="0.4">
      <c r="N468" s="114"/>
      <c r="O468" s="115"/>
      <c r="P468" s="4"/>
      <c r="Q468" s="4"/>
      <c r="R468" s="4"/>
      <c r="S468" s="4"/>
      <c r="T468" s="4"/>
      <c r="U468" s="4"/>
      <c r="V468" s="4"/>
      <c r="W468" s="4"/>
    </row>
    <row r="469" spans="14:23" x14ac:dyDescent="0.4">
      <c r="N469" s="114"/>
      <c r="O469" s="115"/>
      <c r="P469" s="4"/>
      <c r="Q469" s="4"/>
      <c r="R469" s="4"/>
      <c r="S469" s="4"/>
      <c r="T469" s="4"/>
      <c r="U469" s="4"/>
      <c r="V469" s="4"/>
      <c r="W469" s="4"/>
    </row>
    <row r="470" spans="14:23" x14ac:dyDescent="0.4">
      <c r="N470" s="114"/>
      <c r="O470" s="115"/>
      <c r="P470" s="4"/>
      <c r="Q470" s="4"/>
      <c r="R470" s="4"/>
      <c r="S470" s="4"/>
      <c r="T470" s="4"/>
      <c r="U470" s="4"/>
      <c r="V470" s="4"/>
      <c r="W470" s="4"/>
    </row>
    <row r="471" spans="14:23" x14ac:dyDescent="0.4">
      <c r="N471" s="114"/>
      <c r="O471" s="115"/>
      <c r="P471" s="4"/>
      <c r="Q471" s="4"/>
      <c r="R471" s="4"/>
      <c r="S471" s="4"/>
      <c r="T471" s="4"/>
      <c r="U471" s="4"/>
      <c r="V471" s="4"/>
      <c r="W471" s="4"/>
    </row>
    <row r="472" spans="14:23" x14ac:dyDescent="0.4">
      <c r="N472" s="114"/>
      <c r="O472" s="115"/>
      <c r="P472" s="4"/>
      <c r="Q472" s="4"/>
      <c r="R472" s="4"/>
      <c r="S472" s="4"/>
      <c r="T472" s="4"/>
      <c r="U472" s="4"/>
      <c r="V472" s="4"/>
      <c r="W472" s="4"/>
    </row>
    <row r="473" spans="14:23" x14ac:dyDescent="0.4">
      <c r="N473" s="114"/>
      <c r="O473" s="115"/>
      <c r="P473" s="4"/>
      <c r="Q473" s="4"/>
      <c r="R473" s="4"/>
      <c r="S473" s="4"/>
      <c r="T473" s="4"/>
      <c r="U473" s="4"/>
      <c r="V473" s="4"/>
      <c r="W473" s="4"/>
    </row>
    <row r="474" spans="14:23" x14ac:dyDescent="0.4">
      <c r="N474" s="114"/>
      <c r="O474" s="115"/>
      <c r="P474" s="4"/>
      <c r="Q474" s="4"/>
      <c r="R474" s="4"/>
      <c r="S474" s="4"/>
      <c r="T474" s="4"/>
      <c r="U474" s="4"/>
      <c r="V474" s="4"/>
      <c r="W474" s="4"/>
    </row>
    <row r="475" spans="14:23" x14ac:dyDescent="0.4">
      <c r="N475" s="114"/>
      <c r="O475" s="115"/>
      <c r="P475" s="4"/>
      <c r="Q475" s="4"/>
      <c r="R475" s="4"/>
      <c r="S475" s="4"/>
      <c r="T475" s="4"/>
      <c r="U475" s="4"/>
      <c r="V475" s="4"/>
      <c r="W475" s="4"/>
    </row>
    <row r="476" spans="14:23" x14ac:dyDescent="0.4">
      <c r="N476" s="114"/>
      <c r="O476" s="115"/>
      <c r="P476" s="4"/>
      <c r="Q476" s="4"/>
      <c r="R476" s="4"/>
      <c r="S476" s="4"/>
      <c r="T476" s="4"/>
      <c r="U476" s="4"/>
      <c r="V476" s="4"/>
      <c r="W476" s="4"/>
    </row>
    <row r="477" spans="14:23" x14ac:dyDescent="0.4">
      <c r="N477" s="114"/>
      <c r="O477" s="115"/>
      <c r="P477" s="4"/>
      <c r="Q477" s="4"/>
      <c r="R477" s="4"/>
      <c r="S477" s="4"/>
      <c r="T477" s="4"/>
      <c r="U477" s="4"/>
      <c r="V477" s="4"/>
      <c r="W477" s="4"/>
    </row>
    <row r="478" spans="14:23" x14ac:dyDescent="0.4">
      <c r="N478" s="114"/>
      <c r="O478" s="115"/>
      <c r="P478" s="4"/>
      <c r="Q478" s="4"/>
      <c r="R478" s="4"/>
      <c r="S478" s="4"/>
      <c r="T478" s="4"/>
      <c r="U478" s="4"/>
      <c r="V478" s="4"/>
      <c r="W478" s="4"/>
    </row>
    <row r="479" spans="14:23" x14ac:dyDescent="0.4">
      <c r="N479" s="114"/>
      <c r="O479" s="115"/>
      <c r="P479" s="4"/>
      <c r="Q479" s="4"/>
      <c r="R479" s="4"/>
      <c r="S479" s="4"/>
      <c r="T479" s="4"/>
      <c r="U479" s="4"/>
      <c r="V479" s="4"/>
      <c r="W479" s="4"/>
    </row>
    <row r="480" spans="14:23" x14ac:dyDescent="0.4">
      <c r="N480" s="114"/>
      <c r="O480" s="115"/>
      <c r="P480" s="4"/>
      <c r="Q480" s="4"/>
      <c r="R480" s="4"/>
      <c r="S480" s="4"/>
      <c r="T480" s="4"/>
      <c r="U480" s="4"/>
      <c r="V480" s="4"/>
      <c r="W480" s="4"/>
    </row>
    <row r="481" spans="14:23" x14ac:dyDescent="0.4">
      <c r="N481" s="114"/>
      <c r="O481" s="115"/>
      <c r="P481" s="4"/>
      <c r="Q481" s="4"/>
      <c r="R481" s="4"/>
      <c r="S481" s="4"/>
      <c r="T481" s="4"/>
      <c r="U481" s="4"/>
      <c r="V481" s="4"/>
      <c r="W481" s="4"/>
    </row>
    <row r="482" spans="14:23" x14ac:dyDescent="0.4">
      <c r="N482" s="114"/>
      <c r="O482" s="115"/>
      <c r="P482" s="4"/>
      <c r="Q482" s="4"/>
      <c r="R482" s="4"/>
      <c r="S482" s="4"/>
      <c r="T482" s="4"/>
      <c r="U482" s="4"/>
      <c r="V482" s="4"/>
      <c r="W482" s="4"/>
    </row>
    <row r="483" spans="14:23" x14ac:dyDescent="0.4">
      <c r="N483" s="114"/>
      <c r="O483" s="115"/>
      <c r="P483" s="4"/>
      <c r="Q483" s="4"/>
      <c r="R483" s="4"/>
      <c r="S483" s="4"/>
      <c r="T483" s="4"/>
      <c r="U483" s="4"/>
      <c r="V483" s="4"/>
      <c r="W483" s="4"/>
    </row>
    <row r="484" spans="14:23" x14ac:dyDescent="0.4">
      <c r="N484" s="114"/>
      <c r="O484" s="115"/>
      <c r="P484" s="4"/>
      <c r="Q484" s="4"/>
      <c r="R484" s="4"/>
      <c r="S484" s="4"/>
      <c r="T484" s="4"/>
      <c r="U484" s="4"/>
      <c r="V484" s="4"/>
      <c r="W484" s="4"/>
    </row>
    <row r="485" spans="14:23" x14ac:dyDescent="0.4">
      <c r="N485" s="114"/>
      <c r="O485" s="115"/>
      <c r="P485" s="4"/>
      <c r="Q485" s="4"/>
      <c r="R485" s="4"/>
      <c r="S485" s="4"/>
      <c r="T485" s="4"/>
      <c r="U485" s="4"/>
      <c r="V485" s="4"/>
      <c r="W485" s="4"/>
    </row>
    <row r="486" spans="14:23" x14ac:dyDescent="0.4">
      <c r="N486" s="114"/>
      <c r="O486" s="115"/>
      <c r="P486" s="4"/>
      <c r="Q486" s="4"/>
      <c r="R486" s="4"/>
      <c r="S486" s="4"/>
      <c r="T486" s="4"/>
      <c r="U486" s="4"/>
      <c r="V486" s="4"/>
      <c r="W486" s="4"/>
    </row>
    <row r="487" spans="14:23" x14ac:dyDescent="0.4">
      <c r="N487" s="114"/>
      <c r="O487" s="115"/>
      <c r="P487" s="4"/>
      <c r="Q487" s="4"/>
      <c r="R487" s="4"/>
      <c r="S487" s="4"/>
      <c r="T487" s="4"/>
      <c r="U487" s="4"/>
      <c r="V487" s="4"/>
      <c r="W487" s="4"/>
    </row>
    <row r="488" spans="14:23" x14ac:dyDescent="0.4">
      <c r="N488" s="114"/>
      <c r="O488" s="115"/>
      <c r="P488" s="4"/>
      <c r="Q488" s="4"/>
      <c r="R488" s="4"/>
      <c r="S488" s="4"/>
      <c r="T488" s="4"/>
      <c r="U488" s="4"/>
      <c r="V488" s="4"/>
      <c r="W488" s="4"/>
    </row>
    <row r="489" spans="14:23" x14ac:dyDescent="0.4">
      <c r="N489" s="114"/>
      <c r="O489" s="115"/>
      <c r="P489" s="4"/>
      <c r="Q489" s="4"/>
      <c r="R489" s="4"/>
      <c r="S489" s="4"/>
      <c r="T489" s="4"/>
      <c r="U489" s="4"/>
      <c r="V489" s="4"/>
      <c r="W489" s="4"/>
    </row>
    <row r="490" spans="14:23" x14ac:dyDescent="0.4">
      <c r="N490" s="114"/>
      <c r="O490" s="115"/>
      <c r="P490" s="4"/>
      <c r="Q490" s="4"/>
      <c r="R490" s="4"/>
      <c r="S490" s="4"/>
      <c r="T490" s="4"/>
      <c r="U490" s="4"/>
      <c r="V490" s="4"/>
      <c r="W490" s="4"/>
    </row>
    <row r="491" spans="14:23" x14ac:dyDescent="0.4">
      <c r="N491" s="114"/>
      <c r="O491" s="115"/>
      <c r="P491" s="4"/>
      <c r="Q491" s="4"/>
      <c r="R491" s="4"/>
      <c r="S491" s="4"/>
      <c r="T491" s="4"/>
      <c r="U491" s="4"/>
      <c r="V491" s="4"/>
      <c r="W491" s="4"/>
    </row>
    <row r="492" spans="14:23" x14ac:dyDescent="0.4">
      <c r="N492" s="114"/>
      <c r="O492" s="115"/>
      <c r="P492" s="4"/>
      <c r="Q492" s="4"/>
      <c r="R492" s="4"/>
      <c r="S492" s="4"/>
      <c r="T492" s="4"/>
      <c r="U492" s="4"/>
      <c r="V492" s="4"/>
      <c r="W492" s="4"/>
    </row>
    <row r="493" spans="14:23" x14ac:dyDescent="0.4">
      <c r="N493" s="114"/>
      <c r="O493" s="115"/>
      <c r="P493" s="4"/>
      <c r="Q493" s="4"/>
      <c r="R493" s="4"/>
      <c r="S493" s="4"/>
      <c r="T493" s="4"/>
      <c r="U493" s="4"/>
      <c r="V493" s="4"/>
      <c r="W493" s="4"/>
    </row>
    <row r="494" spans="14:23" x14ac:dyDescent="0.4">
      <c r="N494" s="114"/>
      <c r="O494" s="115"/>
      <c r="P494" s="4"/>
      <c r="Q494" s="4"/>
      <c r="R494" s="4"/>
      <c r="S494" s="4"/>
      <c r="T494" s="4"/>
      <c r="U494" s="4"/>
      <c r="V494" s="4"/>
      <c r="W494" s="4"/>
    </row>
    <row r="495" spans="14:23" x14ac:dyDescent="0.4">
      <c r="N495" s="114"/>
      <c r="O495" s="115"/>
      <c r="P495" s="4"/>
      <c r="Q495" s="4"/>
      <c r="R495" s="4"/>
      <c r="S495" s="4"/>
      <c r="T495" s="4"/>
      <c r="U495" s="4"/>
      <c r="V495" s="4"/>
      <c r="W495" s="4"/>
    </row>
    <row r="496" spans="14:23" x14ac:dyDescent="0.4">
      <c r="N496" s="114"/>
      <c r="O496" s="115"/>
      <c r="P496" s="4"/>
      <c r="Q496" s="4"/>
      <c r="R496" s="4"/>
      <c r="S496" s="4"/>
      <c r="T496" s="4"/>
      <c r="U496" s="4"/>
      <c r="V496" s="4"/>
      <c r="W496" s="4"/>
    </row>
    <row r="497" spans="14:23" x14ac:dyDescent="0.4">
      <c r="N497" s="114"/>
      <c r="O497" s="115"/>
      <c r="P497" s="4"/>
      <c r="Q497" s="4"/>
      <c r="R497" s="4"/>
      <c r="S497" s="4"/>
      <c r="T497" s="4"/>
      <c r="U497" s="4"/>
      <c r="V497" s="4"/>
      <c r="W497" s="4"/>
    </row>
    <row r="498" spans="14:23" x14ac:dyDescent="0.4">
      <c r="N498" s="114"/>
      <c r="O498" s="115"/>
      <c r="P498" s="4"/>
      <c r="Q498" s="4"/>
      <c r="R498" s="4"/>
      <c r="S498" s="4"/>
      <c r="T498" s="4"/>
      <c r="U498" s="4"/>
      <c r="V498" s="4"/>
      <c r="W498" s="4"/>
    </row>
    <row r="499" spans="14:23" x14ac:dyDescent="0.4">
      <c r="N499" s="114"/>
      <c r="O499" s="115"/>
      <c r="P499" s="4"/>
      <c r="Q499" s="4"/>
      <c r="R499" s="4"/>
      <c r="S499" s="4"/>
      <c r="T499" s="4"/>
      <c r="U499" s="4"/>
      <c r="V499" s="4"/>
      <c r="W499" s="4"/>
    </row>
    <row r="500" spans="14:23" x14ac:dyDescent="0.4">
      <c r="N500" s="114"/>
      <c r="O500" s="115"/>
      <c r="P500" s="4"/>
      <c r="Q500" s="4"/>
      <c r="R500" s="4"/>
      <c r="S500" s="4"/>
      <c r="T500" s="4"/>
      <c r="U500" s="4"/>
      <c r="V500" s="4"/>
      <c r="W500" s="4"/>
    </row>
    <row r="501" spans="14:23" x14ac:dyDescent="0.4">
      <c r="N501" s="114"/>
      <c r="O501" s="115"/>
      <c r="P501" s="4"/>
      <c r="Q501" s="4"/>
      <c r="R501" s="4"/>
      <c r="S501" s="4"/>
      <c r="T501" s="4"/>
      <c r="U501" s="4"/>
      <c r="V501" s="4"/>
      <c r="W501" s="4"/>
    </row>
    <row r="502" spans="14:23" x14ac:dyDescent="0.4">
      <c r="N502" s="114"/>
      <c r="O502" s="115"/>
      <c r="P502" s="4"/>
      <c r="Q502" s="4"/>
      <c r="R502" s="4"/>
      <c r="S502" s="4"/>
      <c r="T502" s="4"/>
      <c r="U502" s="4"/>
      <c r="V502" s="4"/>
      <c r="W502" s="4"/>
    </row>
    <row r="503" spans="14:23" x14ac:dyDescent="0.4">
      <c r="N503" s="114"/>
      <c r="O503" s="115"/>
      <c r="P503" s="4"/>
      <c r="Q503" s="4"/>
      <c r="R503" s="4"/>
      <c r="S503" s="4"/>
      <c r="T503" s="4"/>
      <c r="U503" s="4"/>
      <c r="V503" s="4"/>
      <c r="W503" s="4"/>
    </row>
    <row r="504" spans="14:23" x14ac:dyDescent="0.4">
      <c r="N504" s="114"/>
      <c r="O504" s="115"/>
      <c r="P504" s="4"/>
      <c r="Q504" s="4"/>
      <c r="R504" s="4"/>
      <c r="S504" s="4"/>
      <c r="T504" s="4"/>
      <c r="U504" s="4"/>
      <c r="V504" s="4"/>
      <c r="W504" s="4"/>
    </row>
    <row r="505" spans="14:23" x14ac:dyDescent="0.4">
      <c r="N505" s="114"/>
      <c r="O505" s="115"/>
      <c r="P505" s="4"/>
      <c r="Q505" s="4"/>
      <c r="R505" s="4"/>
      <c r="S505" s="4"/>
      <c r="T505" s="4"/>
      <c r="U505" s="4"/>
      <c r="V505" s="4"/>
      <c r="W505" s="4"/>
    </row>
    <row r="506" spans="14:23" x14ac:dyDescent="0.4">
      <c r="N506" s="114"/>
      <c r="O506" s="115"/>
      <c r="P506" s="4"/>
      <c r="Q506" s="4"/>
      <c r="R506" s="4"/>
      <c r="S506" s="4"/>
      <c r="T506" s="4"/>
      <c r="U506" s="4"/>
      <c r="V506" s="4"/>
      <c r="W506" s="4"/>
    </row>
    <row r="507" spans="14:23" x14ac:dyDescent="0.4">
      <c r="N507" s="114"/>
      <c r="O507" s="115"/>
      <c r="P507" s="4"/>
      <c r="Q507" s="4"/>
      <c r="R507" s="4"/>
      <c r="S507" s="4"/>
      <c r="T507" s="4"/>
      <c r="U507" s="4"/>
      <c r="V507" s="4"/>
      <c r="W507" s="4"/>
    </row>
    <row r="508" spans="14:23" x14ac:dyDescent="0.4">
      <c r="N508" s="114"/>
      <c r="O508" s="115"/>
      <c r="P508" s="4"/>
      <c r="Q508" s="4"/>
      <c r="R508" s="4"/>
      <c r="S508" s="4"/>
      <c r="T508" s="4"/>
      <c r="U508" s="4"/>
      <c r="V508" s="4"/>
      <c r="W508" s="4"/>
    </row>
    <row r="509" spans="14:23" x14ac:dyDescent="0.4">
      <c r="N509" s="114"/>
      <c r="O509" s="115"/>
      <c r="P509" s="4"/>
      <c r="Q509" s="4"/>
      <c r="R509" s="4"/>
      <c r="S509" s="4"/>
      <c r="T509" s="4"/>
      <c r="U509" s="4"/>
      <c r="V509" s="4"/>
      <c r="W509" s="4"/>
    </row>
    <row r="510" spans="14:23" x14ac:dyDescent="0.4">
      <c r="N510" s="114"/>
      <c r="O510" s="115"/>
      <c r="P510" s="4"/>
      <c r="Q510" s="4"/>
      <c r="R510" s="4"/>
      <c r="S510" s="4"/>
      <c r="T510" s="4"/>
      <c r="U510" s="4"/>
      <c r="V510" s="4"/>
      <c r="W510" s="4"/>
    </row>
    <row r="511" spans="14:23" x14ac:dyDescent="0.4">
      <c r="N511" s="114"/>
      <c r="O511" s="115"/>
      <c r="P511" s="4"/>
      <c r="Q511" s="4"/>
      <c r="R511" s="4"/>
      <c r="S511" s="4"/>
      <c r="T511" s="4"/>
      <c r="U511" s="4"/>
      <c r="V511" s="4"/>
      <c r="W511" s="4"/>
    </row>
    <row r="512" spans="14:23" x14ac:dyDescent="0.4">
      <c r="N512" s="114"/>
      <c r="O512" s="115"/>
      <c r="P512" s="4"/>
      <c r="Q512" s="4"/>
      <c r="R512" s="4"/>
      <c r="S512" s="4"/>
      <c r="T512" s="4"/>
      <c r="U512" s="4"/>
      <c r="V512" s="4"/>
      <c r="W512" s="4"/>
    </row>
    <row r="513" spans="14:23" x14ac:dyDescent="0.4">
      <c r="N513" s="114"/>
      <c r="O513" s="115"/>
      <c r="P513" s="4"/>
      <c r="Q513" s="4"/>
      <c r="R513" s="4"/>
      <c r="S513" s="4"/>
      <c r="T513" s="4"/>
      <c r="U513" s="4"/>
      <c r="V513" s="4"/>
      <c r="W513" s="118"/>
    </row>
    <row r="514" spans="14:23" x14ac:dyDescent="0.4">
      <c r="N514" s="114"/>
      <c r="O514" s="115"/>
      <c r="P514" s="4"/>
      <c r="Q514" s="4"/>
      <c r="R514" s="4"/>
      <c r="S514" s="4"/>
      <c r="T514" s="4"/>
      <c r="U514" s="4"/>
      <c r="V514" s="4"/>
      <c r="W514" s="4"/>
    </row>
    <row r="515" spans="14:23" x14ac:dyDescent="0.4">
      <c r="N515" s="114"/>
      <c r="O515" s="115"/>
      <c r="P515" s="4"/>
      <c r="Q515" s="4"/>
      <c r="R515" s="4"/>
      <c r="S515" s="4"/>
      <c r="T515" s="4"/>
      <c r="U515" s="4"/>
      <c r="V515" s="4"/>
      <c r="W515" s="4"/>
    </row>
    <row r="516" spans="14:23" x14ac:dyDescent="0.4">
      <c r="N516" s="114"/>
      <c r="O516" s="115"/>
      <c r="P516" s="4"/>
      <c r="Q516" s="4"/>
      <c r="R516" s="4"/>
      <c r="S516" s="4"/>
      <c r="T516" s="4"/>
      <c r="U516" s="4"/>
      <c r="V516" s="4"/>
      <c r="W516" s="4"/>
    </row>
    <row r="517" spans="14:23" x14ac:dyDescent="0.4">
      <c r="N517" s="114"/>
      <c r="O517" s="115"/>
      <c r="P517" s="4"/>
      <c r="Q517" s="4"/>
      <c r="R517" s="4"/>
      <c r="S517" s="4"/>
      <c r="T517" s="4"/>
      <c r="U517" s="4"/>
      <c r="V517" s="4"/>
      <c r="W517" s="4"/>
    </row>
    <row r="518" spans="14:23" x14ac:dyDescent="0.4">
      <c r="N518" s="114"/>
      <c r="O518" s="115"/>
      <c r="P518" s="4"/>
      <c r="Q518" s="4"/>
      <c r="R518" s="4"/>
      <c r="S518" s="4"/>
      <c r="T518" s="4"/>
      <c r="U518" s="4"/>
      <c r="V518" s="4"/>
      <c r="W518" s="4"/>
    </row>
    <row r="519" spans="14:23" x14ac:dyDescent="0.4">
      <c r="N519" s="114"/>
      <c r="O519" s="115"/>
      <c r="P519" s="4"/>
      <c r="Q519" s="4"/>
      <c r="R519" s="4"/>
      <c r="S519" s="4"/>
      <c r="T519" s="4"/>
      <c r="U519" s="4"/>
      <c r="V519" s="4"/>
      <c r="W519" s="4"/>
    </row>
    <row r="520" spans="14:23" x14ac:dyDescent="0.4">
      <c r="N520" s="114"/>
      <c r="O520" s="115"/>
      <c r="P520" s="4"/>
      <c r="Q520" s="4"/>
      <c r="R520" s="4"/>
      <c r="S520" s="4"/>
      <c r="T520" s="4"/>
      <c r="U520" s="4"/>
      <c r="V520" s="4"/>
      <c r="W520" s="4"/>
    </row>
    <row r="521" spans="14:23" x14ac:dyDescent="0.4">
      <c r="N521" s="114"/>
      <c r="O521" s="115"/>
      <c r="P521" s="4"/>
      <c r="Q521" s="4"/>
      <c r="R521" s="4"/>
      <c r="S521" s="4"/>
      <c r="T521" s="4"/>
      <c r="U521" s="4"/>
      <c r="V521" s="4"/>
      <c r="W521" s="4"/>
    </row>
    <row r="522" spans="14:23" x14ac:dyDescent="0.4">
      <c r="N522" s="114"/>
      <c r="O522" s="115"/>
      <c r="P522" s="4"/>
      <c r="Q522" s="4"/>
      <c r="R522" s="4"/>
      <c r="S522" s="4"/>
      <c r="T522" s="4"/>
      <c r="U522" s="4"/>
      <c r="V522" s="4"/>
      <c r="W522" s="4"/>
    </row>
    <row r="523" spans="14:23" x14ac:dyDescent="0.4">
      <c r="N523" s="114"/>
      <c r="O523" s="115"/>
      <c r="P523" s="4"/>
      <c r="Q523" s="4"/>
      <c r="R523" s="4"/>
      <c r="S523" s="4"/>
      <c r="T523" s="4"/>
      <c r="U523" s="4"/>
      <c r="V523" s="4"/>
      <c r="W523" s="4"/>
    </row>
    <row r="524" spans="14:23" x14ac:dyDescent="0.4">
      <c r="N524" s="114"/>
      <c r="O524" s="115"/>
      <c r="P524" s="4"/>
      <c r="Q524" s="4"/>
      <c r="R524" s="4"/>
      <c r="S524" s="4"/>
      <c r="T524" s="4"/>
      <c r="U524" s="4"/>
      <c r="V524" s="4"/>
      <c r="W524" s="4"/>
    </row>
    <row r="525" spans="14:23" x14ac:dyDescent="0.4">
      <c r="N525" s="114"/>
      <c r="O525" s="115"/>
      <c r="P525" s="4"/>
      <c r="Q525" s="4"/>
      <c r="R525" s="4"/>
      <c r="S525" s="4"/>
      <c r="T525" s="4"/>
      <c r="U525" s="4"/>
      <c r="V525" s="4"/>
      <c r="W525" s="4"/>
    </row>
    <row r="526" spans="14:23" x14ac:dyDescent="0.4">
      <c r="N526" s="114"/>
      <c r="O526" s="115"/>
      <c r="P526" s="4"/>
      <c r="Q526" s="4"/>
      <c r="R526" s="4"/>
      <c r="S526" s="4"/>
      <c r="T526" s="4"/>
      <c r="U526" s="4"/>
      <c r="V526" s="4"/>
      <c r="W526" s="4"/>
    </row>
    <row r="527" spans="14:23" x14ac:dyDescent="0.4">
      <c r="N527" s="114"/>
      <c r="O527" s="115"/>
      <c r="P527" s="4"/>
      <c r="Q527" s="4"/>
      <c r="R527" s="4"/>
      <c r="S527" s="4"/>
      <c r="T527" s="4"/>
      <c r="U527" s="4"/>
      <c r="V527" s="4"/>
      <c r="W527" s="4"/>
    </row>
    <row r="528" spans="14:23" x14ac:dyDescent="0.4">
      <c r="N528" s="114"/>
      <c r="O528" s="115"/>
      <c r="P528" s="4"/>
      <c r="Q528" s="4"/>
      <c r="R528" s="4"/>
      <c r="S528" s="4"/>
      <c r="T528" s="4"/>
      <c r="U528" s="4"/>
      <c r="V528" s="4"/>
      <c r="W528" s="4"/>
    </row>
    <row r="529" spans="14:23" x14ac:dyDescent="0.4">
      <c r="N529" s="114"/>
      <c r="O529" s="115"/>
      <c r="P529" s="4"/>
      <c r="Q529" s="4"/>
      <c r="R529" s="4"/>
      <c r="S529" s="4"/>
      <c r="T529" s="4"/>
      <c r="U529" s="4"/>
      <c r="V529" s="4"/>
      <c r="W529" s="4"/>
    </row>
    <row r="530" spans="14:23" x14ac:dyDescent="0.4">
      <c r="N530" s="114"/>
      <c r="O530" s="115"/>
      <c r="P530" s="4"/>
      <c r="Q530" s="4"/>
      <c r="R530" s="4"/>
      <c r="S530" s="4"/>
      <c r="T530" s="4"/>
      <c r="U530" s="4"/>
      <c r="V530" s="4"/>
      <c r="W530" s="4"/>
    </row>
    <row r="531" spans="14:23" x14ac:dyDescent="0.4">
      <c r="N531" s="114"/>
      <c r="O531" s="115"/>
      <c r="P531" s="4"/>
      <c r="Q531" s="4"/>
      <c r="R531" s="4"/>
      <c r="S531" s="4"/>
      <c r="T531" s="4"/>
      <c r="U531" s="4"/>
      <c r="V531" s="4"/>
      <c r="W531" s="4"/>
    </row>
    <row r="532" spans="14:23" x14ac:dyDescent="0.4">
      <c r="N532" s="114"/>
      <c r="O532" s="115"/>
      <c r="P532" s="4"/>
      <c r="Q532" s="4"/>
      <c r="R532" s="4"/>
      <c r="S532" s="4"/>
      <c r="T532" s="4"/>
      <c r="U532" s="4"/>
      <c r="V532" s="4"/>
      <c r="W532" s="4"/>
    </row>
    <row r="533" spans="14:23" x14ac:dyDescent="0.4">
      <c r="N533" s="114"/>
      <c r="O533" s="115"/>
      <c r="P533" s="4"/>
      <c r="Q533" s="4"/>
      <c r="R533" s="4"/>
      <c r="S533" s="4"/>
      <c r="T533" s="4"/>
      <c r="U533" s="4"/>
      <c r="V533" s="4"/>
      <c r="W533" s="4"/>
    </row>
    <row r="534" spans="14:23" x14ac:dyDescent="0.4">
      <c r="N534" s="114"/>
      <c r="O534" s="115"/>
      <c r="P534" s="4"/>
      <c r="Q534" s="4"/>
      <c r="R534" s="4"/>
      <c r="S534" s="4"/>
      <c r="T534" s="4"/>
      <c r="U534" s="4"/>
      <c r="V534" s="4"/>
      <c r="W534" s="4"/>
    </row>
    <row r="535" spans="14:23" x14ac:dyDescent="0.4">
      <c r="N535" s="114"/>
      <c r="O535" s="115"/>
      <c r="P535" s="4"/>
      <c r="Q535" s="4"/>
      <c r="R535" s="4"/>
      <c r="S535" s="4"/>
      <c r="T535" s="4"/>
      <c r="U535" s="4"/>
      <c r="V535" s="4"/>
      <c r="W535" s="4"/>
    </row>
    <row r="536" spans="14:23" x14ac:dyDescent="0.4">
      <c r="N536" s="114"/>
      <c r="O536" s="115"/>
      <c r="P536" s="4"/>
      <c r="Q536" s="4"/>
      <c r="R536" s="4"/>
      <c r="S536" s="4"/>
      <c r="T536" s="4"/>
      <c r="U536" s="4"/>
      <c r="V536" s="4"/>
      <c r="W536" s="4"/>
    </row>
    <row r="537" spans="14:23" x14ac:dyDescent="0.4">
      <c r="N537" s="114"/>
      <c r="O537" s="115"/>
      <c r="P537" s="4"/>
      <c r="Q537" s="4"/>
      <c r="R537" s="4"/>
      <c r="S537" s="4"/>
      <c r="T537" s="4"/>
      <c r="U537" s="4"/>
      <c r="V537" s="4"/>
      <c r="W537" s="4"/>
    </row>
    <row r="538" spans="14:23" x14ac:dyDescent="0.4">
      <c r="N538" s="114"/>
      <c r="O538" s="115"/>
      <c r="P538" s="4"/>
      <c r="Q538" s="4"/>
      <c r="R538" s="4"/>
      <c r="S538" s="4"/>
      <c r="T538" s="4"/>
      <c r="U538" s="4"/>
      <c r="V538" s="4"/>
      <c r="W538" s="4"/>
    </row>
    <row r="539" spans="14:23" x14ac:dyDescent="0.4">
      <c r="N539" s="114"/>
      <c r="O539" s="115"/>
      <c r="P539" s="4"/>
      <c r="Q539" s="4"/>
      <c r="R539" s="4"/>
      <c r="S539" s="4"/>
      <c r="T539" s="4"/>
      <c r="U539" s="4"/>
      <c r="V539" s="4"/>
      <c r="W539" s="4"/>
    </row>
    <row r="540" spans="14:23" x14ac:dyDescent="0.4">
      <c r="N540" s="114"/>
      <c r="O540" s="115"/>
      <c r="P540" s="4"/>
      <c r="Q540" s="4"/>
      <c r="R540" s="4"/>
      <c r="S540" s="4"/>
      <c r="T540" s="4"/>
      <c r="U540" s="4"/>
      <c r="V540" s="4"/>
      <c r="W540" s="4"/>
    </row>
    <row r="541" spans="14:23" x14ac:dyDescent="0.4">
      <c r="N541" s="114"/>
      <c r="O541" s="115"/>
      <c r="P541" s="4"/>
      <c r="Q541" s="4"/>
      <c r="R541" s="4"/>
      <c r="S541" s="4"/>
      <c r="T541" s="4"/>
      <c r="U541" s="4"/>
      <c r="V541" s="4"/>
      <c r="W541" s="4"/>
    </row>
    <row r="542" spans="14:23" x14ac:dyDescent="0.4">
      <c r="N542" s="114"/>
      <c r="O542" s="115"/>
      <c r="P542" s="4"/>
      <c r="Q542" s="4"/>
      <c r="R542" s="4"/>
      <c r="S542" s="4"/>
      <c r="T542" s="4"/>
      <c r="U542" s="4"/>
      <c r="V542" s="4"/>
      <c r="W542" s="4"/>
    </row>
    <row r="543" spans="14:23" x14ac:dyDescent="0.4">
      <c r="N543" s="114"/>
      <c r="O543" s="115"/>
      <c r="P543" s="4"/>
      <c r="Q543" s="4"/>
      <c r="R543" s="4"/>
      <c r="S543" s="4"/>
      <c r="T543" s="4"/>
      <c r="U543" s="4"/>
      <c r="V543" s="4"/>
      <c r="W543" s="4"/>
    </row>
    <row r="544" spans="14:23" x14ac:dyDescent="0.4">
      <c r="N544" s="114"/>
      <c r="O544" s="115"/>
      <c r="P544" s="4"/>
      <c r="Q544" s="4"/>
      <c r="R544" s="4"/>
      <c r="S544" s="4"/>
      <c r="T544" s="4"/>
      <c r="U544" s="4"/>
      <c r="V544" s="4"/>
      <c r="W544" s="4"/>
    </row>
    <row r="545" spans="14:23" x14ac:dyDescent="0.4">
      <c r="N545" s="114"/>
      <c r="O545" s="115"/>
      <c r="P545" s="4"/>
      <c r="Q545" s="4"/>
      <c r="R545" s="4"/>
      <c r="S545" s="4"/>
      <c r="T545" s="4"/>
      <c r="U545" s="4"/>
      <c r="V545" s="4"/>
      <c r="W545" s="4"/>
    </row>
    <row r="546" spans="14:23" x14ac:dyDescent="0.4">
      <c r="N546" s="114"/>
      <c r="O546" s="115"/>
      <c r="P546" s="4"/>
      <c r="Q546" s="4"/>
      <c r="R546" s="4"/>
      <c r="S546" s="4"/>
      <c r="T546" s="4"/>
      <c r="U546" s="4"/>
      <c r="V546" s="4"/>
      <c r="W546" s="4"/>
    </row>
    <row r="547" spans="14:23" x14ac:dyDescent="0.4">
      <c r="N547" s="114"/>
      <c r="O547" s="115"/>
      <c r="P547" s="4"/>
      <c r="Q547" s="4"/>
      <c r="R547" s="4"/>
      <c r="S547" s="4"/>
      <c r="T547" s="4"/>
      <c r="U547" s="4"/>
      <c r="V547" s="4"/>
      <c r="W547" s="4"/>
    </row>
    <row r="548" spans="14:23" x14ac:dyDescent="0.4">
      <c r="N548" s="114"/>
      <c r="O548" s="115"/>
      <c r="P548" s="4"/>
      <c r="Q548" s="4"/>
      <c r="R548" s="4"/>
      <c r="S548" s="4"/>
      <c r="T548" s="4"/>
      <c r="U548" s="4"/>
      <c r="V548" s="4"/>
      <c r="W548" s="4"/>
    </row>
    <row r="549" spans="14:23" x14ac:dyDescent="0.4">
      <c r="N549" s="114"/>
      <c r="O549" s="115"/>
      <c r="P549" s="4"/>
      <c r="Q549" s="4"/>
      <c r="R549" s="4"/>
      <c r="S549" s="4"/>
      <c r="T549" s="4"/>
      <c r="U549" s="4"/>
      <c r="V549" s="4"/>
      <c r="W549" s="4"/>
    </row>
    <row r="550" spans="14:23" x14ac:dyDescent="0.4">
      <c r="N550" s="114"/>
      <c r="O550" s="115"/>
      <c r="P550" s="4"/>
      <c r="Q550" s="4"/>
      <c r="R550" s="4"/>
      <c r="S550" s="4"/>
      <c r="T550" s="4"/>
      <c r="U550" s="4"/>
      <c r="V550" s="4"/>
      <c r="W550" s="4"/>
    </row>
    <row r="551" spans="14:23" x14ac:dyDescent="0.4">
      <c r="N551" s="114"/>
      <c r="O551" s="115"/>
      <c r="P551" s="4"/>
      <c r="Q551" s="4"/>
      <c r="R551" s="4"/>
      <c r="S551" s="4"/>
      <c r="T551" s="4"/>
      <c r="U551" s="4"/>
      <c r="V551" s="4"/>
      <c r="W551" s="4"/>
    </row>
    <row r="552" spans="14:23" x14ac:dyDescent="0.4">
      <c r="N552" s="114"/>
      <c r="O552" s="115"/>
      <c r="P552" s="4"/>
      <c r="Q552" s="4"/>
      <c r="R552" s="4"/>
      <c r="S552" s="4"/>
      <c r="T552" s="4"/>
      <c r="U552" s="4"/>
      <c r="V552" s="4"/>
      <c r="W552" s="4"/>
    </row>
    <row r="553" spans="14:23" x14ac:dyDescent="0.4">
      <c r="N553" s="114"/>
      <c r="O553" s="115"/>
      <c r="P553" s="4"/>
      <c r="Q553" s="4"/>
      <c r="R553" s="4"/>
      <c r="S553" s="4"/>
      <c r="T553" s="4"/>
      <c r="U553" s="4"/>
      <c r="V553" s="4"/>
      <c r="W553" s="4"/>
    </row>
    <row r="554" spans="14:23" x14ac:dyDescent="0.4">
      <c r="N554" s="114"/>
      <c r="O554" s="115"/>
      <c r="P554" s="4"/>
      <c r="Q554" s="4"/>
      <c r="R554" s="4"/>
      <c r="S554" s="4"/>
      <c r="T554" s="4"/>
      <c r="U554" s="4"/>
      <c r="V554" s="4"/>
      <c r="W554" s="4"/>
    </row>
    <row r="555" spans="14:23" x14ac:dyDescent="0.4">
      <c r="N555" s="114"/>
      <c r="O555" s="115"/>
      <c r="P555" s="4"/>
      <c r="Q555" s="4"/>
      <c r="R555" s="4"/>
      <c r="S555" s="4"/>
      <c r="T555" s="4"/>
      <c r="U555" s="4"/>
      <c r="V555" s="4"/>
      <c r="W555" s="4"/>
    </row>
    <row r="556" spans="14:23" x14ac:dyDescent="0.4">
      <c r="N556" s="114"/>
      <c r="O556" s="115"/>
      <c r="P556" s="4"/>
      <c r="Q556" s="4"/>
      <c r="R556" s="4"/>
      <c r="S556" s="4"/>
      <c r="T556" s="4"/>
      <c r="U556" s="4"/>
      <c r="V556" s="4"/>
      <c r="W556" s="4"/>
    </row>
    <row r="557" spans="14:23" x14ac:dyDescent="0.4">
      <c r="N557" s="114"/>
      <c r="O557" s="115"/>
      <c r="P557" s="4"/>
      <c r="Q557" s="4"/>
      <c r="R557" s="4"/>
      <c r="S557" s="4"/>
      <c r="T557" s="4"/>
      <c r="U557" s="4"/>
      <c r="V557" s="4"/>
      <c r="W557" s="4"/>
    </row>
    <row r="558" spans="14:23" x14ac:dyDescent="0.4">
      <c r="N558" s="114"/>
      <c r="O558" s="115"/>
      <c r="P558" s="4"/>
      <c r="Q558" s="4"/>
      <c r="R558" s="4"/>
      <c r="S558" s="4"/>
      <c r="T558" s="4"/>
      <c r="U558" s="4"/>
      <c r="V558" s="4"/>
      <c r="W558" s="4"/>
    </row>
    <row r="559" spans="14:23" x14ac:dyDescent="0.4">
      <c r="N559" s="114"/>
      <c r="O559" s="115"/>
      <c r="P559" s="4"/>
      <c r="Q559" s="4"/>
      <c r="R559" s="4"/>
      <c r="S559" s="4"/>
      <c r="T559" s="4"/>
      <c r="U559" s="4"/>
      <c r="V559" s="4"/>
      <c r="W559" s="4"/>
    </row>
    <row r="560" spans="14:23" x14ac:dyDescent="0.4">
      <c r="N560" s="114"/>
      <c r="O560" s="115"/>
      <c r="P560" s="4"/>
      <c r="Q560" s="4"/>
      <c r="R560" s="4"/>
      <c r="S560" s="4"/>
      <c r="T560" s="4"/>
      <c r="U560" s="4"/>
      <c r="V560" s="4"/>
      <c r="W560" s="4"/>
    </row>
    <row r="561" spans="14:23" x14ac:dyDescent="0.4">
      <c r="N561" s="114"/>
      <c r="O561" s="115"/>
      <c r="P561" s="4"/>
      <c r="Q561" s="4"/>
      <c r="R561" s="4"/>
      <c r="S561" s="4"/>
      <c r="T561" s="4"/>
      <c r="U561" s="4"/>
      <c r="V561" s="4"/>
      <c r="W561" s="4"/>
    </row>
    <row r="562" spans="14:23" x14ac:dyDescent="0.4">
      <c r="N562" s="114"/>
      <c r="O562" s="115"/>
      <c r="P562" s="4"/>
      <c r="Q562" s="4"/>
      <c r="R562" s="4"/>
      <c r="S562" s="4"/>
      <c r="T562" s="4"/>
      <c r="U562" s="4"/>
      <c r="V562" s="4"/>
      <c r="W562" s="4"/>
    </row>
    <row r="563" spans="14:23" x14ac:dyDescent="0.4">
      <c r="N563" s="114"/>
      <c r="O563" s="115"/>
      <c r="P563" s="4"/>
      <c r="Q563" s="4"/>
      <c r="R563" s="4"/>
      <c r="S563" s="4"/>
      <c r="T563" s="4"/>
      <c r="U563" s="4"/>
      <c r="V563" s="4"/>
      <c r="W563" s="4"/>
    </row>
    <row r="564" spans="14:23" x14ac:dyDescent="0.4">
      <c r="N564" s="114"/>
      <c r="O564" s="115"/>
      <c r="P564" s="4"/>
      <c r="Q564" s="4"/>
      <c r="R564" s="4"/>
      <c r="S564" s="4"/>
      <c r="T564" s="4"/>
      <c r="U564" s="4"/>
      <c r="V564" s="4"/>
      <c r="W564" s="4"/>
    </row>
    <row r="565" spans="14:23" x14ac:dyDescent="0.4">
      <c r="N565" s="114"/>
      <c r="O565" s="115"/>
      <c r="P565" s="4"/>
      <c r="Q565" s="4"/>
      <c r="R565" s="4"/>
      <c r="S565" s="4"/>
      <c r="T565" s="4"/>
      <c r="U565" s="4"/>
      <c r="V565" s="4"/>
      <c r="W565" s="4"/>
    </row>
    <row r="566" spans="14:23" x14ac:dyDescent="0.4">
      <c r="N566" s="114"/>
      <c r="O566" s="115"/>
      <c r="P566" s="4"/>
      <c r="Q566" s="4"/>
      <c r="R566" s="4"/>
      <c r="S566" s="4"/>
      <c r="T566" s="4"/>
      <c r="U566" s="4"/>
      <c r="V566" s="4"/>
      <c r="W566" s="4"/>
    </row>
    <row r="567" spans="14:23" x14ac:dyDescent="0.4">
      <c r="N567" s="114"/>
      <c r="O567" s="115"/>
      <c r="P567" s="4"/>
      <c r="Q567" s="4"/>
      <c r="R567" s="4"/>
      <c r="S567" s="4"/>
      <c r="T567" s="4"/>
      <c r="U567" s="4"/>
      <c r="V567" s="4"/>
      <c r="W567" s="4"/>
    </row>
    <row r="568" spans="14:23" x14ac:dyDescent="0.4">
      <c r="N568" s="114"/>
      <c r="O568" s="115"/>
      <c r="P568" s="4"/>
      <c r="Q568" s="4"/>
      <c r="R568" s="4"/>
      <c r="S568" s="4"/>
      <c r="T568" s="4"/>
      <c r="U568" s="4"/>
      <c r="V568" s="4"/>
      <c r="W568" s="4"/>
    </row>
    <row r="569" spans="14:23" x14ac:dyDescent="0.4">
      <c r="N569" s="114"/>
      <c r="O569" s="115"/>
      <c r="P569" s="4"/>
      <c r="Q569" s="4"/>
      <c r="R569" s="4"/>
      <c r="S569" s="4"/>
      <c r="T569" s="4"/>
      <c r="U569" s="4"/>
      <c r="V569" s="4"/>
      <c r="W569" s="4"/>
    </row>
    <row r="570" spans="14:23" x14ac:dyDescent="0.4">
      <c r="N570" s="114"/>
      <c r="O570" s="115"/>
      <c r="P570" s="4"/>
      <c r="Q570" s="4"/>
      <c r="R570" s="4"/>
      <c r="S570" s="4"/>
      <c r="T570" s="4"/>
      <c r="U570" s="4"/>
      <c r="V570" s="4"/>
      <c r="W570" s="4"/>
    </row>
    <row r="571" spans="14:23" x14ac:dyDescent="0.4">
      <c r="N571" s="114"/>
      <c r="O571" s="115"/>
      <c r="P571" s="4"/>
      <c r="Q571" s="4"/>
      <c r="R571" s="4"/>
      <c r="S571" s="4"/>
      <c r="T571" s="4"/>
      <c r="U571" s="4"/>
      <c r="V571" s="4"/>
      <c r="W571" s="4"/>
    </row>
    <row r="572" spans="14:23" x14ac:dyDescent="0.4">
      <c r="N572" s="114"/>
      <c r="O572" s="115"/>
      <c r="P572" s="4"/>
      <c r="Q572" s="4"/>
      <c r="R572" s="4"/>
      <c r="S572" s="4"/>
      <c r="T572" s="4"/>
      <c r="U572" s="4"/>
      <c r="V572" s="4"/>
      <c r="W572" s="4"/>
    </row>
    <row r="573" spans="14:23" x14ac:dyDescent="0.4">
      <c r="N573" s="114"/>
      <c r="O573" s="115"/>
      <c r="P573" s="4"/>
      <c r="Q573" s="4"/>
      <c r="R573" s="4"/>
      <c r="S573" s="4"/>
      <c r="T573" s="4"/>
      <c r="U573" s="4"/>
      <c r="V573" s="4"/>
      <c r="W573" s="4"/>
    </row>
    <row r="574" spans="14:23" x14ac:dyDescent="0.4">
      <c r="N574" s="114"/>
      <c r="O574" s="115"/>
      <c r="P574" s="4"/>
      <c r="Q574" s="4"/>
      <c r="R574" s="4"/>
      <c r="S574" s="4"/>
      <c r="T574" s="4"/>
      <c r="U574" s="4"/>
      <c r="V574" s="4"/>
      <c r="W574" s="4"/>
    </row>
    <row r="575" spans="14:23" x14ac:dyDescent="0.4">
      <c r="N575" s="114"/>
      <c r="O575" s="115"/>
      <c r="P575" s="4"/>
      <c r="Q575" s="4"/>
      <c r="R575" s="4"/>
      <c r="S575" s="4"/>
      <c r="T575" s="4"/>
      <c r="U575" s="4"/>
      <c r="V575" s="4"/>
      <c r="W575" s="4"/>
    </row>
    <row r="576" spans="14:23" x14ac:dyDescent="0.4">
      <c r="N576" s="114"/>
      <c r="O576" s="115"/>
      <c r="P576" s="4"/>
      <c r="Q576" s="4"/>
      <c r="R576" s="4"/>
      <c r="S576" s="4"/>
      <c r="T576" s="4"/>
      <c r="U576" s="4"/>
      <c r="V576" s="4"/>
      <c r="W576" s="4"/>
    </row>
    <row r="577" spans="14:23" x14ac:dyDescent="0.4">
      <c r="N577" s="114"/>
      <c r="O577" s="115"/>
      <c r="P577" s="4"/>
      <c r="Q577" s="4"/>
      <c r="R577" s="4"/>
      <c r="S577" s="4"/>
      <c r="T577" s="4"/>
      <c r="U577" s="4"/>
      <c r="V577" s="4"/>
      <c r="W577" s="4"/>
    </row>
    <row r="578" spans="14:23" x14ac:dyDescent="0.4">
      <c r="N578" s="114"/>
      <c r="O578" s="115"/>
      <c r="P578" s="4"/>
      <c r="Q578" s="4"/>
      <c r="R578" s="4"/>
      <c r="S578" s="4"/>
      <c r="T578" s="4"/>
      <c r="U578" s="4"/>
      <c r="V578" s="4"/>
      <c r="W578" s="4"/>
    </row>
    <row r="579" spans="14:23" x14ac:dyDescent="0.4">
      <c r="N579" s="114"/>
      <c r="O579" s="115"/>
      <c r="P579" s="4"/>
      <c r="Q579" s="4"/>
      <c r="R579" s="4"/>
      <c r="S579" s="4"/>
      <c r="T579" s="4"/>
      <c r="U579" s="4"/>
      <c r="V579" s="4"/>
      <c r="W579" s="4"/>
    </row>
    <row r="580" spans="14:23" x14ac:dyDescent="0.4">
      <c r="N580" s="114"/>
      <c r="O580" s="115"/>
      <c r="P580" s="4"/>
      <c r="Q580" s="4"/>
      <c r="R580" s="4"/>
      <c r="S580" s="4"/>
      <c r="T580" s="4"/>
      <c r="U580" s="4"/>
      <c r="V580" s="4"/>
      <c r="W580" s="4"/>
    </row>
    <row r="581" spans="14:23" x14ac:dyDescent="0.4">
      <c r="N581" s="114"/>
      <c r="O581" s="115"/>
      <c r="P581" s="4"/>
      <c r="Q581" s="4"/>
      <c r="R581" s="4"/>
      <c r="S581" s="4"/>
      <c r="T581" s="4"/>
      <c r="U581" s="4"/>
      <c r="V581" s="4"/>
      <c r="W581" s="4"/>
    </row>
    <row r="582" spans="14:23" x14ac:dyDescent="0.4">
      <c r="N582" s="114"/>
      <c r="O582" s="115"/>
      <c r="P582" s="4"/>
      <c r="Q582" s="4"/>
      <c r="R582" s="4"/>
      <c r="S582" s="4"/>
      <c r="T582" s="4"/>
      <c r="U582" s="4"/>
      <c r="V582" s="4"/>
      <c r="W582" s="4"/>
    </row>
    <row r="583" spans="14:23" x14ac:dyDescent="0.4">
      <c r="N583" s="114"/>
      <c r="O583" s="115"/>
      <c r="P583" s="4"/>
      <c r="Q583" s="4"/>
      <c r="R583" s="4"/>
      <c r="S583" s="4"/>
      <c r="T583" s="4"/>
      <c r="U583" s="4"/>
      <c r="V583" s="4"/>
      <c r="W583" s="4"/>
    </row>
    <row r="584" spans="14:23" x14ac:dyDescent="0.4">
      <c r="N584" s="114"/>
      <c r="O584" s="115"/>
      <c r="P584" s="4"/>
      <c r="Q584" s="4"/>
      <c r="R584" s="4"/>
      <c r="S584" s="4"/>
      <c r="T584" s="4"/>
      <c r="U584" s="4"/>
      <c r="V584" s="4"/>
      <c r="W584" s="4"/>
    </row>
    <row r="585" spans="14:23" x14ac:dyDescent="0.4">
      <c r="N585" s="114"/>
      <c r="O585" s="115"/>
      <c r="P585" s="4"/>
      <c r="Q585" s="4"/>
      <c r="R585" s="4"/>
      <c r="S585" s="4"/>
      <c r="T585" s="4"/>
      <c r="U585" s="4"/>
      <c r="V585" s="4"/>
      <c r="W585" s="4"/>
    </row>
    <row r="586" spans="14:23" x14ac:dyDescent="0.4">
      <c r="N586" s="114"/>
      <c r="O586" s="115"/>
      <c r="P586" s="4"/>
      <c r="Q586" s="4"/>
      <c r="R586" s="4"/>
      <c r="S586" s="4"/>
      <c r="T586" s="4"/>
      <c r="U586" s="4"/>
      <c r="V586" s="4"/>
      <c r="W586" s="4"/>
    </row>
    <row r="587" spans="14:23" x14ac:dyDescent="0.4">
      <c r="N587" s="114"/>
      <c r="O587" s="115"/>
      <c r="P587" s="4"/>
      <c r="Q587" s="4"/>
      <c r="R587" s="4"/>
      <c r="S587" s="4"/>
      <c r="T587" s="4"/>
      <c r="U587" s="4"/>
      <c r="V587" s="4"/>
      <c r="W587" s="4"/>
    </row>
    <row r="588" spans="14:23" x14ac:dyDescent="0.4">
      <c r="N588" s="114"/>
      <c r="O588" s="115"/>
      <c r="P588" s="4"/>
      <c r="Q588" s="4"/>
      <c r="R588" s="4"/>
      <c r="S588" s="4"/>
      <c r="T588" s="4"/>
      <c r="U588" s="4"/>
      <c r="V588" s="4"/>
      <c r="W588" s="4"/>
    </row>
    <row r="589" spans="14:23" x14ac:dyDescent="0.4">
      <c r="N589" s="114"/>
      <c r="O589" s="115"/>
      <c r="P589" s="4"/>
      <c r="Q589" s="4"/>
      <c r="R589" s="4"/>
      <c r="S589" s="4"/>
      <c r="T589" s="4"/>
      <c r="U589" s="4"/>
      <c r="V589" s="4"/>
      <c r="W589" s="4"/>
    </row>
    <row r="590" spans="14:23" x14ac:dyDescent="0.4">
      <c r="N590" s="114"/>
      <c r="O590" s="115"/>
      <c r="P590" s="4"/>
      <c r="Q590" s="4"/>
      <c r="R590" s="4"/>
      <c r="S590" s="4"/>
      <c r="T590" s="4"/>
      <c r="U590" s="4"/>
      <c r="V590" s="4"/>
      <c r="W590" s="4"/>
    </row>
    <row r="591" spans="14:23" x14ac:dyDescent="0.4">
      <c r="N591" s="114"/>
      <c r="O591" s="115"/>
      <c r="P591" s="4"/>
      <c r="Q591" s="4"/>
      <c r="R591" s="4"/>
      <c r="S591" s="4"/>
      <c r="T591" s="4"/>
      <c r="U591" s="4"/>
      <c r="V591" s="4"/>
      <c r="W591" s="4"/>
    </row>
    <row r="592" spans="14:23" x14ac:dyDescent="0.4">
      <c r="N592" s="114"/>
      <c r="O592" s="115"/>
      <c r="P592" s="4"/>
      <c r="Q592" s="4"/>
      <c r="R592" s="4"/>
      <c r="S592" s="4"/>
      <c r="T592" s="4"/>
      <c r="U592" s="4"/>
      <c r="V592" s="4"/>
      <c r="W592" s="4"/>
    </row>
    <row r="593" spans="14:23" x14ac:dyDescent="0.4">
      <c r="N593" s="114"/>
      <c r="O593" s="115"/>
      <c r="P593" s="4"/>
      <c r="Q593" s="4"/>
      <c r="R593" s="4"/>
      <c r="S593" s="4"/>
      <c r="T593" s="4"/>
      <c r="U593" s="4"/>
      <c r="V593" s="4"/>
      <c r="W593" s="4"/>
    </row>
    <row r="594" spans="14:23" x14ac:dyDescent="0.4">
      <c r="N594" s="114"/>
      <c r="O594" s="115"/>
      <c r="P594" s="4"/>
      <c r="Q594" s="4"/>
      <c r="R594" s="4"/>
      <c r="S594" s="4"/>
      <c r="T594" s="4"/>
      <c r="U594" s="4"/>
      <c r="V594" s="4"/>
      <c r="W594" s="4"/>
    </row>
    <row r="595" spans="14:23" x14ac:dyDescent="0.4">
      <c r="N595" s="114"/>
      <c r="O595" s="115"/>
      <c r="P595" s="4"/>
      <c r="Q595" s="4"/>
      <c r="R595" s="4"/>
      <c r="S595" s="4"/>
      <c r="T595" s="4"/>
      <c r="U595" s="4"/>
      <c r="V595" s="4"/>
      <c r="W595" s="4"/>
    </row>
    <row r="596" spans="14:23" x14ac:dyDescent="0.4">
      <c r="N596" s="114"/>
      <c r="O596" s="115"/>
      <c r="P596" s="4"/>
      <c r="Q596" s="4"/>
      <c r="R596" s="4"/>
      <c r="S596" s="4"/>
      <c r="T596" s="4"/>
      <c r="U596" s="4"/>
      <c r="V596" s="4"/>
      <c r="W596" s="4"/>
    </row>
    <row r="597" spans="14:23" x14ac:dyDescent="0.4">
      <c r="N597" s="114"/>
      <c r="O597" s="115"/>
      <c r="P597" s="4"/>
      <c r="Q597" s="4"/>
      <c r="R597" s="4"/>
      <c r="S597" s="4"/>
      <c r="T597" s="4"/>
      <c r="U597" s="4"/>
      <c r="V597" s="4"/>
      <c r="W597" s="4"/>
    </row>
    <row r="598" spans="14:23" x14ac:dyDescent="0.4">
      <c r="N598" s="114"/>
      <c r="O598" s="115"/>
      <c r="P598" s="4"/>
      <c r="Q598" s="4"/>
      <c r="R598" s="4"/>
      <c r="S598" s="4"/>
      <c r="T598" s="4"/>
      <c r="U598" s="4"/>
      <c r="V598" s="4"/>
      <c r="W598" s="4"/>
    </row>
    <row r="599" spans="14:23" x14ac:dyDescent="0.4">
      <c r="N599" s="114"/>
      <c r="O599" s="115"/>
      <c r="P599" s="4"/>
      <c r="Q599" s="4"/>
      <c r="R599" s="4"/>
      <c r="S599" s="4"/>
      <c r="T599" s="4"/>
      <c r="U599" s="4"/>
      <c r="V599" s="4"/>
      <c r="W599" s="4"/>
    </row>
    <row r="600" spans="14:23" x14ac:dyDescent="0.4">
      <c r="N600" s="114"/>
      <c r="O600" s="115"/>
      <c r="P600" s="4"/>
      <c r="Q600" s="4"/>
      <c r="R600" s="4"/>
      <c r="S600" s="4"/>
      <c r="T600" s="4"/>
      <c r="U600" s="4"/>
      <c r="V600" s="4"/>
      <c r="W600" s="4"/>
    </row>
    <row r="601" spans="14:23" x14ac:dyDescent="0.4">
      <c r="N601" s="114"/>
      <c r="O601" s="115"/>
      <c r="P601" s="4"/>
      <c r="Q601" s="4"/>
      <c r="R601" s="4"/>
      <c r="S601" s="4"/>
      <c r="T601" s="4"/>
      <c r="U601" s="4"/>
      <c r="V601" s="4"/>
      <c r="W601" s="4"/>
    </row>
    <row r="602" spans="14:23" x14ac:dyDescent="0.4">
      <c r="N602" s="114"/>
      <c r="O602" s="115"/>
      <c r="P602" s="4"/>
      <c r="Q602" s="4"/>
      <c r="R602" s="4"/>
      <c r="S602" s="4"/>
      <c r="T602" s="4"/>
      <c r="U602" s="4"/>
      <c r="V602" s="4"/>
      <c r="W602" s="4"/>
    </row>
    <row r="603" spans="14:23" x14ac:dyDescent="0.4">
      <c r="N603" s="114"/>
      <c r="O603" s="115"/>
      <c r="P603" s="4"/>
      <c r="Q603" s="4"/>
      <c r="R603" s="4"/>
      <c r="S603" s="4"/>
      <c r="T603" s="4"/>
      <c r="U603" s="4"/>
      <c r="V603" s="4"/>
      <c r="W603" s="4"/>
    </row>
    <row r="604" spans="14:23" x14ac:dyDescent="0.4">
      <c r="N604" s="114"/>
      <c r="O604" s="115"/>
      <c r="P604" s="4"/>
      <c r="Q604" s="4"/>
      <c r="R604" s="4"/>
      <c r="S604" s="4"/>
      <c r="T604" s="4"/>
      <c r="U604" s="4"/>
      <c r="V604" s="4"/>
      <c r="W604" s="4"/>
    </row>
    <row r="605" spans="14:23" x14ac:dyDescent="0.4">
      <c r="N605" s="114"/>
      <c r="O605" s="115"/>
      <c r="P605" s="4"/>
      <c r="Q605" s="4"/>
      <c r="R605" s="4"/>
      <c r="S605" s="4"/>
      <c r="T605" s="4"/>
      <c r="U605" s="4"/>
      <c r="V605" s="4"/>
      <c r="W605" s="4"/>
    </row>
    <row r="606" spans="14:23" x14ac:dyDescent="0.4">
      <c r="N606" s="114"/>
      <c r="O606" s="115"/>
      <c r="P606" s="4"/>
      <c r="Q606" s="4"/>
      <c r="R606" s="4"/>
      <c r="S606" s="4"/>
      <c r="T606" s="4"/>
      <c r="U606" s="4"/>
      <c r="V606" s="4"/>
      <c r="W606" s="4"/>
    </row>
    <row r="607" spans="14:23" x14ac:dyDescent="0.4">
      <c r="N607" s="114"/>
      <c r="O607" s="115"/>
      <c r="P607" s="4"/>
      <c r="Q607" s="4"/>
      <c r="R607" s="4"/>
      <c r="S607" s="4"/>
      <c r="T607" s="4"/>
      <c r="U607" s="4"/>
      <c r="V607" s="4"/>
      <c r="W607" s="4"/>
    </row>
    <row r="608" spans="14:23" x14ac:dyDescent="0.4">
      <c r="N608" s="114"/>
      <c r="O608" s="115"/>
      <c r="P608" s="4"/>
      <c r="Q608" s="4"/>
      <c r="R608" s="4"/>
      <c r="S608" s="4"/>
      <c r="T608" s="4"/>
      <c r="U608" s="4"/>
      <c r="V608" s="4"/>
      <c r="W608" s="4"/>
    </row>
    <row r="609" spans="14:23" x14ac:dyDescent="0.4">
      <c r="N609" s="114"/>
      <c r="O609" s="115"/>
      <c r="P609" s="4"/>
      <c r="Q609" s="4"/>
      <c r="R609" s="4"/>
      <c r="S609" s="4"/>
      <c r="T609" s="4"/>
      <c r="U609" s="4"/>
      <c r="V609" s="4"/>
      <c r="W609" s="4"/>
    </row>
    <row r="610" spans="14:23" x14ac:dyDescent="0.4">
      <c r="N610" s="114"/>
      <c r="O610" s="115"/>
      <c r="P610" s="4"/>
      <c r="Q610" s="4"/>
      <c r="R610" s="4"/>
      <c r="S610" s="4"/>
      <c r="T610" s="4"/>
      <c r="U610" s="4"/>
      <c r="V610" s="4"/>
      <c r="W610" s="4"/>
    </row>
    <row r="611" spans="14:23" x14ac:dyDescent="0.4">
      <c r="N611" s="114"/>
      <c r="O611" s="115"/>
      <c r="P611" s="4"/>
      <c r="Q611" s="4"/>
      <c r="R611" s="4"/>
      <c r="S611" s="4"/>
      <c r="T611" s="4"/>
      <c r="U611" s="4"/>
      <c r="V611" s="4"/>
      <c r="W611" s="4"/>
    </row>
    <row r="612" spans="14:23" x14ac:dyDescent="0.4">
      <c r="N612" s="114"/>
      <c r="O612" s="115"/>
      <c r="P612" s="4"/>
      <c r="Q612" s="4"/>
      <c r="R612" s="4"/>
      <c r="S612" s="4"/>
      <c r="T612" s="4"/>
      <c r="U612" s="4"/>
      <c r="V612" s="4"/>
      <c r="W612" s="4"/>
    </row>
    <row r="613" spans="14:23" x14ac:dyDescent="0.4">
      <c r="N613" s="114"/>
      <c r="O613" s="115"/>
      <c r="P613" s="4"/>
      <c r="Q613" s="4"/>
      <c r="R613" s="4"/>
      <c r="S613" s="4"/>
      <c r="T613" s="4"/>
      <c r="U613" s="4"/>
      <c r="V613" s="4"/>
      <c r="W613" s="4"/>
    </row>
    <row r="614" spans="14:23" x14ac:dyDescent="0.4">
      <c r="N614" s="114"/>
      <c r="O614" s="115"/>
      <c r="P614" s="4"/>
      <c r="Q614" s="4"/>
      <c r="R614" s="4"/>
      <c r="S614" s="4"/>
      <c r="T614" s="4"/>
      <c r="U614" s="4"/>
      <c r="V614" s="4"/>
      <c r="W614" s="4"/>
    </row>
    <row r="615" spans="14:23" x14ac:dyDescent="0.4">
      <c r="N615" s="114"/>
      <c r="O615" s="115"/>
      <c r="P615" s="4"/>
      <c r="Q615" s="4"/>
      <c r="R615" s="4"/>
      <c r="S615" s="4"/>
      <c r="T615" s="4"/>
      <c r="U615" s="4"/>
      <c r="V615" s="4"/>
      <c r="W615" s="4"/>
    </row>
    <row r="616" spans="14:23" x14ac:dyDescent="0.4">
      <c r="N616" s="114"/>
      <c r="O616" s="115"/>
      <c r="P616" s="4"/>
      <c r="Q616" s="4"/>
      <c r="R616" s="4"/>
      <c r="S616" s="4"/>
      <c r="T616" s="4"/>
      <c r="U616" s="4"/>
      <c r="V616" s="4"/>
      <c r="W616" s="4"/>
    </row>
    <row r="617" spans="14:23" x14ac:dyDescent="0.4">
      <c r="N617" s="114"/>
      <c r="O617" s="115"/>
      <c r="P617" s="4"/>
      <c r="Q617" s="4"/>
      <c r="R617" s="4"/>
      <c r="S617" s="4"/>
      <c r="T617" s="4"/>
      <c r="U617" s="4"/>
      <c r="V617" s="4"/>
      <c r="W617" s="4"/>
    </row>
    <row r="618" spans="14:23" x14ac:dyDescent="0.4">
      <c r="N618" s="114"/>
      <c r="O618" s="115"/>
      <c r="P618" s="4"/>
      <c r="Q618" s="4"/>
      <c r="R618" s="4"/>
      <c r="S618" s="4"/>
      <c r="T618" s="4"/>
      <c r="U618" s="4"/>
      <c r="V618" s="4"/>
      <c r="W618" s="4"/>
    </row>
    <row r="619" spans="14:23" x14ac:dyDescent="0.4">
      <c r="N619" s="114"/>
      <c r="O619" s="115"/>
      <c r="P619" s="4"/>
      <c r="Q619" s="4"/>
      <c r="R619" s="4"/>
      <c r="S619" s="4"/>
      <c r="T619" s="4"/>
      <c r="U619" s="4"/>
      <c r="V619" s="4"/>
      <c r="W619" s="4"/>
    </row>
    <row r="620" spans="14:23" x14ac:dyDescent="0.4">
      <c r="N620" s="114"/>
      <c r="O620" s="115"/>
      <c r="P620" s="4"/>
      <c r="Q620" s="4"/>
      <c r="R620" s="4"/>
      <c r="S620" s="4"/>
      <c r="T620" s="4"/>
      <c r="U620" s="4"/>
      <c r="V620" s="4"/>
      <c r="W620" s="4"/>
    </row>
    <row r="621" spans="14:23" x14ac:dyDescent="0.4">
      <c r="N621" s="114"/>
      <c r="O621" s="115"/>
      <c r="P621" s="4"/>
      <c r="Q621" s="4"/>
      <c r="R621" s="4"/>
      <c r="S621" s="4"/>
      <c r="T621" s="4"/>
      <c r="U621" s="4"/>
      <c r="V621" s="4"/>
      <c r="W621" s="4"/>
    </row>
    <row r="622" spans="14:23" x14ac:dyDescent="0.4">
      <c r="N622" s="114"/>
      <c r="O622" s="115"/>
      <c r="P622" s="4"/>
      <c r="Q622" s="4"/>
      <c r="R622" s="4"/>
      <c r="S622" s="4"/>
      <c r="T622" s="4"/>
      <c r="U622" s="4"/>
      <c r="V622" s="4"/>
      <c r="W622" s="4"/>
    </row>
    <row r="623" spans="14:23" x14ac:dyDescent="0.4">
      <c r="N623" s="114"/>
      <c r="O623" s="115"/>
      <c r="P623" s="4"/>
      <c r="Q623" s="4"/>
      <c r="R623" s="4"/>
      <c r="S623" s="4"/>
      <c r="T623" s="4"/>
      <c r="U623" s="4"/>
      <c r="V623" s="4"/>
      <c r="W623" s="4"/>
    </row>
    <row r="624" spans="14:23" x14ac:dyDescent="0.4">
      <c r="N624" s="114"/>
      <c r="O624" s="115"/>
      <c r="P624" s="4"/>
      <c r="Q624" s="4"/>
      <c r="R624" s="4"/>
      <c r="S624" s="4"/>
      <c r="T624" s="4"/>
      <c r="U624" s="4"/>
      <c r="V624" s="4"/>
      <c r="W624" s="4"/>
    </row>
    <row r="625" spans="14:23" x14ac:dyDescent="0.4">
      <c r="N625" s="114"/>
      <c r="O625" s="115"/>
      <c r="P625" s="4"/>
      <c r="Q625" s="4"/>
      <c r="R625" s="4"/>
      <c r="S625" s="4"/>
      <c r="T625" s="4"/>
      <c r="U625" s="4"/>
      <c r="V625" s="4"/>
      <c r="W625" s="4"/>
    </row>
    <row r="626" spans="14:23" x14ac:dyDescent="0.4">
      <c r="N626" s="114"/>
      <c r="O626" s="115"/>
      <c r="P626" s="4"/>
      <c r="Q626" s="4"/>
      <c r="R626" s="4"/>
      <c r="S626" s="4"/>
      <c r="T626" s="4"/>
      <c r="U626" s="4"/>
      <c r="V626" s="4"/>
      <c r="W626" s="4"/>
    </row>
    <row r="627" spans="14:23" x14ac:dyDescent="0.4">
      <c r="N627" s="114"/>
      <c r="O627" s="115"/>
      <c r="P627" s="4"/>
      <c r="Q627" s="4"/>
      <c r="R627" s="4"/>
      <c r="S627" s="4"/>
      <c r="T627" s="4"/>
      <c r="U627" s="4"/>
      <c r="V627" s="4"/>
      <c r="W627" s="4"/>
    </row>
    <row r="628" spans="14:23" x14ac:dyDescent="0.4">
      <c r="N628" s="114"/>
      <c r="O628" s="115"/>
      <c r="P628" s="4"/>
      <c r="Q628" s="4"/>
      <c r="R628" s="4"/>
      <c r="S628" s="4"/>
      <c r="T628" s="4"/>
      <c r="U628" s="4"/>
      <c r="V628" s="4"/>
      <c r="W628" s="4"/>
    </row>
    <row r="629" spans="14:23" x14ac:dyDescent="0.4">
      <c r="N629" s="114"/>
      <c r="O629" s="115"/>
      <c r="P629" s="4"/>
      <c r="Q629" s="4"/>
      <c r="R629" s="4"/>
      <c r="S629" s="4"/>
      <c r="T629" s="4"/>
      <c r="U629" s="4"/>
      <c r="V629" s="4"/>
      <c r="W629" s="4"/>
    </row>
    <row r="630" spans="14:23" x14ac:dyDescent="0.4">
      <c r="N630" s="114"/>
      <c r="O630" s="115"/>
      <c r="P630" s="4"/>
      <c r="Q630" s="4"/>
      <c r="R630" s="4"/>
      <c r="S630" s="4"/>
      <c r="T630" s="4"/>
      <c r="U630" s="4"/>
      <c r="V630" s="4"/>
      <c r="W630" s="4"/>
    </row>
    <row r="631" spans="14:23" x14ac:dyDescent="0.4">
      <c r="N631" s="114"/>
      <c r="O631" s="115"/>
      <c r="P631" s="4"/>
      <c r="Q631" s="4"/>
      <c r="R631" s="4"/>
      <c r="S631" s="4"/>
      <c r="T631" s="4"/>
      <c r="U631" s="4"/>
      <c r="V631" s="4"/>
      <c r="W631" s="4"/>
    </row>
    <row r="632" spans="14:23" x14ac:dyDescent="0.4">
      <c r="N632" s="114"/>
      <c r="O632" s="115"/>
      <c r="P632" s="4"/>
      <c r="Q632" s="4"/>
      <c r="R632" s="4"/>
      <c r="S632" s="4"/>
      <c r="T632" s="4"/>
      <c r="U632" s="4"/>
      <c r="V632" s="4"/>
      <c r="W632" s="4"/>
    </row>
    <row r="633" spans="14:23" x14ac:dyDescent="0.4">
      <c r="N633" s="114"/>
      <c r="O633" s="115"/>
      <c r="P633" s="4"/>
      <c r="Q633" s="4"/>
      <c r="R633" s="4"/>
      <c r="S633" s="4"/>
      <c r="T633" s="4"/>
      <c r="U633" s="4"/>
      <c r="V633" s="4"/>
      <c r="W633" s="4"/>
    </row>
    <row r="634" spans="14:23" x14ac:dyDescent="0.4">
      <c r="N634" s="114"/>
      <c r="O634" s="115"/>
      <c r="P634" s="4"/>
      <c r="Q634" s="4"/>
      <c r="R634" s="4"/>
      <c r="S634" s="4"/>
      <c r="T634" s="4"/>
      <c r="U634" s="4"/>
      <c r="V634" s="4"/>
      <c r="W634" s="4"/>
    </row>
    <row r="635" spans="14:23" x14ac:dyDescent="0.4">
      <c r="N635" s="114"/>
      <c r="O635" s="115"/>
      <c r="P635" s="4"/>
      <c r="Q635" s="4"/>
      <c r="R635" s="4"/>
      <c r="S635" s="4"/>
      <c r="T635" s="4"/>
      <c r="U635" s="4"/>
      <c r="V635" s="4"/>
      <c r="W635" s="4"/>
    </row>
    <row r="636" spans="14:23" x14ac:dyDescent="0.4">
      <c r="N636" s="114"/>
      <c r="O636" s="115"/>
      <c r="P636" s="4"/>
      <c r="Q636" s="4"/>
      <c r="R636" s="4"/>
      <c r="S636" s="4"/>
      <c r="T636" s="4"/>
      <c r="U636" s="4"/>
      <c r="V636" s="4"/>
      <c r="W636" s="4"/>
    </row>
    <row r="637" spans="14:23" x14ac:dyDescent="0.4">
      <c r="N637" s="114"/>
      <c r="O637" s="115"/>
      <c r="P637" s="4"/>
      <c r="Q637" s="4"/>
      <c r="R637" s="4"/>
      <c r="S637" s="4"/>
      <c r="T637" s="4"/>
      <c r="U637" s="4"/>
      <c r="V637" s="4"/>
      <c r="W637" s="4"/>
    </row>
    <row r="638" spans="14:23" x14ac:dyDescent="0.4">
      <c r="N638" s="114"/>
      <c r="O638" s="115"/>
      <c r="P638" s="4"/>
      <c r="Q638" s="4"/>
      <c r="R638" s="4"/>
      <c r="S638" s="4"/>
      <c r="T638" s="4"/>
      <c r="U638" s="4"/>
      <c r="V638" s="4"/>
      <c r="W638" s="4"/>
    </row>
    <row r="639" spans="14:23" x14ac:dyDescent="0.4">
      <c r="N639" s="114"/>
      <c r="O639" s="115"/>
      <c r="P639" s="4"/>
      <c r="Q639" s="4"/>
      <c r="R639" s="4"/>
      <c r="S639" s="4"/>
      <c r="T639" s="4"/>
      <c r="U639" s="4"/>
      <c r="V639" s="4"/>
      <c r="W639" s="4"/>
    </row>
    <row r="640" spans="14:23" x14ac:dyDescent="0.4">
      <c r="N640" s="114"/>
      <c r="O640" s="115"/>
      <c r="P640" s="4"/>
      <c r="Q640" s="4"/>
      <c r="R640" s="4"/>
      <c r="S640" s="4"/>
      <c r="T640" s="4"/>
      <c r="U640" s="4"/>
      <c r="V640" s="4"/>
      <c r="W640" s="4"/>
    </row>
    <row r="641" spans="14:23" x14ac:dyDescent="0.4">
      <c r="N641" s="114"/>
      <c r="O641" s="115"/>
      <c r="P641" s="4"/>
      <c r="Q641" s="4"/>
      <c r="R641" s="4"/>
      <c r="S641" s="4"/>
      <c r="T641" s="4"/>
      <c r="U641" s="4"/>
      <c r="V641" s="4"/>
      <c r="W641" s="4"/>
    </row>
    <row r="642" spans="14:23" x14ac:dyDescent="0.4">
      <c r="N642" s="114"/>
      <c r="O642" s="115"/>
      <c r="P642" s="4"/>
      <c r="Q642" s="4"/>
      <c r="R642" s="4"/>
      <c r="S642" s="4"/>
      <c r="T642" s="4"/>
      <c r="U642" s="4"/>
      <c r="V642" s="4"/>
      <c r="W642" s="4"/>
    </row>
    <row r="643" spans="14:23" x14ac:dyDescent="0.4">
      <c r="N643" s="114"/>
      <c r="O643" s="115"/>
      <c r="P643" s="4"/>
      <c r="Q643" s="4"/>
      <c r="R643" s="4"/>
      <c r="S643" s="4"/>
      <c r="T643" s="4"/>
      <c r="U643" s="4"/>
      <c r="V643" s="4"/>
      <c r="W643" s="4"/>
    </row>
    <row r="644" spans="14:23" x14ac:dyDescent="0.4">
      <c r="N644" s="114"/>
      <c r="O644" s="115"/>
      <c r="P644" s="4"/>
      <c r="Q644" s="4"/>
      <c r="R644" s="4"/>
      <c r="S644" s="4"/>
      <c r="T644" s="4"/>
      <c r="U644" s="4"/>
      <c r="V644" s="4"/>
      <c r="W644" s="4"/>
    </row>
    <row r="645" spans="14:23" x14ac:dyDescent="0.4">
      <c r="N645" s="114"/>
      <c r="O645" s="115"/>
      <c r="P645" s="4"/>
      <c r="Q645" s="4"/>
      <c r="R645" s="4"/>
      <c r="S645" s="4"/>
      <c r="T645" s="4"/>
      <c r="U645" s="4"/>
      <c r="V645" s="4"/>
      <c r="W645" s="4"/>
    </row>
    <row r="646" spans="14:23" x14ac:dyDescent="0.4">
      <c r="N646" s="114"/>
      <c r="O646" s="115"/>
      <c r="P646" s="4"/>
      <c r="Q646" s="4"/>
      <c r="R646" s="4"/>
      <c r="S646" s="4"/>
      <c r="T646" s="4"/>
      <c r="U646" s="4"/>
      <c r="V646" s="4"/>
      <c r="W646" s="4"/>
    </row>
    <row r="647" spans="14:23" x14ac:dyDescent="0.4">
      <c r="N647" s="114"/>
      <c r="O647" s="115"/>
      <c r="P647" s="4"/>
      <c r="Q647" s="4"/>
      <c r="R647" s="4"/>
      <c r="S647" s="4"/>
      <c r="T647" s="4"/>
      <c r="U647" s="4"/>
      <c r="V647" s="4"/>
      <c r="W647" s="4"/>
    </row>
    <row r="648" spans="14:23" x14ac:dyDescent="0.4">
      <c r="N648" s="114"/>
      <c r="O648" s="115"/>
      <c r="P648" s="4"/>
      <c r="Q648" s="4"/>
      <c r="R648" s="4"/>
      <c r="S648" s="4"/>
      <c r="T648" s="4"/>
      <c r="U648" s="4"/>
      <c r="V648" s="4"/>
      <c r="W648" s="4"/>
    </row>
    <row r="649" spans="14:23" x14ac:dyDescent="0.4">
      <c r="N649" s="114"/>
      <c r="O649" s="115"/>
      <c r="P649" s="4"/>
      <c r="Q649" s="4"/>
      <c r="R649" s="4"/>
      <c r="S649" s="4"/>
      <c r="T649" s="4"/>
      <c r="U649" s="4"/>
      <c r="V649" s="4"/>
      <c r="W649" s="4"/>
    </row>
    <row r="650" spans="14:23" x14ac:dyDescent="0.4">
      <c r="N650" s="114"/>
      <c r="O650" s="115"/>
      <c r="P650" s="4"/>
      <c r="Q650" s="4"/>
      <c r="R650" s="4"/>
      <c r="S650" s="4"/>
      <c r="T650" s="4"/>
      <c r="U650" s="4"/>
      <c r="V650" s="4"/>
      <c r="W650" s="4"/>
    </row>
    <row r="651" spans="14:23" x14ac:dyDescent="0.4">
      <c r="N651" s="114"/>
      <c r="O651" s="115"/>
      <c r="P651" s="4"/>
      <c r="Q651" s="4"/>
      <c r="R651" s="4"/>
      <c r="S651" s="4"/>
      <c r="T651" s="4"/>
      <c r="U651" s="4"/>
      <c r="V651" s="4"/>
      <c r="W651" s="4"/>
    </row>
    <row r="652" spans="14:23" x14ac:dyDescent="0.4">
      <c r="N652" s="114"/>
      <c r="O652" s="115"/>
      <c r="P652" s="4"/>
      <c r="Q652" s="4"/>
      <c r="R652" s="4"/>
      <c r="S652" s="4"/>
      <c r="T652" s="4"/>
      <c r="U652" s="4"/>
      <c r="V652" s="4"/>
      <c r="W652" s="4"/>
    </row>
    <row r="653" spans="14:23" x14ac:dyDescent="0.4">
      <c r="N653" s="114"/>
      <c r="O653" s="115"/>
      <c r="P653" s="4"/>
      <c r="Q653" s="4"/>
      <c r="R653" s="4"/>
      <c r="S653" s="4"/>
      <c r="T653" s="4"/>
      <c r="U653" s="4"/>
      <c r="V653" s="4"/>
      <c r="W653" s="4"/>
    </row>
    <row r="654" spans="14:23" x14ac:dyDescent="0.4">
      <c r="N654" s="114"/>
      <c r="O654" s="115"/>
      <c r="P654" s="4"/>
      <c r="Q654" s="4"/>
      <c r="R654" s="4"/>
      <c r="S654" s="4"/>
      <c r="T654" s="4"/>
      <c r="U654" s="4"/>
      <c r="V654" s="4"/>
      <c r="W654" s="4"/>
    </row>
    <row r="655" spans="14:23" x14ac:dyDescent="0.4">
      <c r="N655" s="114"/>
      <c r="O655" s="115"/>
      <c r="P655" s="4"/>
      <c r="Q655" s="4"/>
      <c r="R655" s="4"/>
      <c r="S655" s="4"/>
      <c r="T655" s="4"/>
      <c r="U655" s="4"/>
      <c r="V655" s="4"/>
      <c r="W655" s="4"/>
    </row>
    <row r="656" spans="14:23" x14ac:dyDescent="0.4">
      <c r="N656" s="114"/>
      <c r="O656" s="115"/>
      <c r="P656" s="4"/>
      <c r="Q656" s="4"/>
      <c r="R656" s="4"/>
      <c r="S656" s="4"/>
      <c r="T656" s="4"/>
      <c r="U656" s="4"/>
      <c r="V656" s="4"/>
      <c r="W656" s="4"/>
    </row>
    <row r="657" spans="14:23" x14ac:dyDescent="0.4">
      <c r="N657" s="114"/>
      <c r="O657" s="115"/>
      <c r="P657" s="4"/>
      <c r="Q657" s="4"/>
      <c r="R657" s="4"/>
      <c r="S657" s="4"/>
      <c r="T657" s="4"/>
      <c r="U657" s="4"/>
      <c r="V657" s="4"/>
      <c r="W657" s="4"/>
    </row>
    <row r="658" spans="14:23" x14ac:dyDescent="0.4">
      <c r="N658" s="114"/>
      <c r="O658" s="115"/>
      <c r="P658" s="4"/>
      <c r="Q658" s="4"/>
      <c r="R658" s="4"/>
      <c r="S658" s="4"/>
      <c r="T658" s="4"/>
      <c r="U658" s="4"/>
      <c r="V658" s="4"/>
      <c r="W658" s="4"/>
    </row>
    <row r="659" spans="14:23" x14ac:dyDescent="0.4">
      <c r="N659" s="114"/>
      <c r="O659" s="115"/>
      <c r="P659" s="4"/>
      <c r="Q659" s="4"/>
      <c r="R659" s="4"/>
      <c r="S659" s="4"/>
      <c r="T659" s="4"/>
      <c r="U659" s="4"/>
      <c r="V659" s="4"/>
      <c r="W659" s="4"/>
    </row>
    <row r="660" spans="14:23" x14ac:dyDescent="0.4">
      <c r="N660" s="114"/>
      <c r="O660" s="115"/>
      <c r="P660" s="4"/>
      <c r="Q660" s="4"/>
      <c r="R660" s="4"/>
      <c r="S660" s="4"/>
      <c r="T660" s="4"/>
      <c r="U660" s="4"/>
      <c r="V660" s="4"/>
      <c r="W660" s="4"/>
    </row>
    <row r="661" spans="14:23" x14ac:dyDescent="0.4">
      <c r="N661" s="114"/>
      <c r="O661" s="115"/>
      <c r="P661" s="4"/>
      <c r="Q661" s="4"/>
      <c r="R661" s="4"/>
      <c r="S661" s="4"/>
      <c r="T661" s="4"/>
      <c r="U661" s="4"/>
      <c r="V661" s="4"/>
      <c r="W661" s="4"/>
    </row>
    <row r="662" spans="14:23" x14ac:dyDescent="0.4">
      <c r="N662" s="114"/>
      <c r="O662" s="115"/>
      <c r="P662" s="4"/>
      <c r="Q662" s="4"/>
      <c r="R662" s="4"/>
      <c r="S662" s="4"/>
      <c r="T662" s="4"/>
      <c r="U662" s="4"/>
      <c r="V662" s="4"/>
      <c r="W662" s="4"/>
    </row>
    <row r="663" spans="14:23" x14ac:dyDescent="0.4">
      <c r="N663" s="114"/>
      <c r="O663" s="115"/>
      <c r="P663" s="4"/>
      <c r="Q663" s="4"/>
      <c r="R663" s="4"/>
      <c r="S663" s="4"/>
      <c r="T663" s="4"/>
      <c r="U663" s="4"/>
      <c r="V663" s="4"/>
      <c r="W663" s="4"/>
    </row>
    <row r="664" spans="14:23" x14ac:dyDescent="0.4">
      <c r="N664" s="114"/>
      <c r="O664" s="115"/>
      <c r="P664" s="4"/>
      <c r="Q664" s="4"/>
      <c r="R664" s="4"/>
      <c r="S664" s="4"/>
      <c r="T664" s="4"/>
      <c r="U664" s="4"/>
      <c r="V664" s="4"/>
      <c r="W664" s="4"/>
    </row>
    <row r="665" spans="14:23" x14ac:dyDescent="0.4">
      <c r="N665" s="114"/>
      <c r="O665" s="115"/>
      <c r="P665" s="4"/>
      <c r="Q665" s="4"/>
      <c r="R665" s="4"/>
      <c r="S665" s="4"/>
      <c r="T665" s="4"/>
      <c r="U665" s="4"/>
      <c r="V665" s="4"/>
      <c r="W665" s="4"/>
    </row>
    <row r="666" spans="14:23" x14ac:dyDescent="0.4">
      <c r="N666" s="114"/>
      <c r="O666" s="115"/>
      <c r="P666" s="4"/>
      <c r="Q666" s="4"/>
      <c r="R666" s="4"/>
      <c r="S666" s="4"/>
      <c r="T666" s="4"/>
      <c r="U666" s="4"/>
      <c r="V666" s="4"/>
      <c r="W666" s="4"/>
    </row>
    <row r="667" spans="14:23" x14ac:dyDescent="0.4">
      <c r="N667" s="114"/>
      <c r="O667" s="115"/>
      <c r="P667" s="4"/>
      <c r="Q667" s="4"/>
      <c r="R667" s="4"/>
      <c r="S667" s="4"/>
      <c r="T667" s="4"/>
      <c r="U667" s="4"/>
      <c r="V667" s="4"/>
      <c r="W667" s="4"/>
    </row>
    <row r="668" spans="14:23" x14ac:dyDescent="0.4">
      <c r="N668" s="114"/>
      <c r="O668" s="115"/>
      <c r="P668" s="4"/>
      <c r="Q668" s="4"/>
      <c r="R668" s="4"/>
      <c r="S668" s="4"/>
      <c r="T668" s="4"/>
      <c r="U668" s="4"/>
      <c r="V668" s="4"/>
      <c r="W668" s="4"/>
    </row>
    <row r="669" spans="14:23" x14ac:dyDescent="0.4">
      <c r="N669" s="114"/>
      <c r="O669" s="115"/>
      <c r="P669" s="4"/>
      <c r="Q669" s="4"/>
      <c r="R669" s="4"/>
      <c r="S669" s="4"/>
      <c r="T669" s="4"/>
      <c r="U669" s="4"/>
      <c r="V669" s="4"/>
      <c r="W669" s="4"/>
    </row>
    <row r="670" spans="14:23" x14ac:dyDescent="0.4">
      <c r="N670" s="114"/>
      <c r="O670" s="115"/>
      <c r="P670" s="4"/>
      <c r="Q670" s="4"/>
      <c r="R670" s="4"/>
      <c r="S670" s="4"/>
      <c r="T670" s="4"/>
      <c r="U670" s="4"/>
      <c r="V670" s="4"/>
      <c r="W670" s="4"/>
    </row>
    <row r="671" spans="14:23" x14ac:dyDescent="0.4">
      <c r="N671" s="114"/>
      <c r="O671" s="115"/>
      <c r="P671" s="4"/>
      <c r="Q671" s="4"/>
      <c r="R671" s="4"/>
      <c r="S671" s="4"/>
      <c r="T671" s="4"/>
      <c r="U671" s="4"/>
      <c r="V671" s="4"/>
      <c r="W671" s="4"/>
    </row>
    <row r="672" spans="14:23" x14ac:dyDescent="0.4">
      <c r="N672" s="114"/>
      <c r="O672" s="115"/>
      <c r="P672" s="4"/>
      <c r="Q672" s="4"/>
      <c r="R672" s="4"/>
      <c r="S672" s="4"/>
      <c r="T672" s="4"/>
      <c r="U672" s="4"/>
      <c r="V672" s="4"/>
      <c r="W672" s="4"/>
    </row>
    <row r="673" spans="14:23" x14ac:dyDescent="0.4">
      <c r="N673" s="114"/>
      <c r="O673" s="115"/>
      <c r="P673" s="4"/>
      <c r="Q673" s="4"/>
      <c r="R673" s="4"/>
      <c r="S673" s="4"/>
      <c r="T673" s="4"/>
      <c r="U673" s="4"/>
      <c r="V673" s="4"/>
      <c r="W673" s="4"/>
    </row>
    <row r="674" spans="14:23" x14ac:dyDescent="0.4">
      <c r="N674" s="114"/>
      <c r="O674" s="115"/>
      <c r="P674" s="4"/>
      <c r="Q674" s="4"/>
      <c r="R674" s="4"/>
      <c r="S674" s="4"/>
      <c r="T674" s="4"/>
      <c r="U674" s="4"/>
      <c r="V674" s="4"/>
      <c r="W674" s="4"/>
    </row>
    <row r="675" spans="14:23" x14ac:dyDescent="0.4">
      <c r="N675" s="114"/>
      <c r="O675" s="115"/>
      <c r="P675" s="4"/>
      <c r="Q675" s="4"/>
      <c r="R675" s="4"/>
      <c r="S675" s="4"/>
      <c r="T675" s="4"/>
      <c r="U675" s="4"/>
      <c r="V675" s="4"/>
      <c r="W675" s="4"/>
    </row>
    <row r="676" spans="14:23" x14ac:dyDescent="0.4">
      <c r="N676" s="114"/>
      <c r="O676" s="115"/>
      <c r="P676" s="4"/>
      <c r="Q676" s="4"/>
      <c r="R676" s="4"/>
      <c r="S676" s="4"/>
      <c r="T676" s="4"/>
      <c r="U676" s="4"/>
      <c r="V676" s="4"/>
      <c r="W676" s="4"/>
    </row>
    <row r="677" spans="14:23" x14ac:dyDescent="0.4">
      <c r="N677" s="114"/>
      <c r="O677" s="115"/>
      <c r="P677" s="4"/>
      <c r="Q677" s="4"/>
      <c r="R677" s="4"/>
      <c r="S677" s="4"/>
      <c r="T677" s="4"/>
      <c r="U677" s="4"/>
      <c r="V677" s="4"/>
      <c r="W677" s="4"/>
    </row>
    <row r="678" spans="14:23" x14ac:dyDescent="0.4">
      <c r="N678" s="114"/>
      <c r="O678" s="115"/>
      <c r="P678" s="4"/>
      <c r="Q678" s="4"/>
      <c r="R678" s="4"/>
      <c r="S678" s="4"/>
      <c r="T678" s="4"/>
      <c r="U678" s="4"/>
      <c r="V678" s="4"/>
      <c r="W678" s="4"/>
    </row>
    <row r="679" spans="14:23" x14ac:dyDescent="0.4">
      <c r="N679" s="114"/>
      <c r="O679" s="115"/>
      <c r="P679" s="4"/>
      <c r="Q679" s="4"/>
      <c r="R679" s="4"/>
      <c r="S679" s="4"/>
      <c r="T679" s="4"/>
      <c r="U679" s="4"/>
      <c r="V679" s="4"/>
      <c r="W679" s="4"/>
    </row>
    <row r="680" spans="14:23" x14ac:dyDescent="0.4">
      <c r="N680" s="114"/>
      <c r="O680" s="115"/>
      <c r="P680" s="4"/>
      <c r="Q680" s="4"/>
      <c r="R680" s="4"/>
      <c r="S680" s="4"/>
      <c r="T680" s="4"/>
      <c r="U680" s="4"/>
      <c r="V680" s="4"/>
      <c r="W680" s="4"/>
    </row>
    <row r="681" spans="14:23" x14ac:dyDescent="0.4">
      <c r="N681" s="114"/>
      <c r="O681" s="115"/>
      <c r="P681" s="4"/>
      <c r="Q681" s="4"/>
      <c r="R681" s="4"/>
      <c r="S681" s="4"/>
      <c r="T681" s="4"/>
      <c r="U681" s="4"/>
      <c r="V681" s="4"/>
      <c r="W681" s="4"/>
    </row>
    <row r="682" spans="14:23" x14ac:dyDescent="0.4">
      <c r="N682" s="114"/>
      <c r="O682" s="115"/>
      <c r="P682" s="4"/>
      <c r="Q682" s="4"/>
      <c r="R682" s="4"/>
      <c r="S682" s="4"/>
      <c r="T682" s="4"/>
      <c r="U682" s="4"/>
      <c r="V682" s="4"/>
      <c r="W682" s="4"/>
    </row>
    <row r="683" spans="14:23" x14ac:dyDescent="0.4">
      <c r="N683" s="114"/>
      <c r="O683" s="115"/>
      <c r="P683" s="4"/>
      <c r="Q683" s="4"/>
      <c r="R683" s="4"/>
      <c r="S683" s="4"/>
      <c r="T683" s="4"/>
      <c r="U683" s="4"/>
      <c r="V683" s="4"/>
      <c r="W683" s="4"/>
    </row>
    <row r="684" spans="14:23" x14ac:dyDescent="0.4">
      <c r="N684" s="114"/>
      <c r="O684" s="115"/>
      <c r="P684" s="4"/>
      <c r="Q684" s="4"/>
      <c r="R684" s="4"/>
      <c r="S684" s="4"/>
      <c r="T684" s="4"/>
      <c r="U684" s="4"/>
      <c r="V684" s="4"/>
      <c r="W684" s="4"/>
    </row>
    <row r="685" spans="14:23" x14ac:dyDescent="0.4">
      <c r="N685" s="114"/>
      <c r="O685" s="115"/>
      <c r="P685" s="4"/>
      <c r="Q685" s="4"/>
      <c r="R685" s="4"/>
      <c r="S685" s="4"/>
      <c r="T685" s="4"/>
      <c r="U685" s="4"/>
      <c r="V685" s="4"/>
      <c r="W685" s="4"/>
    </row>
    <row r="686" spans="14:23" x14ac:dyDescent="0.4">
      <c r="N686" s="114"/>
      <c r="O686" s="115"/>
      <c r="P686" s="4"/>
      <c r="Q686" s="4"/>
      <c r="R686" s="4"/>
      <c r="S686" s="4"/>
      <c r="T686" s="4"/>
      <c r="U686" s="4"/>
      <c r="V686" s="4"/>
      <c r="W686" s="4"/>
    </row>
    <row r="687" spans="14:23" x14ac:dyDescent="0.4">
      <c r="N687" s="114"/>
      <c r="O687" s="115"/>
      <c r="P687" s="4"/>
      <c r="Q687" s="4"/>
      <c r="R687" s="4"/>
      <c r="S687" s="4"/>
      <c r="T687" s="4"/>
      <c r="U687" s="4"/>
      <c r="V687" s="4"/>
      <c r="W687" s="4"/>
    </row>
    <row r="688" spans="14:23" x14ac:dyDescent="0.4">
      <c r="N688" s="114"/>
      <c r="O688" s="115"/>
      <c r="P688" s="4"/>
      <c r="Q688" s="4"/>
      <c r="R688" s="4"/>
      <c r="S688" s="4"/>
      <c r="T688" s="4"/>
      <c r="U688" s="4"/>
      <c r="V688" s="4"/>
      <c r="W688" s="4"/>
    </row>
    <row r="689" spans="14:23" x14ac:dyDescent="0.4">
      <c r="N689" s="114"/>
      <c r="O689" s="115"/>
      <c r="P689" s="4"/>
      <c r="Q689" s="4"/>
      <c r="R689" s="4"/>
      <c r="S689" s="4"/>
      <c r="T689" s="4"/>
      <c r="U689" s="4"/>
      <c r="V689" s="4"/>
      <c r="W689" s="4"/>
    </row>
    <row r="690" spans="14:23" x14ac:dyDescent="0.4">
      <c r="N690" s="114"/>
      <c r="O690" s="115"/>
      <c r="P690" s="4"/>
      <c r="Q690" s="4"/>
      <c r="R690" s="4"/>
      <c r="S690" s="4"/>
      <c r="T690" s="4"/>
      <c r="U690" s="4"/>
      <c r="V690" s="4"/>
      <c r="W690" s="4"/>
    </row>
    <row r="691" spans="14:23" x14ac:dyDescent="0.4">
      <c r="N691" s="114"/>
      <c r="O691" s="115"/>
      <c r="P691" s="4"/>
      <c r="Q691" s="4"/>
      <c r="R691" s="4"/>
      <c r="S691" s="4"/>
      <c r="T691" s="4"/>
      <c r="U691" s="4"/>
      <c r="V691" s="4"/>
      <c r="W691" s="4"/>
    </row>
    <row r="692" spans="14:23" x14ac:dyDescent="0.4">
      <c r="N692" s="114"/>
      <c r="O692" s="115"/>
      <c r="P692" s="4"/>
      <c r="Q692" s="4"/>
      <c r="R692" s="4"/>
      <c r="S692" s="4"/>
      <c r="T692" s="4"/>
      <c r="U692" s="4"/>
      <c r="V692" s="4"/>
      <c r="W692" s="4"/>
    </row>
    <row r="693" spans="14:23" x14ac:dyDescent="0.4">
      <c r="N693" s="114"/>
      <c r="O693" s="115"/>
      <c r="P693" s="4"/>
      <c r="Q693" s="4"/>
      <c r="R693" s="4"/>
      <c r="S693" s="4"/>
      <c r="T693" s="4"/>
      <c r="U693" s="4"/>
      <c r="V693" s="4"/>
      <c r="W693" s="4"/>
    </row>
    <row r="694" spans="14:23" x14ac:dyDescent="0.4">
      <c r="N694" s="114"/>
      <c r="O694" s="115"/>
      <c r="P694" s="4"/>
      <c r="Q694" s="4"/>
      <c r="R694" s="4"/>
      <c r="S694" s="4"/>
      <c r="T694" s="4"/>
      <c r="U694" s="4"/>
      <c r="V694" s="4"/>
      <c r="W694" s="4"/>
    </row>
    <row r="695" spans="14:23" x14ac:dyDescent="0.4">
      <c r="N695" s="114"/>
      <c r="O695" s="115"/>
      <c r="P695" s="4"/>
      <c r="Q695" s="4"/>
      <c r="R695" s="4"/>
      <c r="S695" s="4"/>
      <c r="T695" s="4"/>
      <c r="U695" s="4"/>
      <c r="V695" s="4"/>
      <c r="W695" s="4"/>
    </row>
    <row r="696" spans="14:23" x14ac:dyDescent="0.4">
      <c r="N696" s="114"/>
      <c r="O696" s="115"/>
      <c r="P696" s="4"/>
      <c r="Q696" s="4"/>
      <c r="R696" s="4"/>
      <c r="S696" s="4"/>
      <c r="T696" s="4"/>
      <c r="U696" s="4"/>
      <c r="V696" s="4"/>
      <c r="W696" s="4"/>
    </row>
    <row r="697" spans="14:23" x14ac:dyDescent="0.4">
      <c r="N697" s="114"/>
      <c r="O697" s="115"/>
      <c r="P697" s="4"/>
      <c r="Q697" s="4"/>
      <c r="R697" s="4"/>
      <c r="S697" s="4"/>
      <c r="T697" s="4"/>
      <c r="U697" s="4"/>
      <c r="V697" s="4"/>
      <c r="W697" s="4"/>
    </row>
    <row r="698" spans="14:23" x14ac:dyDescent="0.4">
      <c r="N698" s="114"/>
      <c r="O698" s="115"/>
      <c r="P698" s="4"/>
      <c r="Q698" s="4"/>
      <c r="R698" s="4"/>
      <c r="S698" s="4"/>
      <c r="T698" s="4"/>
      <c r="U698" s="4"/>
      <c r="V698" s="4"/>
      <c r="W698" s="4"/>
    </row>
    <row r="699" spans="14:23" x14ac:dyDescent="0.4">
      <c r="N699" s="114"/>
      <c r="O699" s="115"/>
      <c r="P699" s="4"/>
      <c r="Q699" s="4"/>
      <c r="R699" s="4"/>
      <c r="S699" s="4"/>
      <c r="T699" s="4"/>
      <c r="U699" s="4"/>
      <c r="V699" s="4"/>
      <c r="W699" s="4"/>
    </row>
    <row r="700" spans="14:23" x14ac:dyDescent="0.4">
      <c r="N700" s="114"/>
      <c r="O700" s="115"/>
      <c r="P700" s="4"/>
      <c r="Q700" s="4"/>
      <c r="R700" s="4"/>
      <c r="S700" s="4"/>
      <c r="T700" s="4"/>
      <c r="U700" s="4"/>
      <c r="V700" s="4"/>
      <c r="W700" s="4"/>
    </row>
    <row r="701" spans="14:23" x14ac:dyDescent="0.4">
      <c r="N701" s="114"/>
      <c r="O701" s="115"/>
      <c r="P701" s="4"/>
      <c r="Q701" s="4"/>
      <c r="R701" s="4"/>
      <c r="S701" s="4"/>
      <c r="T701" s="4"/>
      <c r="U701" s="4"/>
      <c r="V701" s="4"/>
      <c r="W701" s="4"/>
    </row>
    <row r="702" spans="14:23" x14ac:dyDescent="0.4">
      <c r="N702" s="114"/>
      <c r="O702" s="115"/>
      <c r="P702" s="4"/>
      <c r="Q702" s="4"/>
      <c r="R702" s="4"/>
      <c r="S702" s="4"/>
      <c r="T702" s="4"/>
      <c r="U702" s="4"/>
      <c r="V702" s="4"/>
      <c r="W702" s="4"/>
    </row>
    <row r="703" spans="14:23" x14ac:dyDescent="0.4">
      <c r="N703" s="114"/>
      <c r="O703" s="115"/>
      <c r="P703" s="4"/>
      <c r="Q703" s="4"/>
      <c r="R703" s="4"/>
      <c r="S703" s="4"/>
      <c r="T703" s="4"/>
      <c r="U703" s="4"/>
      <c r="V703" s="4"/>
      <c r="W703" s="4"/>
    </row>
    <row r="704" spans="14:23" x14ac:dyDescent="0.4">
      <c r="N704" s="114"/>
      <c r="O704" s="115"/>
      <c r="P704" s="4"/>
      <c r="Q704" s="4"/>
      <c r="R704" s="4"/>
      <c r="S704" s="4"/>
      <c r="T704" s="4"/>
      <c r="U704" s="4"/>
      <c r="V704" s="4"/>
      <c r="W704" s="4"/>
    </row>
    <row r="705" spans="14:23" x14ac:dyDescent="0.4">
      <c r="N705" s="114"/>
      <c r="O705" s="115"/>
      <c r="P705" s="4"/>
      <c r="Q705" s="4"/>
      <c r="R705" s="4"/>
      <c r="S705" s="4"/>
      <c r="T705" s="4"/>
      <c r="U705" s="4"/>
      <c r="V705" s="4"/>
      <c r="W705" s="4"/>
    </row>
    <row r="706" spans="14:23" x14ac:dyDescent="0.4">
      <c r="N706" s="114"/>
      <c r="O706" s="115"/>
      <c r="P706" s="4"/>
      <c r="Q706" s="4"/>
      <c r="R706" s="4"/>
      <c r="S706" s="4"/>
      <c r="T706" s="4"/>
      <c r="U706" s="4"/>
      <c r="V706" s="4"/>
      <c r="W706" s="4"/>
    </row>
    <row r="707" spans="14:23" x14ac:dyDescent="0.4">
      <c r="N707" s="114"/>
      <c r="O707" s="115"/>
      <c r="P707" s="4"/>
      <c r="Q707" s="4"/>
      <c r="R707" s="4"/>
      <c r="S707" s="4"/>
      <c r="T707" s="4"/>
      <c r="U707" s="4"/>
      <c r="V707" s="4"/>
      <c r="W707" s="4"/>
    </row>
    <row r="708" spans="14:23" x14ac:dyDescent="0.4">
      <c r="N708" s="114"/>
      <c r="O708" s="115"/>
      <c r="P708" s="4"/>
      <c r="Q708" s="4"/>
      <c r="R708" s="4"/>
      <c r="S708" s="4"/>
      <c r="T708" s="4"/>
      <c r="U708" s="4"/>
      <c r="V708" s="4"/>
      <c r="W708" s="4"/>
    </row>
    <row r="709" spans="14:23" x14ac:dyDescent="0.4">
      <c r="N709" s="114"/>
      <c r="O709" s="115"/>
      <c r="P709" s="4"/>
      <c r="Q709" s="4"/>
      <c r="R709" s="4"/>
      <c r="S709" s="4"/>
      <c r="T709" s="4"/>
      <c r="U709" s="4"/>
      <c r="V709" s="4"/>
      <c r="W709" s="4"/>
    </row>
    <row r="710" spans="14:23" x14ac:dyDescent="0.4">
      <c r="N710" s="114"/>
      <c r="O710" s="115"/>
      <c r="P710" s="4"/>
      <c r="Q710" s="4"/>
      <c r="R710" s="4"/>
      <c r="S710" s="4"/>
      <c r="T710" s="4"/>
      <c r="U710" s="4"/>
      <c r="V710" s="4"/>
      <c r="W710" s="4"/>
    </row>
    <row r="711" spans="14:23" x14ac:dyDescent="0.4">
      <c r="N711" s="114"/>
      <c r="O711" s="115"/>
      <c r="P711" s="4"/>
      <c r="Q711" s="4"/>
      <c r="R711" s="4"/>
      <c r="S711" s="4"/>
      <c r="T711" s="4"/>
      <c r="U711" s="4"/>
      <c r="V711" s="4"/>
      <c r="W711" s="4"/>
    </row>
    <row r="712" spans="14:23" x14ac:dyDescent="0.4">
      <c r="N712" s="114"/>
      <c r="O712" s="115"/>
      <c r="P712" s="4"/>
      <c r="Q712" s="4"/>
      <c r="R712" s="4"/>
      <c r="S712" s="4"/>
      <c r="T712" s="4"/>
      <c r="U712" s="4"/>
      <c r="V712" s="4"/>
      <c r="W712" s="4"/>
    </row>
    <row r="713" spans="14:23" x14ac:dyDescent="0.4">
      <c r="N713" s="114"/>
      <c r="O713" s="115"/>
      <c r="P713" s="4"/>
      <c r="Q713" s="4"/>
      <c r="R713" s="4"/>
      <c r="S713" s="4"/>
      <c r="T713" s="4"/>
      <c r="U713" s="4"/>
      <c r="V713" s="4"/>
      <c r="W713" s="4"/>
    </row>
    <row r="714" spans="14:23" x14ac:dyDescent="0.4">
      <c r="N714" s="114"/>
      <c r="O714" s="115"/>
      <c r="P714" s="4"/>
      <c r="Q714" s="4"/>
      <c r="R714" s="4"/>
      <c r="S714" s="4"/>
      <c r="T714" s="4"/>
      <c r="U714" s="4"/>
      <c r="V714" s="4"/>
      <c r="W714" s="4"/>
    </row>
    <row r="715" spans="14:23" x14ac:dyDescent="0.4">
      <c r="N715" s="114"/>
      <c r="O715" s="115"/>
      <c r="P715" s="4"/>
      <c r="Q715" s="4"/>
      <c r="R715" s="4"/>
      <c r="S715" s="4"/>
      <c r="T715" s="4"/>
      <c r="U715" s="4"/>
      <c r="V715" s="4"/>
      <c r="W715" s="4"/>
    </row>
    <row r="716" spans="14:23" x14ac:dyDescent="0.4">
      <c r="N716" s="114"/>
      <c r="O716" s="115"/>
      <c r="P716" s="4"/>
      <c r="Q716" s="4"/>
      <c r="R716" s="4"/>
      <c r="S716" s="4"/>
      <c r="T716" s="4"/>
      <c r="U716" s="4"/>
      <c r="V716" s="4"/>
      <c r="W716" s="4"/>
    </row>
    <row r="717" spans="14:23" x14ac:dyDescent="0.4">
      <c r="N717" s="114"/>
      <c r="O717" s="115"/>
      <c r="P717" s="4"/>
      <c r="Q717" s="4"/>
      <c r="R717" s="4"/>
      <c r="S717" s="4"/>
      <c r="T717" s="4"/>
      <c r="U717" s="4"/>
      <c r="V717" s="4"/>
      <c r="W717" s="4"/>
    </row>
    <row r="718" spans="14:23" x14ac:dyDescent="0.4">
      <c r="N718" s="114"/>
      <c r="O718" s="115"/>
      <c r="P718" s="4"/>
      <c r="Q718" s="4"/>
      <c r="R718" s="4"/>
      <c r="S718" s="4"/>
      <c r="T718" s="4"/>
      <c r="U718" s="4"/>
      <c r="V718" s="4"/>
      <c r="W718" s="4"/>
    </row>
    <row r="719" spans="14:23" x14ac:dyDescent="0.4">
      <c r="N719" s="114"/>
      <c r="O719" s="115"/>
      <c r="P719" s="4"/>
      <c r="Q719" s="4"/>
      <c r="R719" s="4"/>
      <c r="S719" s="4"/>
      <c r="T719" s="4"/>
      <c r="U719" s="4"/>
      <c r="V719" s="4"/>
      <c r="W719" s="4"/>
    </row>
    <row r="720" spans="14:23" x14ac:dyDescent="0.4">
      <c r="N720" s="114"/>
      <c r="O720" s="115"/>
      <c r="P720" s="4"/>
      <c r="Q720" s="4"/>
      <c r="R720" s="4"/>
      <c r="S720" s="4"/>
      <c r="T720" s="4"/>
      <c r="U720" s="4"/>
      <c r="V720" s="4"/>
      <c r="W720" s="4"/>
    </row>
    <row r="721" spans="14:23" x14ac:dyDescent="0.4">
      <c r="N721" s="114"/>
      <c r="O721" s="115"/>
      <c r="P721" s="4"/>
      <c r="Q721" s="4"/>
      <c r="R721" s="4"/>
      <c r="S721" s="4"/>
      <c r="T721" s="4"/>
      <c r="U721" s="4"/>
      <c r="V721" s="4"/>
      <c r="W721" s="4"/>
    </row>
    <row r="722" spans="14:23" x14ac:dyDescent="0.4">
      <c r="N722" s="114"/>
      <c r="O722" s="115"/>
      <c r="P722" s="4"/>
      <c r="Q722" s="4"/>
      <c r="R722" s="4"/>
      <c r="S722" s="4"/>
      <c r="T722" s="4"/>
      <c r="U722" s="4"/>
      <c r="V722" s="4"/>
      <c r="W722" s="4"/>
    </row>
    <row r="723" spans="14:23" x14ac:dyDescent="0.4">
      <c r="N723" s="114"/>
      <c r="O723" s="115"/>
      <c r="P723" s="4"/>
      <c r="Q723" s="4"/>
      <c r="R723" s="4"/>
      <c r="S723" s="4"/>
      <c r="T723" s="4"/>
      <c r="U723" s="4"/>
      <c r="V723" s="4"/>
      <c r="W723" s="4"/>
    </row>
    <row r="724" spans="14:23" x14ac:dyDescent="0.4">
      <c r="N724" s="114"/>
      <c r="O724" s="115"/>
      <c r="P724" s="4"/>
      <c r="Q724" s="4"/>
      <c r="R724" s="4"/>
      <c r="S724" s="4"/>
      <c r="T724" s="4"/>
      <c r="U724" s="4"/>
      <c r="V724" s="4"/>
      <c r="W724" s="4"/>
    </row>
    <row r="725" spans="14:23" x14ac:dyDescent="0.4">
      <c r="N725" s="114"/>
      <c r="O725" s="115"/>
      <c r="P725" s="4"/>
      <c r="Q725" s="4"/>
      <c r="R725" s="4"/>
      <c r="S725" s="4"/>
      <c r="T725" s="4"/>
      <c r="U725" s="4"/>
      <c r="V725" s="4"/>
      <c r="W725" s="4"/>
    </row>
    <row r="726" spans="14:23" x14ac:dyDescent="0.4">
      <c r="N726" s="114"/>
      <c r="O726" s="115"/>
      <c r="P726" s="4"/>
      <c r="Q726" s="4"/>
      <c r="R726" s="4"/>
      <c r="S726" s="4"/>
      <c r="T726" s="4"/>
      <c r="U726" s="4"/>
      <c r="V726" s="4"/>
      <c r="W726" s="4"/>
    </row>
    <row r="727" spans="14:23" x14ac:dyDescent="0.4">
      <c r="N727" s="114"/>
      <c r="O727" s="115"/>
      <c r="P727" s="4"/>
      <c r="Q727" s="4"/>
      <c r="R727" s="4"/>
      <c r="S727" s="4"/>
      <c r="T727" s="4"/>
      <c r="U727" s="4"/>
      <c r="V727" s="4"/>
      <c r="W727" s="4"/>
    </row>
    <row r="728" spans="14:23" x14ac:dyDescent="0.4">
      <c r="N728" s="114"/>
      <c r="O728" s="115"/>
      <c r="P728" s="4"/>
      <c r="Q728" s="4"/>
      <c r="R728" s="4"/>
      <c r="S728" s="4"/>
      <c r="T728" s="4"/>
      <c r="U728" s="4"/>
      <c r="V728" s="4"/>
      <c r="W728" s="4"/>
    </row>
    <row r="729" spans="14:23" x14ac:dyDescent="0.4">
      <c r="N729" s="114"/>
      <c r="O729" s="115"/>
      <c r="P729" s="4"/>
      <c r="Q729" s="4"/>
      <c r="R729" s="4"/>
      <c r="S729" s="4"/>
      <c r="T729" s="4"/>
      <c r="U729" s="4"/>
      <c r="V729" s="4"/>
      <c r="W729" s="4"/>
    </row>
    <row r="730" spans="14:23" x14ac:dyDescent="0.4">
      <c r="N730" s="114"/>
      <c r="O730" s="115"/>
      <c r="P730" s="4"/>
      <c r="Q730" s="4"/>
      <c r="R730" s="4"/>
      <c r="S730" s="4"/>
      <c r="T730" s="4"/>
      <c r="U730" s="4"/>
      <c r="V730" s="4"/>
      <c r="W730" s="4"/>
    </row>
    <row r="731" spans="14:23" x14ac:dyDescent="0.4">
      <c r="N731" s="114"/>
      <c r="O731" s="115"/>
      <c r="P731" s="4"/>
      <c r="Q731" s="4"/>
      <c r="R731" s="4"/>
      <c r="S731" s="4"/>
      <c r="T731" s="4"/>
      <c r="U731" s="4"/>
      <c r="V731" s="4"/>
      <c r="W731" s="4"/>
    </row>
    <row r="732" spans="14:23" x14ac:dyDescent="0.4">
      <c r="N732" s="114"/>
      <c r="O732" s="115"/>
      <c r="P732" s="4"/>
      <c r="Q732" s="4"/>
      <c r="R732" s="4"/>
      <c r="S732" s="4"/>
      <c r="T732" s="4"/>
      <c r="U732" s="4"/>
      <c r="V732" s="4"/>
      <c r="W732" s="4"/>
    </row>
    <row r="733" spans="14:23" x14ac:dyDescent="0.4">
      <c r="N733" s="114"/>
      <c r="O733" s="115"/>
      <c r="P733" s="4"/>
      <c r="Q733" s="4"/>
      <c r="R733" s="4"/>
      <c r="S733" s="4"/>
      <c r="T733" s="4"/>
      <c r="U733" s="4"/>
      <c r="V733" s="4"/>
      <c r="W733" s="4"/>
    </row>
    <row r="734" spans="14:23" x14ac:dyDescent="0.4">
      <c r="N734" s="114"/>
      <c r="O734" s="115"/>
      <c r="P734" s="4"/>
      <c r="Q734" s="4"/>
      <c r="R734" s="4"/>
      <c r="S734" s="4"/>
      <c r="T734" s="4"/>
      <c r="U734" s="4"/>
      <c r="V734" s="4"/>
      <c r="W734" s="4"/>
    </row>
    <row r="735" spans="14:23" x14ac:dyDescent="0.4">
      <c r="N735" s="114"/>
      <c r="O735" s="115"/>
      <c r="P735" s="4"/>
      <c r="Q735" s="4"/>
      <c r="R735" s="4"/>
      <c r="S735" s="4"/>
      <c r="T735" s="4"/>
      <c r="U735" s="4"/>
      <c r="V735" s="4"/>
      <c r="W735" s="4"/>
    </row>
    <row r="736" spans="14:23" x14ac:dyDescent="0.4">
      <c r="N736" s="114"/>
      <c r="O736" s="115"/>
      <c r="P736" s="4"/>
      <c r="Q736" s="4"/>
      <c r="R736" s="4"/>
      <c r="S736" s="4"/>
      <c r="T736" s="4"/>
      <c r="U736" s="4"/>
      <c r="V736" s="4"/>
      <c r="W736" s="4"/>
    </row>
    <row r="737" spans="14:23" x14ac:dyDescent="0.4">
      <c r="N737" s="114"/>
      <c r="O737" s="115"/>
      <c r="P737" s="4"/>
      <c r="Q737" s="4"/>
      <c r="R737" s="4"/>
      <c r="S737" s="4"/>
      <c r="T737" s="4"/>
      <c r="U737" s="4"/>
      <c r="V737" s="4"/>
      <c r="W737" s="4"/>
    </row>
    <row r="738" spans="14:23" x14ac:dyDescent="0.4">
      <c r="N738" s="114"/>
      <c r="O738" s="115"/>
      <c r="P738" s="4"/>
      <c r="Q738" s="4"/>
      <c r="R738" s="4"/>
      <c r="S738" s="4"/>
      <c r="T738" s="4"/>
      <c r="U738" s="4"/>
      <c r="V738" s="4"/>
      <c r="W738" s="4"/>
    </row>
    <row r="739" spans="14:23" x14ac:dyDescent="0.4">
      <c r="N739" s="114"/>
      <c r="O739" s="115"/>
      <c r="P739" s="4"/>
      <c r="Q739" s="4"/>
      <c r="R739" s="4"/>
      <c r="S739" s="4"/>
      <c r="T739" s="4"/>
      <c r="U739" s="4"/>
      <c r="V739" s="4"/>
      <c r="W739" s="4"/>
    </row>
    <row r="740" spans="14:23" x14ac:dyDescent="0.4">
      <c r="N740" s="114"/>
      <c r="O740" s="115"/>
      <c r="P740" s="4"/>
      <c r="Q740" s="4"/>
      <c r="R740" s="4"/>
      <c r="S740" s="4"/>
      <c r="T740" s="4"/>
      <c r="U740" s="4"/>
      <c r="V740" s="4"/>
      <c r="W740" s="4"/>
    </row>
    <row r="741" spans="14:23" x14ac:dyDescent="0.4">
      <c r="N741" s="114"/>
      <c r="O741" s="115"/>
      <c r="P741" s="4"/>
      <c r="Q741" s="4"/>
      <c r="R741" s="4"/>
      <c r="S741" s="4"/>
      <c r="T741" s="4"/>
      <c r="U741" s="4"/>
      <c r="V741" s="4"/>
      <c r="W741" s="4"/>
    </row>
    <row r="742" spans="14:23" x14ac:dyDescent="0.4">
      <c r="N742" s="114"/>
      <c r="O742" s="115"/>
      <c r="P742" s="4"/>
      <c r="Q742" s="4"/>
      <c r="R742" s="4"/>
      <c r="S742" s="4"/>
      <c r="T742" s="4"/>
      <c r="U742" s="4"/>
      <c r="V742" s="4"/>
      <c r="W742" s="4"/>
    </row>
    <row r="743" spans="14:23" x14ac:dyDescent="0.4">
      <c r="N743" s="114"/>
      <c r="O743" s="115"/>
      <c r="P743" s="4"/>
      <c r="Q743" s="4"/>
      <c r="R743" s="4"/>
      <c r="S743" s="4"/>
      <c r="T743" s="4"/>
      <c r="U743" s="4"/>
      <c r="V743" s="4"/>
      <c r="W743" s="4"/>
    </row>
    <row r="744" spans="14:23" x14ac:dyDescent="0.4">
      <c r="N744" s="114"/>
      <c r="O744" s="115"/>
      <c r="P744" s="4"/>
      <c r="Q744" s="4"/>
      <c r="R744" s="4"/>
      <c r="S744" s="4"/>
      <c r="T744" s="4"/>
      <c r="U744" s="4"/>
      <c r="V744" s="4"/>
      <c r="W744" s="4"/>
    </row>
    <row r="745" spans="14:23" x14ac:dyDescent="0.4">
      <c r="N745" s="114"/>
      <c r="O745" s="115"/>
      <c r="P745" s="4"/>
      <c r="Q745" s="4"/>
      <c r="R745" s="4"/>
      <c r="S745" s="4"/>
      <c r="T745" s="4"/>
      <c r="U745" s="4"/>
      <c r="V745" s="4"/>
      <c r="W745" s="4"/>
    </row>
    <row r="746" spans="14:23" x14ac:dyDescent="0.4">
      <c r="N746" s="114"/>
      <c r="O746" s="115"/>
      <c r="P746" s="4"/>
      <c r="Q746" s="4"/>
      <c r="R746" s="4"/>
      <c r="S746" s="4"/>
      <c r="T746" s="4"/>
      <c r="U746" s="4"/>
      <c r="V746" s="4"/>
      <c r="W746" s="4"/>
    </row>
    <row r="747" spans="14:23" x14ac:dyDescent="0.4">
      <c r="N747" s="114"/>
      <c r="O747" s="115"/>
      <c r="P747" s="4"/>
      <c r="Q747" s="4"/>
      <c r="R747" s="4"/>
      <c r="S747" s="4"/>
      <c r="T747" s="4"/>
      <c r="U747" s="4"/>
      <c r="V747" s="4"/>
      <c r="W747" s="4"/>
    </row>
    <row r="748" spans="14:23" x14ac:dyDescent="0.4">
      <c r="N748" s="114"/>
      <c r="O748" s="115"/>
      <c r="P748" s="4"/>
      <c r="Q748" s="4"/>
      <c r="R748" s="4"/>
      <c r="S748" s="4"/>
      <c r="T748" s="4"/>
      <c r="U748" s="4"/>
      <c r="V748" s="4"/>
      <c r="W748" s="4"/>
    </row>
    <row r="749" spans="14:23" x14ac:dyDescent="0.4">
      <c r="N749" s="114"/>
      <c r="O749" s="115"/>
      <c r="P749" s="4"/>
      <c r="Q749" s="4"/>
      <c r="R749" s="4"/>
      <c r="S749" s="4"/>
      <c r="T749" s="4"/>
      <c r="U749" s="4"/>
      <c r="V749" s="4"/>
      <c r="W749" s="4"/>
    </row>
    <row r="750" spans="14:23" x14ac:dyDescent="0.4">
      <c r="N750" s="114"/>
      <c r="O750" s="115"/>
      <c r="P750" s="4"/>
      <c r="Q750" s="4"/>
      <c r="R750" s="4"/>
      <c r="S750" s="4"/>
      <c r="T750" s="4"/>
      <c r="U750" s="4"/>
      <c r="V750" s="4"/>
      <c r="W750" s="4"/>
    </row>
    <row r="751" spans="14:23" x14ac:dyDescent="0.4">
      <c r="N751" s="114"/>
      <c r="O751" s="115"/>
      <c r="P751" s="4"/>
      <c r="Q751" s="4"/>
      <c r="R751" s="4"/>
      <c r="S751" s="4"/>
      <c r="T751" s="4"/>
      <c r="U751" s="4"/>
      <c r="V751" s="4"/>
      <c r="W751" s="4"/>
    </row>
    <row r="752" spans="14:23" x14ac:dyDescent="0.4">
      <c r="N752" s="114"/>
      <c r="O752" s="115"/>
      <c r="P752" s="4"/>
      <c r="Q752" s="4"/>
      <c r="R752" s="4"/>
      <c r="S752" s="4"/>
      <c r="T752" s="4"/>
      <c r="U752" s="4"/>
      <c r="V752" s="4"/>
      <c r="W752" s="4"/>
    </row>
    <row r="753" spans="14:23" x14ac:dyDescent="0.4">
      <c r="N753" s="114"/>
      <c r="O753" s="115"/>
      <c r="P753" s="4"/>
      <c r="Q753" s="4"/>
      <c r="R753" s="4"/>
      <c r="S753" s="4"/>
      <c r="T753" s="4"/>
      <c r="U753" s="4"/>
      <c r="V753" s="4"/>
      <c r="W753" s="4"/>
    </row>
    <row r="754" spans="14:23" x14ac:dyDescent="0.4">
      <c r="N754" s="114"/>
      <c r="O754" s="115"/>
      <c r="P754" s="4"/>
      <c r="Q754" s="4"/>
      <c r="R754" s="4"/>
      <c r="S754" s="4"/>
      <c r="T754" s="4"/>
      <c r="U754" s="4"/>
      <c r="V754" s="4"/>
      <c r="W754" s="4"/>
    </row>
    <row r="755" spans="14:23" x14ac:dyDescent="0.4">
      <c r="N755" s="114"/>
      <c r="O755" s="115"/>
      <c r="P755" s="4"/>
      <c r="Q755" s="4"/>
      <c r="R755" s="4"/>
      <c r="S755" s="4"/>
      <c r="T755" s="4"/>
      <c r="U755" s="4"/>
      <c r="V755" s="4"/>
      <c r="W755" s="4"/>
    </row>
    <row r="756" spans="14:23" x14ac:dyDescent="0.4">
      <c r="N756" s="114"/>
      <c r="O756" s="115"/>
      <c r="P756" s="4"/>
      <c r="Q756" s="4"/>
      <c r="R756" s="4"/>
      <c r="S756" s="4"/>
      <c r="T756" s="4"/>
      <c r="U756" s="4"/>
      <c r="V756" s="4"/>
      <c r="W756" s="4"/>
    </row>
    <row r="757" spans="14:23" x14ac:dyDescent="0.4">
      <c r="N757" s="114"/>
      <c r="O757" s="115"/>
      <c r="P757" s="4"/>
      <c r="Q757" s="4"/>
      <c r="R757" s="4"/>
      <c r="S757" s="4"/>
      <c r="T757" s="4"/>
      <c r="U757" s="4"/>
      <c r="V757" s="4"/>
      <c r="W757" s="4"/>
    </row>
    <row r="758" spans="14:23" x14ac:dyDescent="0.4">
      <c r="N758" s="114"/>
      <c r="O758" s="115"/>
      <c r="P758" s="4"/>
      <c r="Q758" s="4"/>
      <c r="R758" s="4"/>
      <c r="S758" s="4"/>
      <c r="T758" s="4"/>
      <c r="U758" s="4"/>
      <c r="V758" s="4"/>
      <c r="W758" s="4"/>
    </row>
    <row r="759" spans="14:23" x14ac:dyDescent="0.4">
      <c r="N759" s="114"/>
      <c r="O759" s="115"/>
      <c r="P759" s="4"/>
      <c r="Q759" s="4"/>
      <c r="R759" s="4"/>
      <c r="S759" s="4"/>
      <c r="T759" s="4"/>
      <c r="U759" s="4"/>
      <c r="V759" s="4"/>
      <c r="W759" s="4"/>
    </row>
    <row r="760" spans="14:23" x14ac:dyDescent="0.4">
      <c r="N760" s="114"/>
      <c r="O760" s="115"/>
      <c r="P760" s="4"/>
      <c r="Q760" s="4"/>
      <c r="R760" s="4"/>
      <c r="S760" s="4"/>
      <c r="T760" s="4"/>
      <c r="U760" s="4"/>
      <c r="V760" s="4"/>
      <c r="W760" s="4"/>
    </row>
    <row r="761" spans="14:23" x14ac:dyDescent="0.4">
      <c r="N761" s="114"/>
      <c r="O761" s="115"/>
      <c r="P761" s="4"/>
      <c r="Q761" s="4"/>
      <c r="R761" s="4"/>
      <c r="S761" s="4"/>
      <c r="T761" s="4"/>
      <c r="U761" s="4"/>
      <c r="V761" s="4"/>
      <c r="W761" s="4"/>
    </row>
    <row r="762" spans="14:23" x14ac:dyDescent="0.4">
      <c r="N762" s="114"/>
      <c r="O762" s="115"/>
      <c r="P762" s="4"/>
      <c r="Q762" s="4"/>
      <c r="R762" s="4"/>
      <c r="S762" s="4"/>
      <c r="T762" s="4"/>
      <c r="U762" s="4"/>
      <c r="V762" s="4"/>
      <c r="W762" s="4"/>
    </row>
    <row r="763" spans="14:23" x14ac:dyDescent="0.4">
      <c r="N763" s="114"/>
      <c r="O763" s="115"/>
      <c r="P763" s="4"/>
      <c r="Q763" s="4"/>
      <c r="R763" s="4"/>
      <c r="S763" s="4"/>
      <c r="T763" s="4"/>
      <c r="U763" s="4"/>
      <c r="V763" s="4"/>
      <c r="W763" s="4"/>
    </row>
    <row r="764" spans="14:23" x14ac:dyDescent="0.4">
      <c r="N764" s="114"/>
      <c r="O764" s="115"/>
      <c r="P764" s="4"/>
      <c r="Q764" s="4"/>
      <c r="R764" s="4"/>
      <c r="S764" s="4"/>
      <c r="T764" s="4"/>
      <c r="U764" s="4"/>
      <c r="V764" s="4"/>
      <c r="W764" s="4"/>
    </row>
    <row r="765" spans="14:23" x14ac:dyDescent="0.4">
      <c r="N765" s="114"/>
      <c r="O765" s="115"/>
      <c r="P765" s="4"/>
      <c r="Q765" s="4"/>
      <c r="R765" s="4"/>
      <c r="S765" s="4"/>
      <c r="T765" s="4"/>
      <c r="U765" s="4"/>
      <c r="V765" s="4"/>
      <c r="W765" s="4"/>
    </row>
    <row r="766" spans="14:23" x14ac:dyDescent="0.4">
      <c r="N766" s="114"/>
      <c r="O766" s="115"/>
      <c r="P766" s="4"/>
      <c r="Q766" s="4"/>
      <c r="R766" s="4"/>
      <c r="S766" s="4"/>
      <c r="T766" s="4"/>
      <c r="U766" s="4"/>
      <c r="V766" s="4"/>
      <c r="W766" s="4"/>
    </row>
    <row r="767" spans="14:23" x14ac:dyDescent="0.4">
      <c r="N767" s="114"/>
      <c r="O767" s="115"/>
      <c r="P767" s="4"/>
      <c r="Q767" s="4"/>
      <c r="R767" s="4"/>
      <c r="S767" s="4"/>
      <c r="T767" s="4"/>
      <c r="U767" s="4"/>
      <c r="V767" s="4"/>
      <c r="W767" s="4"/>
    </row>
    <row r="768" spans="14:23" x14ac:dyDescent="0.4">
      <c r="N768" s="114"/>
      <c r="O768" s="115"/>
      <c r="P768" s="4"/>
      <c r="Q768" s="4"/>
      <c r="R768" s="4"/>
      <c r="S768" s="4"/>
      <c r="T768" s="4"/>
      <c r="U768" s="4"/>
      <c r="V768" s="4"/>
      <c r="W768" s="4"/>
    </row>
    <row r="769" spans="14:23" x14ac:dyDescent="0.4">
      <c r="N769" s="114"/>
      <c r="O769" s="115"/>
      <c r="P769" s="4"/>
      <c r="Q769" s="4"/>
      <c r="R769" s="4"/>
      <c r="S769" s="4"/>
      <c r="T769" s="4"/>
      <c r="U769" s="4"/>
      <c r="V769" s="4"/>
      <c r="W769" s="4"/>
    </row>
    <row r="770" spans="14:23" x14ac:dyDescent="0.4">
      <c r="N770" s="114"/>
      <c r="O770" s="115"/>
      <c r="P770" s="4"/>
      <c r="Q770" s="4"/>
      <c r="R770" s="4"/>
      <c r="S770" s="4"/>
      <c r="T770" s="4"/>
      <c r="U770" s="4"/>
      <c r="V770" s="4"/>
      <c r="W770" s="4"/>
    </row>
    <row r="771" spans="14:23" x14ac:dyDescent="0.4">
      <c r="N771" s="114"/>
      <c r="O771" s="115"/>
      <c r="P771" s="4"/>
      <c r="Q771" s="4"/>
      <c r="R771" s="4"/>
      <c r="S771" s="4"/>
      <c r="T771" s="4"/>
      <c r="U771" s="4"/>
      <c r="V771" s="4"/>
      <c r="W771" s="4"/>
    </row>
    <row r="772" spans="14:23" x14ac:dyDescent="0.4">
      <c r="N772" s="114"/>
      <c r="O772" s="115"/>
      <c r="P772" s="4"/>
      <c r="Q772" s="4"/>
      <c r="R772" s="4"/>
      <c r="S772" s="4"/>
      <c r="T772" s="4"/>
      <c r="U772" s="4"/>
      <c r="V772" s="4"/>
      <c r="W772" s="4"/>
    </row>
    <row r="773" spans="14:23" x14ac:dyDescent="0.4">
      <c r="N773" s="114"/>
      <c r="O773" s="115"/>
      <c r="P773" s="4"/>
      <c r="Q773" s="4"/>
      <c r="R773" s="4"/>
      <c r="S773" s="4"/>
      <c r="T773" s="4"/>
      <c r="U773" s="4"/>
      <c r="V773" s="4"/>
      <c r="W773" s="4"/>
    </row>
    <row r="774" spans="14:23" x14ac:dyDescent="0.4">
      <c r="N774" s="114"/>
      <c r="O774" s="115"/>
      <c r="P774" s="4"/>
      <c r="Q774" s="4"/>
      <c r="R774" s="4"/>
      <c r="S774" s="4"/>
      <c r="T774" s="4"/>
      <c r="U774" s="4"/>
      <c r="V774" s="4"/>
      <c r="W774" s="4"/>
    </row>
    <row r="775" spans="14:23" x14ac:dyDescent="0.4">
      <c r="N775" s="114"/>
      <c r="O775" s="115"/>
      <c r="P775" s="4"/>
      <c r="Q775" s="4"/>
      <c r="R775" s="4"/>
      <c r="S775" s="4"/>
      <c r="T775" s="4"/>
      <c r="U775" s="4"/>
      <c r="V775" s="4"/>
      <c r="W775" s="4"/>
    </row>
    <row r="776" spans="14:23" x14ac:dyDescent="0.4">
      <c r="N776" s="114"/>
      <c r="O776" s="115"/>
      <c r="P776" s="4"/>
      <c r="Q776" s="4"/>
      <c r="R776" s="4"/>
      <c r="S776" s="4"/>
      <c r="T776" s="4"/>
      <c r="U776" s="4"/>
      <c r="V776" s="4"/>
      <c r="W776" s="4"/>
    </row>
    <row r="777" spans="14:23" x14ac:dyDescent="0.4">
      <c r="N777" s="114"/>
      <c r="O777" s="115"/>
      <c r="P777" s="4"/>
      <c r="Q777" s="4"/>
      <c r="R777" s="4"/>
      <c r="S777" s="4"/>
      <c r="T777" s="4"/>
      <c r="U777" s="4"/>
      <c r="V777" s="4"/>
      <c r="W777" s="4"/>
    </row>
    <row r="778" spans="14:23" x14ac:dyDescent="0.4">
      <c r="N778" s="114"/>
      <c r="O778" s="115"/>
      <c r="P778" s="4"/>
      <c r="Q778" s="4"/>
      <c r="R778" s="4"/>
      <c r="S778" s="4"/>
      <c r="T778" s="4"/>
      <c r="U778" s="4"/>
      <c r="V778" s="4"/>
      <c r="W778" s="4"/>
    </row>
    <row r="779" spans="14:23" x14ac:dyDescent="0.4">
      <c r="N779" s="114"/>
      <c r="O779" s="115"/>
      <c r="P779" s="4"/>
      <c r="Q779" s="4"/>
      <c r="R779" s="4"/>
      <c r="S779" s="4"/>
      <c r="T779" s="4"/>
      <c r="U779" s="4"/>
      <c r="V779" s="4"/>
      <c r="W779" s="4"/>
    </row>
    <row r="780" spans="14:23" x14ac:dyDescent="0.4">
      <c r="N780" s="114"/>
      <c r="O780" s="115"/>
      <c r="P780" s="4"/>
      <c r="Q780" s="4"/>
      <c r="R780" s="4"/>
      <c r="S780" s="4"/>
      <c r="T780" s="4"/>
      <c r="U780" s="4"/>
      <c r="V780" s="4"/>
      <c r="W780" s="4"/>
    </row>
    <row r="781" spans="14:23" x14ac:dyDescent="0.4">
      <c r="N781" s="114"/>
      <c r="O781" s="115"/>
      <c r="P781" s="4"/>
      <c r="Q781" s="4"/>
      <c r="R781" s="4"/>
      <c r="S781" s="4"/>
      <c r="T781" s="4"/>
      <c r="U781" s="4"/>
      <c r="V781" s="4"/>
      <c r="W781" s="4"/>
    </row>
    <row r="782" spans="14:23" x14ac:dyDescent="0.4">
      <c r="N782" s="114"/>
      <c r="O782" s="115"/>
      <c r="P782" s="4"/>
      <c r="Q782" s="4"/>
      <c r="R782" s="4"/>
      <c r="S782" s="4"/>
      <c r="T782" s="4"/>
      <c r="U782" s="4"/>
      <c r="V782" s="4"/>
      <c r="W782" s="4"/>
    </row>
    <row r="783" spans="14:23" x14ac:dyDescent="0.4">
      <c r="N783" s="114"/>
      <c r="O783" s="115"/>
      <c r="P783" s="4"/>
      <c r="Q783" s="4"/>
      <c r="R783" s="4"/>
      <c r="S783" s="4"/>
      <c r="T783" s="4"/>
      <c r="U783" s="4"/>
      <c r="V783" s="4"/>
      <c r="W783" s="4"/>
    </row>
    <row r="784" spans="14:23" x14ac:dyDescent="0.4">
      <c r="N784" s="114"/>
      <c r="O784" s="115"/>
      <c r="P784" s="4"/>
      <c r="Q784" s="4"/>
      <c r="R784" s="4"/>
      <c r="S784" s="4"/>
      <c r="T784" s="4"/>
      <c r="U784" s="4"/>
      <c r="V784" s="4"/>
      <c r="W784" s="4"/>
    </row>
    <row r="785" spans="14:23" x14ac:dyDescent="0.4">
      <c r="N785" s="114"/>
      <c r="O785" s="115"/>
      <c r="P785" s="4"/>
      <c r="Q785" s="4"/>
      <c r="R785" s="4"/>
      <c r="S785" s="4"/>
      <c r="T785" s="4"/>
      <c r="U785" s="4"/>
      <c r="V785" s="4"/>
      <c r="W785" s="4"/>
    </row>
    <row r="786" spans="14:23" x14ac:dyDescent="0.4">
      <c r="N786" s="114"/>
      <c r="O786" s="115"/>
      <c r="P786" s="4"/>
      <c r="Q786" s="4"/>
      <c r="R786" s="4"/>
      <c r="S786" s="4"/>
      <c r="T786" s="4"/>
      <c r="U786" s="4"/>
      <c r="V786" s="4"/>
      <c r="W786" s="4"/>
    </row>
    <row r="787" spans="14:23" x14ac:dyDescent="0.4">
      <c r="N787" s="114"/>
      <c r="O787" s="115"/>
      <c r="P787" s="4"/>
      <c r="Q787" s="4"/>
      <c r="R787" s="4"/>
      <c r="S787" s="4"/>
      <c r="T787" s="4"/>
      <c r="U787" s="4"/>
      <c r="V787" s="4"/>
      <c r="W787" s="4"/>
    </row>
    <row r="788" spans="14:23" x14ac:dyDescent="0.4">
      <c r="N788" s="114"/>
      <c r="O788" s="115"/>
      <c r="P788" s="4"/>
      <c r="Q788" s="4"/>
      <c r="R788" s="4"/>
      <c r="S788" s="4"/>
      <c r="T788" s="4"/>
      <c r="U788" s="4"/>
      <c r="V788" s="4"/>
      <c r="W788" s="4"/>
    </row>
    <row r="789" spans="14:23" x14ac:dyDescent="0.4">
      <c r="N789" s="114"/>
      <c r="O789" s="115"/>
      <c r="P789" s="4"/>
      <c r="Q789" s="4"/>
      <c r="R789" s="4"/>
      <c r="S789" s="4"/>
      <c r="T789" s="4"/>
      <c r="U789" s="4"/>
      <c r="V789" s="4"/>
      <c r="W789" s="4"/>
    </row>
    <row r="790" spans="14:23" x14ac:dyDescent="0.4">
      <c r="N790" s="114"/>
      <c r="O790" s="115"/>
      <c r="P790" s="4"/>
      <c r="Q790" s="4"/>
      <c r="R790" s="4"/>
      <c r="S790" s="4"/>
      <c r="T790" s="4"/>
      <c r="U790" s="4"/>
      <c r="V790" s="4"/>
      <c r="W790" s="4"/>
    </row>
    <row r="791" spans="14:23" x14ac:dyDescent="0.4">
      <c r="N791" s="114"/>
      <c r="O791" s="115"/>
      <c r="P791" s="4"/>
      <c r="Q791" s="4"/>
      <c r="R791" s="4"/>
      <c r="S791" s="4"/>
      <c r="T791" s="4"/>
      <c r="U791" s="4"/>
      <c r="V791" s="4"/>
      <c r="W791" s="4"/>
    </row>
    <row r="792" spans="14:23" x14ac:dyDescent="0.4">
      <c r="N792" s="114"/>
      <c r="O792" s="115"/>
      <c r="P792" s="4"/>
      <c r="Q792" s="4"/>
      <c r="R792" s="4"/>
      <c r="S792" s="4"/>
      <c r="T792" s="4"/>
      <c r="U792" s="4"/>
      <c r="V792" s="4"/>
      <c r="W792" s="4"/>
    </row>
    <row r="793" spans="14:23" x14ac:dyDescent="0.4">
      <c r="N793" s="114"/>
      <c r="O793" s="115"/>
      <c r="P793" s="4"/>
      <c r="Q793" s="4"/>
      <c r="R793" s="4"/>
      <c r="S793" s="4"/>
      <c r="T793" s="4"/>
      <c r="U793" s="4"/>
      <c r="V793" s="4"/>
      <c r="W793" s="4"/>
    </row>
    <row r="794" spans="14:23" x14ac:dyDescent="0.4">
      <c r="N794" s="114"/>
      <c r="O794" s="115"/>
      <c r="P794" s="4"/>
      <c r="Q794" s="4"/>
      <c r="R794" s="4"/>
      <c r="S794" s="4"/>
      <c r="T794" s="4"/>
      <c r="U794" s="4"/>
      <c r="V794" s="4"/>
      <c r="W794" s="4"/>
    </row>
    <row r="795" spans="14:23" x14ac:dyDescent="0.4">
      <c r="N795" s="114"/>
      <c r="O795" s="115"/>
      <c r="P795" s="4"/>
      <c r="Q795" s="4"/>
      <c r="R795" s="4"/>
      <c r="S795" s="4"/>
      <c r="T795" s="4"/>
      <c r="U795" s="4"/>
      <c r="V795" s="4"/>
      <c r="W795" s="4"/>
    </row>
    <row r="796" spans="14:23" x14ac:dyDescent="0.4">
      <c r="N796" s="114"/>
      <c r="O796" s="115"/>
      <c r="P796" s="4"/>
      <c r="Q796" s="4"/>
      <c r="R796" s="4"/>
      <c r="S796" s="4"/>
      <c r="T796" s="4"/>
      <c r="U796" s="4"/>
      <c r="V796" s="4"/>
      <c r="W796" s="4"/>
    </row>
    <row r="797" spans="14:23" x14ac:dyDescent="0.4">
      <c r="N797" s="114"/>
      <c r="O797" s="115"/>
      <c r="P797" s="4"/>
      <c r="Q797" s="4"/>
      <c r="R797" s="4"/>
      <c r="S797" s="4"/>
      <c r="T797" s="4"/>
      <c r="U797" s="4"/>
      <c r="V797" s="4"/>
      <c r="W797" s="4"/>
    </row>
    <row r="798" spans="14:23" x14ac:dyDescent="0.4">
      <c r="N798" s="114"/>
      <c r="O798" s="115"/>
      <c r="P798" s="4"/>
      <c r="Q798" s="4"/>
      <c r="R798" s="4"/>
      <c r="S798" s="4"/>
      <c r="T798" s="4"/>
      <c r="U798" s="4"/>
      <c r="V798" s="4"/>
      <c r="W798" s="4"/>
    </row>
    <row r="799" spans="14:23" x14ac:dyDescent="0.4">
      <c r="N799" s="114"/>
      <c r="O799" s="115"/>
      <c r="P799" s="4"/>
      <c r="Q799" s="4"/>
      <c r="R799" s="4"/>
      <c r="S799" s="4"/>
      <c r="T799" s="4"/>
      <c r="U799" s="4"/>
      <c r="V799" s="4"/>
      <c r="W799" s="4"/>
    </row>
    <row r="800" spans="14:23" x14ac:dyDescent="0.4">
      <c r="N800" s="114"/>
      <c r="O800" s="115"/>
      <c r="P800" s="4"/>
      <c r="Q800" s="4"/>
      <c r="R800" s="4"/>
      <c r="S800" s="4"/>
      <c r="T800" s="4"/>
      <c r="U800" s="4"/>
      <c r="V800" s="4"/>
      <c r="W800" s="4"/>
    </row>
    <row r="801" spans="14:23" x14ac:dyDescent="0.4">
      <c r="N801" s="114"/>
      <c r="O801" s="115"/>
      <c r="P801" s="4"/>
      <c r="Q801" s="4"/>
      <c r="R801" s="4"/>
      <c r="S801" s="4"/>
      <c r="T801" s="4"/>
      <c r="U801" s="4"/>
      <c r="V801" s="4"/>
      <c r="W801" s="4"/>
    </row>
    <row r="802" spans="14:23" x14ac:dyDescent="0.4">
      <c r="N802" s="114"/>
      <c r="O802" s="115"/>
      <c r="P802" s="4"/>
      <c r="Q802" s="4"/>
      <c r="R802" s="4"/>
      <c r="S802" s="4"/>
      <c r="T802" s="4"/>
      <c r="U802" s="4"/>
      <c r="V802" s="4"/>
      <c r="W802" s="4"/>
    </row>
    <row r="803" spans="14:23" x14ac:dyDescent="0.4">
      <c r="N803" s="114"/>
      <c r="O803" s="115"/>
      <c r="P803" s="4"/>
      <c r="Q803" s="4"/>
      <c r="R803" s="4"/>
      <c r="S803" s="4"/>
      <c r="T803" s="4"/>
      <c r="U803" s="4"/>
      <c r="V803" s="4"/>
      <c r="W803" s="4"/>
    </row>
    <row r="804" spans="14:23" x14ac:dyDescent="0.4">
      <c r="N804" s="114"/>
      <c r="O804" s="115"/>
      <c r="P804" s="4"/>
      <c r="Q804" s="4"/>
      <c r="R804" s="4"/>
      <c r="S804" s="4"/>
      <c r="T804" s="4"/>
      <c r="U804" s="4"/>
      <c r="V804" s="4"/>
      <c r="W804" s="4"/>
    </row>
    <row r="805" spans="14:23" x14ac:dyDescent="0.4">
      <c r="N805" s="114"/>
      <c r="O805" s="115"/>
      <c r="P805" s="4"/>
      <c r="Q805" s="4"/>
      <c r="R805" s="4"/>
      <c r="S805" s="4"/>
      <c r="T805" s="4"/>
      <c r="U805" s="4"/>
      <c r="V805" s="4"/>
      <c r="W805" s="4"/>
    </row>
    <row r="806" spans="14:23" x14ac:dyDescent="0.4">
      <c r="N806" s="114"/>
      <c r="O806" s="115"/>
      <c r="P806" s="4"/>
      <c r="Q806" s="4"/>
      <c r="R806" s="4"/>
      <c r="S806" s="4"/>
      <c r="T806" s="4"/>
      <c r="U806" s="4"/>
      <c r="V806" s="4"/>
      <c r="W806" s="4"/>
    </row>
    <row r="807" spans="14:23" x14ac:dyDescent="0.4">
      <c r="N807" s="114"/>
      <c r="O807" s="115"/>
      <c r="P807" s="4"/>
      <c r="Q807" s="4"/>
      <c r="R807" s="4"/>
      <c r="S807" s="4"/>
      <c r="T807" s="4"/>
      <c r="U807" s="4"/>
      <c r="V807" s="4"/>
      <c r="W807" s="4"/>
    </row>
    <row r="808" spans="14:23" x14ac:dyDescent="0.4">
      <c r="N808" s="114"/>
      <c r="O808" s="115"/>
      <c r="P808" s="4"/>
      <c r="Q808" s="4"/>
      <c r="R808" s="4"/>
      <c r="S808" s="4"/>
      <c r="T808" s="4"/>
      <c r="U808" s="4"/>
      <c r="V808" s="4"/>
      <c r="W808" s="4"/>
    </row>
    <row r="809" spans="14:23" x14ac:dyDescent="0.4">
      <c r="N809" s="114"/>
      <c r="O809" s="115"/>
      <c r="P809" s="4"/>
      <c r="Q809" s="4"/>
      <c r="R809" s="4"/>
      <c r="S809" s="4"/>
      <c r="T809" s="4"/>
      <c r="U809" s="4"/>
      <c r="V809" s="4"/>
      <c r="W809" s="4"/>
    </row>
    <row r="810" spans="14:23" x14ac:dyDescent="0.4">
      <c r="N810" s="114"/>
      <c r="O810" s="115"/>
      <c r="P810" s="4"/>
      <c r="Q810" s="4"/>
      <c r="R810" s="4"/>
      <c r="S810" s="4"/>
      <c r="T810" s="4"/>
      <c r="U810" s="4"/>
      <c r="V810" s="4"/>
      <c r="W810" s="4"/>
    </row>
    <row r="811" spans="14:23" x14ac:dyDescent="0.4">
      <c r="N811" s="114"/>
      <c r="O811" s="115"/>
      <c r="P811" s="4"/>
      <c r="Q811" s="4"/>
      <c r="R811" s="4"/>
      <c r="S811" s="4"/>
      <c r="T811" s="4"/>
      <c r="U811" s="4"/>
      <c r="V811" s="4"/>
      <c r="W811" s="4"/>
    </row>
    <row r="812" spans="14:23" x14ac:dyDescent="0.4">
      <c r="N812" s="114"/>
      <c r="O812" s="115"/>
      <c r="P812" s="4"/>
      <c r="Q812" s="4"/>
      <c r="R812" s="4"/>
      <c r="S812" s="4"/>
      <c r="T812" s="4"/>
      <c r="U812" s="4"/>
      <c r="V812" s="4"/>
      <c r="W812" s="4"/>
    </row>
    <row r="813" spans="14:23" x14ac:dyDescent="0.4">
      <c r="N813" s="114"/>
      <c r="O813" s="115"/>
      <c r="P813" s="4"/>
      <c r="Q813" s="4"/>
      <c r="R813" s="4"/>
      <c r="S813" s="4"/>
      <c r="T813" s="4"/>
      <c r="U813" s="4"/>
      <c r="V813" s="4"/>
      <c r="W813" s="4"/>
    </row>
    <row r="814" spans="14:23" x14ac:dyDescent="0.4">
      <c r="N814" s="114"/>
      <c r="O814" s="115"/>
      <c r="P814" s="4"/>
      <c r="Q814" s="4"/>
      <c r="R814" s="4"/>
      <c r="S814" s="4"/>
      <c r="T814" s="4"/>
      <c r="U814" s="4"/>
      <c r="V814" s="4"/>
      <c r="W814" s="4"/>
    </row>
    <row r="815" spans="14:23" x14ac:dyDescent="0.4">
      <c r="N815" s="114"/>
      <c r="O815" s="115"/>
      <c r="P815" s="4"/>
      <c r="Q815" s="4"/>
      <c r="R815" s="4"/>
      <c r="S815" s="4"/>
      <c r="T815" s="4"/>
      <c r="U815" s="4"/>
      <c r="V815" s="4"/>
      <c r="W815" s="4"/>
    </row>
    <row r="816" spans="14:23" x14ac:dyDescent="0.4">
      <c r="N816" s="114"/>
      <c r="O816" s="115"/>
      <c r="P816" s="4"/>
      <c r="Q816" s="4"/>
      <c r="R816" s="4"/>
      <c r="S816" s="4"/>
      <c r="T816" s="4"/>
      <c r="U816" s="4"/>
      <c r="V816" s="4"/>
      <c r="W816" s="4"/>
    </row>
    <row r="817" spans="14:23" x14ac:dyDescent="0.4">
      <c r="N817" s="114"/>
      <c r="O817" s="115"/>
      <c r="P817" s="4"/>
      <c r="Q817" s="4"/>
      <c r="R817" s="4"/>
      <c r="S817" s="4"/>
      <c r="T817" s="4"/>
      <c r="U817" s="4"/>
      <c r="V817" s="4"/>
      <c r="W817" s="4"/>
    </row>
    <row r="818" spans="14:23" x14ac:dyDescent="0.4">
      <c r="N818" s="114"/>
      <c r="O818" s="115"/>
      <c r="P818" s="4"/>
      <c r="Q818" s="4"/>
      <c r="R818" s="4"/>
      <c r="S818" s="4"/>
      <c r="T818" s="4"/>
      <c r="U818" s="4"/>
      <c r="V818" s="4"/>
      <c r="W818" s="4"/>
    </row>
    <row r="819" spans="14:23" x14ac:dyDescent="0.4">
      <c r="N819" s="114"/>
      <c r="O819" s="115"/>
      <c r="P819" s="4"/>
      <c r="Q819" s="4"/>
      <c r="R819" s="4"/>
      <c r="S819" s="4"/>
      <c r="T819" s="4"/>
      <c r="U819" s="4"/>
      <c r="V819" s="4"/>
      <c r="W819" s="4"/>
    </row>
    <row r="820" spans="14:23" x14ac:dyDescent="0.4">
      <c r="N820" s="114"/>
      <c r="O820" s="115"/>
      <c r="P820" s="4"/>
      <c r="Q820" s="4"/>
      <c r="R820" s="4"/>
      <c r="S820" s="4"/>
      <c r="T820" s="4"/>
      <c r="U820" s="4"/>
      <c r="V820" s="4"/>
      <c r="W820" s="4"/>
    </row>
    <row r="821" spans="14:23" x14ac:dyDescent="0.4">
      <c r="N821" s="114"/>
      <c r="O821" s="115"/>
      <c r="P821" s="4"/>
      <c r="Q821" s="4"/>
      <c r="R821" s="4"/>
      <c r="S821" s="4"/>
      <c r="T821" s="4"/>
      <c r="U821" s="4"/>
      <c r="V821" s="4"/>
      <c r="W821" s="4"/>
    </row>
    <row r="822" spans="14:23" x14ac:dyDescent="0.4">
      <c r="N822" s="114"/>
      <c r="O822" s="115"/>
      <c r="P822" s="4"/>
      <c r="Q822" s="4"/>
      <c r="R822" s="4"/>
      <c r="S822" s="4"/>
      <c r="T822" s="4"/>
      <c r="U822" s="4"/>
      <c r="V822" s="4"/>
      <c r="W822" s="4"/>
    </row>
    <row r="823" spans="14:23" x14ac:dyDescent="0.4">
      <c r="N823" s="114"/>
      <c r="O823" s="115"/>
      <c r="P823" s="4"/>
      <c r="Q823" s="4"/>
      <c r="R823" s="4"/>
      <c r="S823" s="4"/>
      <c r="T823" s="4"/>
      <c r="U823" s="4"/>
      <c r="V823" s="4"/>
      <c r="W823" s="4"/>
    </row>
    <row r="824" spans="14:23" x14ac:dyDescent="0.4">
      <c r="N824" s="114"/>
      <c r="O824" s="115"/>
      <c r="P824" s="4"/>
      <c r="Q824" s="4"/>
      <c r="R824" s="4"/>
      <c r="S824" s="4"/>
      <c r="T824" s="4"/>
      <c r="U824" s="4"/>
      <c r="V824" s="4"/>
      <c r="W824" s="4"/>
    </row>
    <row r="825" spans="14:23" x14ac:dyDescent="0.4">
      <c r="N825" s="114"/>
      <c r="O825" s="115"/>
      <c r="P825" s="4"/>
      <c r="Q825" s="4"/>
      <c r="R825" s="4"/>
      <c r="S825" s="4"/>
      <c r="T825" s="4"/>
      <c r="U825" s="4"/>
      <c r="V825" s="4"/>
      <c r="W825" s="4"/>
    </row>
    <row r="826" spans="14:23" x14ac:dyDescent="0.4">
      <c r="N826" s="114"/>
      <c r="O826" s="115"/>
      <c r="P826" s="4"/>
      <c r="Q826" s="4"/>
      <c r="R826" s="4"/>
      <c r="S826" s="4"/>
      <c r="T826" s="4"/>
      <c r="U826" s="4"/>
      <c r="V826" s="4"/>
      <c r="W826" s="4"/>
    </row>
    <row r="827" spans="14:23" x14ac:dyDescent="0.4">
      <c r="N827" s="114"/>
      <c r="O827" s="115"/>
      <c r="P827" s="4"/>
      <c r="Q827" s="4"/>
      <c r="R827" s="4"/>
      <c r="S827" s="4"/>
      <c r="T827" s="4"/>
      <c r="U827" s="4"/>
      <c r="V827" s="4"/>
      <c r="W827" s="4"/>
    </row>
    <row r="828" spans="14:23" x14ac:dyDescent="0.4">
      <c r="N828" s="114"/>
      <c r="O828" s="115"/>
      <c r="P828" s="4"/>
      <c r="Q828" s="4"/>
      <c r="R828" s="4"/>
      <c r="S828" s="4"/>
      <c r="T828" s="4"/>
      <c r="U828" s="4"/>
      <c r="V828" s="4"/>
      <c r="W828" s="4"/>
    </row>
    <row r="829" spans="14:23" x14ac:dyDescent="0.4">
      <c r="N829" s="114"/>
      <c r="O829" s="115"/>
      <c r="P829" s="4"/>
      <c r="Q829" s="4"/>
      <c r="R829" s="4"/>
      <c r="S829" s="4"/>
      <c r="T829" s="4"/>
      <c r="U829" s="4"/>
      <c r="V829" s="4"/>
      <c r="W829" s="4"/>
    </row>
    <row r="830" spans="14:23" x14ac:dyDescent="0.4">
      <c r="N830" s="114"/>
      <c r="O830" s="115"/>
      <c r="P830" s="4"/>
      <c r="Q830" s="4"/>
      <c r="R830" s="4"/>
      <c r="S830" s="4"/>
      <c r="T830" s="4"/>
      <c r="U830" s="4"/>
      <c r="V830" s="4"/>
      <c r="W830" s="4"/>
    </row>
    <row r="831" spans="14:23" x14ac:dyDescent="0.4">
      <c r="N831" s="114"/>
      <c r="O831" s="115"/>
      <c r="P831" s="4"/>
      <c r="Q831" s="4"/>
      <c r="R831" s="4"/>
      <c r="S831" s="4"/>
      <c r="T831" s="4"/>
      <c r="U831" s="4"/>
      <c r="V831" s="4"/>
      <c r="W831" s="4"/>
    </row>
    <row r="832" spans="14:23" x14ac:dyDescent="0.4">
      <c r="N832" s="114"/>
      <c r="O832" s="115"/>
      <c r="P832" s="4"/>
      <c r="Q832" s="4"/>
      <c r="R832" s="4"/>
      <c r="S832" s="4"/>
      <c r="T832" s="4"/>
      <c r="U832" s="4"/>
      <c r="V832" s="4"/>
      <c r="W832" s="4"/>
    </row>
    <row r="833" spans="14:23" x14ac:dyDescent="0.4">
      <c r="N833" s="114"/>
      <c r="O833" s="115"/>
      <c r="P833" s="4"/>
      <c r="Q833" s="4"/>
      <c r="R833" s="4"/>
      <c r="S833" s="4"/>
      <c r="T833" s="4"/>
      <c r="U833" s="4"/>
      <c r="V833" s="4"/>
      <c r="W833" s="4"/>
    </row>
    <row r="834" spans="14:23" x14ac:dyDescent="0.4">
      <c r="N834" s="114"/>
      <c r="O834" s="115"/>
      <c r="P834" s="4"/>
      <c r="Q834" s="4"/>
      <c r="R834" s="4"/>
      <c r="S834" s="4"/>
      <c r="T834" s="4"/>
      <c r="U834" s="4"/>
      <c r="V834" s="4"/>
      <c r="W834" s="4"/>
    </row>
    <row r="835" spans="14:23" x14ac:dyDescent="0.4">
      <c r="N835" s="114"/>
      <c r="O835" s="115"/>
      <c r="P835" s="4"/>
      <c r="Q835" s="4"/>
      <c r="R835" s="4"/>
      <c r="S835" s="4"/>
      <c r="T835" s="4"/>
      <c r="U835" s="4"/>
      <c r="V835" s="4"/>
      <c r="W835" s="4"/>
    </row>
    <row r="836" spans="14:23" x14ac:dyDescent="0.4">
      <c r="N836" s="114"/>
      <c r="O836" s="115"/>
      <c r="P836" s="4"/>
      <c r="Q836" s="4"/>
      <c r="R836" s="4"/>
      <c r="S836" s="4"/>
      <c r="T836" s="4"/>
      <c r="U836" s="4"/>
      <c r="V836" s="4"/>
      <c r="W836" s="4"/>
    </row>
    <row r="837" spans="14:23" x14ac:dyDescent="0.4">
      <c r="N837" s="114"/>
      <c r="O837" s="115"/>
      <c r="P837" s="4"/>
      <c r="Q837" s="4"/>
      <c r="R837" s="4"/>
      <c r="S837" s="4"/>
      <c r="T837" s="4"/>
      <c r="U837" s="4"/>
      <c r="V837" s="4"/>
      <c r="W837" s="4"/>
    </row>
    <row r="838" spans="14:23" x14ac:dyDescent="0.4">
      <c r="N838" s="114"/>
      <c r="O838" s="115"/>
      <c r="P838" s="4"/>
      <c r="Q838" s="4"/>
      <c r="R838" s="4"/>
      <c r="S838" s="4"/>
      <c r="T838" s="4"/>
      <c r="U838" s="4"/>
      <c r="V838" s="4"/>
      <c r="W838" s="4"/>
    </row>
    <row r="839" spans="14:23" x14ac:dyDescent="0.4">
      <c r="N839" s="114"/>
      <c r="O839" s="115"/>
      <c r="P839" s="4"/>
      <c r="Q839" s="4"/>
      <c r="R839" s="4"/>
      <c r="S839" s="4"/>
      <c r="T839" s="4"/>
      <c r="U839" s="4"/>
      <c r="V839" s="4"/>
      <c r="W839" s="4"/>
    </row>
    <row r="840" spans="14:23" x14ac:dyDescent="0.4">
      <c r="N840" s="114"/>
      <c r="O840" s="115"/>
      <c r="P840" s="4"/>
      <c r="Q840" s="4"/>
      <c r="R840" s="4"/>
      <c r="S840" s="4"/>
      <c r="T840" s="4"/>
      <c r="U840" s="4"/>
      <c r="V840" s="4"/>
      <c r="W840" s="4"/>
    </row>
    <row r="841" spans="14:23" x14ac:dyDescent="0.4">
      <c r="N841" s="114"/>
      <c r="O841" s="115"/>
      <c r="P841" s="4"/>
      <c r="Q841" s="4"/>
      <c r="R841" s="4"/>
      <c r="S841" s="4"/>
      <c r="T841" s="4"/>
      <c r="U841" s="4"/>
      <c r="V841" s="4"/>
      <c r="W841" s="4"/>
    </row>
    <row r="842" spans="14:23" x14ac:dyDescent="0.4">
      <c r="N842" s="114"/>
      <c r="O842" s="115"/>
      <c r="P842" s="4"/>
      <c r="Q842" s="4"/>
      <c r="R842" s="4"/>
      <c r="S842" s="4"/>
      <c r="T842" s="4"/>
      <c r="U842" s="4"/>
      <c r="V842" s="4"/>
      <c r="W842" s="4"/>
    </row>
    <row r="843" spans="14:23" x14ac:dyDescent="0.4">
      <c r="N843" s="114"/>
      <c r="O843" s="115"/>
      <c r="P843" s="4"/>
      <c r="Q843" s="4"/>
      <c r="R843" s="4"/>
      <c r="S843" s="4"/>
      <c r="T843" s="4"/>
      <c r="U843" s="4"/>
      <c r="V843" s="4"/>
      <c r="W843" s="4"/>
    </row>
    <row r="844" spans="14:23" x14ac:dyDescent="0.4">
      <c r="N844" s="114"/>
      <c r="O844" s="115"/>
      <c r="P844" s="4"/>
      <c r="Q844" s="4"/>
      <c r="R844" s="4"/>
      <c r="S844" s="4"/>
      <c r="T844" s="4"/>
      <c r="U844" s="4"/>
      <c r="V844" s="4"/>
      <c r="W844" s="4"/>
    </row>
    <row r="845" spans="14:23" x14ac:dyDescent="0.4">
      <c r="N845" s="114"/>
      <c r="O845" s="115"/>
      <c r="P845" s="4"/>
      <c r="Q845" s="4"/>
      <c r="R845" s="4"/>
      <c r="S845" s="4"/>
      <c r="T845" s="4"/>
      <c r="U845" s="4"/>
      <c r="V845" s="4"/>
      <c r="W845" s="4"/>
    </row>
    <row r="846" spans="14:23" x14ac:dyDescent="0.4">
      <c r="N846" s="114"/>
      <c r="O846" s="115"/>
      <c r="P846" s="4"/>
      <c r="Q846" s="4"/>
      <c r="R846" s="4"/>
      <c r="S846" s="4"/>
      <c r="T846" s="4"/>
      <c r="U846" s="4"/>
      <c r="V846" s="4"/>
      <c r="W846" s="4"/>
    </row>
    <row r="847" spans="14:23" x14ac:dyDescent="0.4">
      <c r="N847" s="114"/>
      <c r="O847" s="115"/>
      <c r="P847" s="4"/>
      <c r="Q847" s="4"/>
      <c r="R847" s="4"/>
      <c r="S847" s="4"/>
      <c r="T847" s="4"/>
      <c r="U847" s="4"/>
      <c r="V847" s="4"/>
      <c r="W847" s="4"/>
    </row>
    <row r="848" spans="14:23" x14ac:dyDescent="0.4">
      <c r="N848" s="114"/>
      <c r="O848" s="115"/>
      <c r="P848" s="4"/>
      <c r="Q848" s="4"/>
      <c r="R848" s="4"/>
      <c r="S848" s="4"/>
      <c r="T848" s="4"/>
      <c r="U848" s="4"/>
      <c r="V848" s="4"/>
      <c r="W848" s="4"/>
    </row>
    <row r="849" spans="14:23" x14ac:dyDescent="0.4">
      <c r="N849" s="114"/>
      <c r="O849" s="115"/>
      <c r="P849" s="4"/>
      <c r="Q849" s="4"/>
      <c r="R849" s="4"/>
      <c r="S849" s="4"/>
      <c r="T849" s="4"/>
      <c r="U849" s="4"/>
      <c r="V849" s="4"/>
      <c r="W849" s="4"/>
    </row>
    <row r="850" spans="14:23" x14ac:dyDescent="0.4">
      <c r="N850" s="114"/>
      <c r="O850" s="115"/>
      <c r="P850" s="4"/>
      <c r="Q850" s="4"/>
      <c r="R850" s="4"/>
      <c r="S850" s="4"/>
      <c r="T850" s="4"/>
      <c r="U850" s="4"/>
      <c r="V850" s="4"/>
      <c r="W850" s="4"/>
    </row>
    <row r="851" spans="14:23" x14ac:dyDescent="0.4">
      <c r="N851" s="114"/>
      <c r="O851" s="115"/>
      <c r="P851" s="4"/>
      <c r="Q851" s="4"/>
      <c r="R851" s="4"/>
      <c r="S851" s="4"/>
      <c r="T851" s="4"/>
      <c r="U851" s="4"/>
      <c r="V851" s="4"/>
      <c r="W851" s="4"/>
    </row>
    <row r="852" spans="14:23" x14ac:dyDescent="0.4">
      <c r="N852" s="114"/>
      <c r="O852" s="115"/>
      <c r="P852" s="4"/>
      <c r="Q852" s="4"/>
      <c r="R852" s="4"/>
      <c r="S852" s="4"/>
      <c r="T852" s="4"/>
      <c r="U852" s="4"/>
      <c r="V852" s="4"/>
      <c r="W852" s="4"/>
    </row>
    <row r="853" spans="14:23" x14ac:dyDescent="0.4">
      <c r="N853" s="114"/>
      <c r="O853" s="115"/>
      <c r="P853" s="4"/>
      <c r="Q853" s="4"/>
      <c r="R853" s="4"/>
      <c r="S853" s="4"/>
      <c r="T853" s="4"/>
      <c r="U853" s="4"/>
      <c r="V853" s="4"/>
      <c r="W853" s="4"/>
    </row>
    <row r="854" spans="14:23" x14ac:dyDescent="0.4">
      <c r="N854" s="114"/>
      <c r="O854" s="115"/>
      <c r="P854" s="4"/>
      <c r="Q854" s="4"/>
      <c r="R854" s="4"/>
      <c r="S854" s="4"/>
      <c r="T854" s="4"/>
      <c r="U854" s="4"/>
      <c r="V854" s="4"/>
      <c r="W854" s="4"/>
    </row>
    <row r="855" spans="14:23" x14ac:dyDescent="0.4">
      <c r="N855" s="114"/>
      <c r="O855" s="115"/>
      <c r="P855" s="4"/>
      <c r="Q855" s="4"/>
      <c r="R855" s="4"/>
      <c r="S855" s="4"/>
      <c r="T855" s="4"/>
      <c r="U855" s="4"/>
      <c r="V855" s="4"/>
      <c r="W855" s="4"/>
    </row>
    <row r="856" spans="14:23" x14ac:dyDescent="0.4">
      <c r="N856" s="114"/>
      <c r="O856" s="115"/>
      <c r="P856" s="4"/>
      <c r="Q856" s="4"/>
      <c r="R856" s="4"/>
      <c r="S856" s="4"/>
      <c r="T856" s="4"/>
      <c r="U856" s="4"/>
      <c r="V856" s="4"/>
      <c r="W856" s="4"/>
    </row>
    <row r="857" spans="14:23" x14ac:dyDescent="0.4">
      <c r="N857" s="114"/>
      <c r="O857" s="115"/>
      <c r="P857" s="4"/>
      <c r="Q857" s="4"/>
      <c r="R857" s="4"/>
      <c r="S857" s="4"/>
      <c r="T857" s="4"/>
      <c r="U857" s="4"/>
      <c r="V857" s="4"/>
      <c r="W857" s="4"/>
    </row>
    <row r="858" spans="14:23" x14ac:dyDescent="0.4">
      <c r="N858" s="114"/>
      <c r="O858" s="115"/>
      <c r="P858" s="4"/>
      <c r="Q858" s="4"/>
      <c r="R858" s="4"/>
      <c r="S858" s="4"/>
      <c r="T858" s="4"/>
      <c r="U858" s="4"/>
      <c r="V858" s="4"/>
      <c r="W858" s="4"/>
    </row>
    <row r="859" spans="14:23" x14ac:dyDescent="0.4">
      <c r="N859" s="114"/>
      <c r="O859" s="115"/>
      <c r="P859" s="4"/>
      <c r="Q859" s="4"/>
      <c r="R859" s="4"/>
      <c r="S859" s="4"/>
      <c r="T859" s="4"/>
      <c r="U859" s="4"/>
      <c r="V859" s="4"/>
      <c r="W859" s="4"/>
    </row>
    <row r="860" spans="14:23" x14ac:dyDescent="0.4">
      <c r="N860" s="114"/>
      <c r="O860" s="115"/>
      <c r="P860" s="4"/>
      <c r="Q860" s="4"/>
      <c r="R860" s="4"/>
      <c r="S860" s="4"/>
      <c r="T860" s="4"/>
      <c r="U860" s="4"/>
      <c r="V860" s="4"/>
      <c r="W860" s="4"/>
    </row>
    <row r="861" spans="14:23" x14ac:dyDescent="0.4">
      <c r="N861" s="114"/>
      <c r="O861" s="115"/>
      <c r="P861" s="4"/>
      <c r="Q861" s="4"/>
      <c r="R861" s="4"/>
      <c r="S861" s="4"/>
      <c r="T861" s="4"/>
      <c r="U861" s="4"/>
      <c r="V861" s="4"/>
      <c r="W861" s="4"/>
    </row>
    <row r="862" spans="14:23" x14ac:dyDescent="0.4">
      <c r="N862" s="114"/>
      <c r="O862" s="115"/>
      <c r="P862" s="4"/>
      <c r="Q862" s="4"/>
      <c r="R862" s="4"/>
      <c r="S862" s="4"/>
      <c r="T862" s="4"/>
      <c r="U862" s="4"/>
      <c r="V862" s="4"/>
      <c r="W862" s="4"/>
    </row>
    <row r="863" spans="14:23" x14ac:dyDescent="0.4">
      <c r="N863" s="114"/>
      <c r="O863" s="115"/>
      <c r="P863" s="4"/>
      <c r="Q863" s="4"/>
      <c r="R863" s="4"/>
      <c r="S863" s="4"/>
      <c r="T863" s="4"/>
      <c r="U863" s="4"/>
      <c r="V863" s="4"/>
      <c r="W863" s="4"/>
    </row>
    <row r="864" spans="14:23" x14ac:dyDescent="0.4">
      <c r="N864" s="114"/>
      <c r="O864" s="115"/>
      <c r="P864" s="4"/>
      <c r="Q864" s="4"/>
      <c r="R864" s="4"/>
      <c r="S864" s="4"/>
      <c r="T864" s="4"/>
      <c r="U864" s="4"/>
      <c r="V864" s="4"/>
      <c r="W864" s="4"/>
    </row>
    <row r="865" spans="14:23" x14ac:dyDescent="0.4">
      <c r="N865" s="114"/>
      <c r="O865" s="115"/>
      <c r="P865" s="4"/>
      <c r="Q865" s="4"/>
      <c r="R865" s="4"/>
      <c r="S865" s="4"/>
      <c r="T865" s="4"/>
      <c r="U865" s="4"/>
      <c r="V865" s="4"/>
      <c r="W865" s="4"/>
    </row>
    <row r="866" spans="14:23" x14ac:dyDescent="0.4">
      <c r="N866" s="114"/>
      <c r="O866" s="115"/>
      <c r="P866" s="4"/>
      <c r="Q866" s="4"/>
      <c r="R866" s="4"/>
      <c r="S866" s="4"/>
      <c r="T866" s="4"/>
      <c r="U866" s="4"/>
      <c r="V866" s="4"/>
      <c r="W866" s="4"/>
    </row>
    <row r="867" spans="14:23" x14ac:dyDescent="0.4">
      <c r="N867" s="114"/>
      <c r="O867" s="115"/>
      <c r="P867" s="4"/>
      <c r="Q867" s="4"/>
      <c r="R867" s="4"/>
      <c r="S867" s="4"/>
      <c r="T867" s="4"/>
      <c r="U867" s="4"/>
      <c r="V867" s="4"/>
      <c r="W867" s="4"/>
    </row>
    <row r="868" spans="14:23" x14ac:dyDescent="0.4">
      <c r="N868" s="114"/>
      <c r="O868" s="115"/>
      <c r="P868" s="4"/>
      <c r="Q868" s="4"/>
      <c r="R868" s="4"/>
      <c r="S868" s="4"/>
      <c r="T868" s="4"/>
      <c r="U868" s="4"/>
      <c r="V868" s="4"/>
      <c r="W868" s="4"/>
    </row>
    <row r="869" spans="14:23" x14ac:dyDescent="0.4">
      <c r="N869" s="114"/>
      <c r="O869" s="115"/>
      <c r="P869" s="4"/>
      <c r="Q869" s="4"/>
      <c r="R869" s="4"/>
      <c r="S869" s="4"/>
      <c r="T869" s="4"/>
      <c r="U869" s="4"/>
      <c r="V869" s="4"/>
      <c r="W869" s="4"/>
    </row>
    <row r="870" spans="14:23" x14ac:dyDescent="0.4">
      <c r="N870" s="114"/>
      <c r="O870" s="115"/>
      <c r="P870" s="4"/>
      <c r="Q870" s="4"/>
      <c r="R870" s="4"/>
      <c r="S870" s="4"/>
      <c r="T870" s="4"/>
      <c r="U870" s="4"/>
      <c r="V870" s="4"/>
      <c r="W870" s="4"/>
    </row>
    <row r="871" spans="14:23" x14ac:dyDescent="0.4">
      <c r="N871" s="114"/>
      <c r="O871" s="115"/>
      <c r="P871" s="4"/>
      <c r="Q871" s="4"/>
      <c r="R871" s="4"/>
      <c r="S871" s="4"/>
      <c r="T871" s="4"/>
      <c r="U871" s="4"/>
      <c r="V871" s="4"/>
      <c r="W871" s="4"/>
    </row>
    <row r="872" spans="14:23" x14ac:dyDescent="0.4">
      <c r="N872" s="114"/>
      <c r="O872" s="115"/>
      <c r="P872" s="4"/>
      <c r="Q872" s="4"/>
      <c r="R872" s="4"/>
      <c r="S872" s="4"/>
      <c r="T872" s="4"/>
      <c r="U872" s="4"/>
      <c r="V872" s="4"/>
      <c r="W872" s="4"/>
    </row>
    <row r="873" spans="14:23" x14ac:dyDescent="0.4">
      <c r="N873" s="114"/>
      <c r="O873" s="115"/>
      <c r="P873" s="4"/>
      <c r="Q873" s="4"/>
      <c r="R873" s="4"/>
      <c r="S873" s="4"/>
      <c r="T873" s="4"/>
      <c r="U873" s="4"/>
      <c r="V873" s="4"/>
      <c r="W873" s="4"/>
    </row>
    <row r="874" spans="14:23" x14ac:dyDescent="0.4">
      <c r="N874" s="114"/>
      <c r="O874" s="115"/>
      <c r="P874" s="4"/>
      <c r="Q874" s="4"/>
      <c r="R874" s="4"/>
      <c r="S874" s="4"/>
      <c r="T874" s="4"/>
      <c r="U874" s="4"/>
      <c r="V874" s="4"/>
      <c r="W874" s="4"/>
    </row>
    <row r="875" spans="14:23" x14ac:dyDescent="0.4">
      <c r="N875" s="114"/>
      <c r="O875" s="115"/>
      <c r="P875" s="4"/>
      <c r="Q875" s="4"/>
      <c r="R875" s="4"/>
      <c r="S875" s="4"/>
      <c r="T875" s="4"/>
      <c r="U875" s="4"/>
      <c r="V875" s="4"/>
      <c r="W875" s="4"/>
    </row>
    <row r="876" spans="14:23" x14ac:dyDescent="0.4">
      <c r="N876" s="114"/>
      <c r="O876" s="115"/>
      <c r="P876" s="4"/>
      <c r="Q876" s="4"/>
      <c r="R876" s="4"/>
      <c r="S876" s="4"/>
      <c r="T876" s="4"/>
      <c r="U876" s="4"/>
      <c r="V876" s="4"/>
      <c r="W876" s="4"/>
    </row>
    <row r="877" spans="14:23" x14ac:dyDescent="0.4">
      <c r="N877" s="114"/>
      <c r="O877" s="115"/>
      <c r="P877" s="4"/>
      <c r="Q877" s="4"/>
      <c r="R877" s="4"/>
      <c r="S877" s="4"/>
      <c r="T877" s="4"/>
      <c r="U877" s="4"/>
      <c r="V877" s="4"/>
      <c r="W877" s="4"/>
    </row>
    <row r="878" spans="14:23" x14ac:dyDescent="0.4">
      <c r="N878" s="114"/>
      <c r="O878" s="115"/>
      <c r="P878" s="4"/>
      <c r="Q878" s="4"/>
      <c r="R878" s="4"/>
      <c r="S878" s="4"/>
      <c r="T878" s="4"/>
      <c r="U878" s="4"/>
      <c r="V878" s="4"/>
      <c r="W878" s="4"/>
    </row>
    <row r="879" spans="14:23" x14ac:dyDescent="0.4">
      <c r="N879" s="114"/>
      <c r="O879" s="115"/>
      <c r="P879" s="4"/>
      <c r="Q879" s="4"/>
      <c r="R879" s="4"/>
      <c r="S879" s="4"/>
      <c r="T879" s="4"/>
      <c r="U879" s="4"/>
      <c r="V879" s="4"/>
      <c r="W879" s="4"/>
    </row>
    <row r="880" spans="14:23" x14ac:dyDescent="0.4">
      <c r="N880" s="114"/>
      <c r="O880" s="115"/>
      <c r="P880" s="4"/>
      <c r="Q880" s="4"/>
      <c r="R880" s="4"/>
      <c r="S880" s="4"/>
      <c r="T880" s="4"/>
      <c r="U880" s="4"/>
      <c r="V880" s="4"/>
      <c r="W880" s="4"/>
    </row>
    <row r="881" spans="14:23" x14ac:dyDescent="0.4">
      <c r="N881" s="114"/>
      <c r="O881" s="115"/>
      <c r="P881" s="4"/>
      <c r="Q881" s="4"/>
      <c r="R881" s="4"/>
      <c r="S881" s="4"/>
      <c r="T881" s="4"/>
      <c r="U881" s="4"/>
      <c r="V881" s="4"/>
      <c r="W881" s="4"/>
    </row>
    <row r="882" spans="14:23" x14ac:dyDescent="0.4">
      <c r="N882" s="114"/>
      <c r="O882" s="115"/>
      <c r="P882" s="4"/>
      <c r="Q882" s="4"/>
      <c r="R882" s="4"/>
      <c r="S882" s="4"/>
      <c r="T882" s="4"/>
      <c r="U882" s="4"/>
      <c r="V882" s="4"/>
      <c r="W882" s="4"/>
    </row>
    <row r="883" spans="14:23" x14ac:dyDescent="0.4">
      <c r="N883" s="114"/>
      <c r="O883" s="115"/>
      <c r="P883" s="4"/>
      <c r="Q883" s="4"/>
      <c r="R883" s="4"/>
      <c r="S883" s="4"/>
      <c r="T883" s="4"/>
      <c r="U883" s="4"/>
      <c r="V883" s="4"/>
      <c r="W883" s="4"/>
    </row>
    <row r="884" spans="14:23" x14ac:dyDescent="0.4">
      <c r="N884" s="114"/>
      <c r="O884" s="115"/>
      <c r="P884" s="4"/>
      <c r="Q884" s="4"/>
      <c r="R884" s="4"/>
      <c r="S884" s="4"/>
      <c r="T884" s="4"/>
      <c r="U884" s="4"/>
      <c r="V884" s="4"/>
      <c r="W884" s="4"/>
    </row>
    <row r="885" spans="14:23" x14ac:dyDescent="0.4">
      <c r="N885" s="114"/>
      <c r="O885" s="115"/>
      <c r="P885" s="4"/>
      <c r="Q885" s="4"/>
      <c r="R885" s="4"/>
      <c r="S885" s="4"/>
      <c r="T885" s="4"/>
      <c r="U885" s="4"/>
      <c r="V885" s="4"/>
      <c r="W885" s="4"/>
    </row>
    <row r="886" spans="14:23" x14ac:dyDescent="0.4">
      <c r="N886" s="114"/>
      <c r="O886" s="115"/>
      <c r="P886" s="4"/>
      <c r="Q886" s="4"/>
      <c r="R886" s="4"/>
      <c r="S886" s="4"/>
      <c r="T886" s="4"/>
      <c r="U886" s="4"/>
      <c r="V886" s="4"/>
      <c r="W886" s="4"/>
    </row>
    <row r="887" spans="14:23" x14ac:dyDescent="0.4">
      <c r="N887" s="114"/>
      <c r="O887" s="115"/>
      <c r="P887" s="4"/>
      <c r="Q887" s="4"/>
      <c r="R887" s="4"/>
      <c r="S887" s="4"/>
      <c r="T887" s="4"/>
      <c r="U887" s="4"/>
      <c r="V887" s="4"/>
      <c r="W887" s="4"/>
    </row>
    <row r="888" spans="14:23" x14ac:dyDescent="0.4">
      <c r="N888" s="114"/>
      <c r="O888" s="115"/>
      <c r="P888" s="4"/>
      <c r="Q888" s="4"/>
      <c r="R888" s="4"/>
      <c r="S888" s="4"/>
      <c r="T888" s="4"/>
      <c r="U888" s="4"/>
      <c r="V888" s="4"/>
      <c r="W888" s="4"/>
    </row>
    <row r="889" spans="14:23" x14ac:dyDescent="0.4">
      <c r="N889" s="114"/>
      <c r="O889" s="115"/>
      <c r="P889" s="4"/>
      <c r="Q889" s="4"/>
      <c r="R889" s="4"/>
      <c r="S889" s="4"/>
      <c r="T889" s="4"/>
      <c r="U889" s="4"/>
      <c r="V889" s="4"/>
      <c r="W889" s="4"/>
    </row>
    <row r="890" spans="14:23" x14ac:dyDescent="0.4">
      <c r="N890" s="114"/>
      <c r="O890" s="115"/>
      <c r="P890" s="4"/>
      <c r="Q890" s="4"/>
      <c r="R890" s="4"/>
      <c r="S890" s="4"/>
      <c r="T890" s="4"/>
      <c r="U890" s="4"/>
      <c r="V890" s="4"/>
      <c r="W890" s="4"/>
    </row>
    <row r="891" spans="14:23" x14ac:dyDescent="0.4">
      <c r="N891" s="114"/>
      <c r="O891" s="115"/>
      <c r="P891" s="4"/>
      <c r="Q891" s="4"/>
      <c r="R891" s="4"/>
      <c r="S891" s="4"/>
      <c r="T891" s="4"/>
      <c r="U891" s="4"/>
      <c r="V891" s="4"/>
      <c r="W891" s="4"/>
    </row>
    <row r="892" spans="14:23" x14ac:dyDescent="0.4">
      <c r="N892" s="114"/>
      <c r="O892" s="115"/>
      <c r="P892" s="4"/>
      <c r="Q892" s="4"/>
      <c r="R892" s="4"/>
      <c r="S892" s="4"/>
      <c r="T892" s="4"/>
      <c r="U892" s="4"/>
      <c r="V892" s="4"/>
      <c r="W892" s="4"/>
    </row>
    <row r="893" spans="14:23" x14ac:dyDescent="0.4">
      <c r="N893" s="114"/>
      <c r="O893" s="115"/>
      <c r="P893" s="4"/>
      <c r="Q893" s="4"/>
      <c r="R893" s="4"/>
      <c r="S893" s="4"/>
      <c r="T893" s="4"/>
      <c r="U893" s="4"/>
      <c r="V893" s="4"/>
      <c r="W893" s="4"/>
    </row>
    <row r="894" spans="14:23" x14ac:dyDescent="0.4">
      <c r="N894" s="114"/>
      <c r="O894" s="115"/>
      <c r="P894" s="4"/>
      <c r="Q894" s="4"/>
      <c r="R894" s="4"/>
      <c r="S894" s="4"/>
      <c r="T894" s="4"/>
      <c r="U894" s="4"/>
      <c r="V894" s="4"/>
      <c r="W894" s="4"/>
    </row>
    <row r="895" spans="14:23" x14ac:dyDescent="0.4">
      <c r="N895" s="114"/>
      <c r="O895" s="115"/>
      <c r="P895" s="4"/>
      <c r="Q895" s="4"/>
      <c r="R895" s="4"/>
      <c r="S895" s="4"/>
      <c r="T895" s="4"/>
      <c r="U895" s="4"/>
      <c r="V895" s="4"/>
      <c r="W895" s="4"/>
    </row>
    <row r="896" spans="14:23" x14ac:dyDescent="0.4">
      <c r="N896" s="114"/>
      <c r="O896" s="115"/>
      <c r="P896" s="4"/>
      <c r="Q896" s="4"/>
      <c r="R896" s="4"/>
      <c r="S896" s="4"/>
      <c r="T896" s="4"/>
      <c r="U896" s="4"/>
      <c r="V896" s="4"/>
      <c r="W896" s="4"/>
    </row>
    <row r="897" spans="14:23" x14ac:dyDescent="0.4">
      <c r="N897" s="114"/>
      <c r="O897" s="115"/>
      <c r="P897" s="4"/>
      <c r="Q897" s="4"/>
      <c r="R897" s="4"/>
      <c r="S897" s="4"/>
      <c r="T897" s="4"/>
      <c r="U897" s="4"/>
      <c r="V897" s="4"/>
      <c r="W897" s="4"/>
    </row>
    <row r="898" spans="14:23" x14ac:dyDescent="0.4">
      <c r="N898" s="114"/>
      <c r="O898" s="115"/>
      <c r="P898" s="4"/>
      <c r="Q898" s="4"/>
      <c r="R898" s="4"/>
      <c r="S898" s="4"/>
      <c r="T898" s="4"/>
      <c r="U898" s="4"/>
      <c r="V898" s="4"/>
      <c r="W898" s="4"/>
    </row>
    <row r="899" spans="14:23" x14ac:dyDescent="0.4">
      <c r="N899" s="114"/>
      <c r="O899" s="115"/>
      <c r="P899" s="4"/>
      <c r="Q899" s="4"/>
      <c r="R899" s="4"/>
      <c r="S899" s="4"/>
      <c r="T899" s="4"/>
      <c r="U899" s="4"/>
      <c r="V899" s="4"/>
      <c r="W899" s="4"/>
    </row>
    <row r="900" spans="14:23" x14ac:dyDescent="0.4">
      <c r="N900" s="114"/>
      <c r="O900" s="115"/>
      <c r="P900" s="4"/>
      <c r="Q900" s="4"/>
      <c r="R900" s="4"/>
      <c r="S900" s="4"/>
      <c r="T900" s="4"/>
      <c r="U900" s="4"/>
      <c r="V900" s="4"/>
      <c r="W900" s="4"/>
    </row>
    <row r="901" spans="14:23" x14ac:dyDescent="0.4">
      <c r="N901" s="114"/>
      <c r="O901" s="115"/>
      <c r="P901" s="4"/>
      <c r="Q901" s="4"/>
      <c r="R901" s="4"/>
      <c r="S901" s="4"/>
      <c r="T901" s="4"/>
      <c r="U901" s="4"/>
      <c r="V901" s="4"/>
      <c r="W901" s="4"/>
    </row>
    <row r="902" spans="14:23" x14ac:dyDescent="0.4">
      <c r="N902" s="114"/>
      <c r="O902" s="115"/>
      <c r="P902" s="4"/>
      <c r="Q902" s="4"/>
      <c r="R902" s="4"/>
      <c r="S902" s="4"/>
      <c r="T902" s="4"/>
      <c r="U902" s="4"/>
      <c r="V902" s="4"/>
      <c r="W902" s="4"/>
    </row>
    <row r="903" spans="14:23" x14ac:dyDescent="0.4">
      <c r="N903" s="114"/>
      <c r="O903" s="115"/>
      <c r="P903" s="4"/>
      <c r="Q903" s="4"/>
      <c r="R903" s="4"/>
      <c r="S903" s="4"/>
      <c r="T903" s="4"/>
      <c r="U903" s="4"/>
      <c r="V903" s="4"/>
      <c r="W903" s="4"/>
    </row>
    <row r="904" spans="14:23" x14ac:dyDescent="0.4">
      <c r="N904" s="114"/>
      <c r="O904" s="115"/>
      <c r="P904" s="4"/>
      <c r="Q904" s="4"/>
      <c r="R904" s="4"/>
      <c r="S904" s="4"/>
      <c r="T904" s="4"/>
      <c r="U904" s="4"/>
      <c r="V904" s="4"/>
      <c r="W904" s="4"/>
    </row>
    <row r="905" spans="14:23" x14ac:dyDescent="0.4">
      <c r="N905" s="114"/>
      <c r="O905" s="115"/>
      <c r="P905" s="4"/>
      <c r="Q905" s="4"/>
      <c r="R905" s="4"/>
      <c r="S905" s="4"/>
      <c r="T905" s="4"/>
      <c r="U905" s="4"/>
      <c r="V905" s="4"/>
      <c r="W905" s="4"/>
    </row>
    <row r="906" spans="14:23" x14ac:dyDescent="0.4">
      <c r="N906" s="114"/>
      <c r="O906" s="115"/>
      <c r="P906" s="4"/>
      <c r="Q906" s="4"/>
      <c r="R906" s="4"/>
      <c r="S906" s="4"/>
      <c r="T906" s="4"/>
      <c r="U906" s="4"/>
      <c r="V906" s="4"/>
      <c r="W906" s="4"/>
    </row>
    <row r="907" spans="14:23" x14ac:dyDescent="0.4">
      <c r="N907" s="114"/>
      <c r="O907" s="115"/>
      <c r="P907" s="4"/>
      <c r="Q907" s="4"/>
      <c r="R907" s="4"/>
      <c r="S907" s="4"/>
      <c r="T907" s="4"/>
      <c r="U907" s="4"/>
      <c r="V907" s="4"/>
      <c r="W907" s="4"/>
    </row>
    <row r="908" spans="14:23" x14ac:dyDescent="0.4">
      <c r="N908" s="114"/>
      <c r="O908" s="115"/>
      <c r="P908" s="4"/>
      <c r="Q908" s="4"/>
      <c r="R908" s="4"/>
      <c r="S908" s="4"/>
      <c r="T908" s="4"/>
      <c r="U908" s="4"/>
      <c r="V908" s="4"/>
      <c r="W908" s="4"/>
    </row>
    <row r="909" spans="14:23" x14ac:dyDescent="0.4">
      <c r="N909" s="114"/>
      <c r="O909" s="115"/>
      <c r="P909" s="4"/>
      <c r="Q909" s="4"/>
      <c r="R909" s="4"/>
      <c r="S909" s="4"/>
      <c r="T909" s="4"/>
      <c r="U909" s="4"/>
      <c r="V909" s="4"/>
      <c r="W909" s="4"/>
    </row>
    <row r="910" spans="14:23" x14ac:dyDescent="0.4">
      <c r="N910" s="114"/>
      <c r="O910" s="115"/>
      <c r="P910" s="4"/>
      <c r="Q910" s="4"/>
      <c r="R910" s="4"/>
      <c r="S910" s="4"/>
      <c r="T910" s="4"/>
      <c r="U910" s="4"/>
      <c r="V910" s="4"/>
      <c r="W910" s="4"/>
    </row>
    <row r="911" spans="14:23" x14ac:dyDescent="0.4">
      <c r="N911" s="114"/>
      <c r="O911" s="115"/>
      <c r="P911" s="4"/>
      <c r="Q911" s="4"/>
      <c r="R911" s="4"/>
      <c r="S911" s="4"/>
      <c r="T911" s="4"/>
      <c r="U911" s="4"/>
      <c r="V911" s="4"/>
      <c r="W911" s="4"/>
    </row>
    <row r="912" spans="14:23" x14ac:dyDescent="0.4">
      <c r="N912" s="114"/>
      <c r="O912" s="115"/>
      <c r="P912" s="4"/>
      <c r="Q912" s="4"/>
      <c r="R912" s="4"/>
      <c r="S912" s="4"/>
      <c r="T912" s="4"/>
      <c r="U912" s="4"/>
      <c r="V912" s="4"/>
      <c r="W912" s="4"/>
    </row>
    <row r="913" spans="14:23" x14ac:dyDescent="0.4">
      <c r="N913" s="114"/>
      <c r="O913" s="115"/>
      <c r="P913" s="4"/>
      <c r="Q913" s="4"/>
      <c r="R913" s="4"/>
      <c r="S913" s="4"/>
      <c r="T913" s="4"/>
      <c r="U913" s="4"/>
      <c r="V913" s="4"/>
      <c r="W913" s="4"/>
    </row>
    <row r="914" spans="14:23" x14ac:dyDescent="0.4">
      <c r="N914" s="114"/>
      <c r="O914" s="115"/>
      <c r="P914" s="4"/>
      <c r="Q914" s="4"/>
      <c r="R914" s="4"/>
      <c r="S914" s="4"/>
      <c r="T914" s="4"/>
      <c r="U914" s="4"/>
      <c r="V914" s="4"/>
      <c r="W914" s="4"/>
    </row>
    <row r="915" spans="14:23" x14ac:dyDescent="0.4">
      <c r="N915" s="114"/>
      <c r="O915" s="115"/>
      <c r="P915" s="4"/>
      <c r="Q915" s="4"/>
      <c r="R915" s="4"/>
      <c r="S915" s="4"/>
      <c r="T915" s="4"/>
      <c r="U915" s="4"/>
      <c r="V915" s="4"/>
      <c r="W915" s="4"/>
    </row>
    <row r="916" spans="14:23" x14ac:dyDescent="0.4">
      <c r="N916" s="114"/>
      <c r="O916" s="115"/>
      <c r="P916" s="4"/>
      <c r="Q916" s="4"/>
      <c r="R916" s="4"/>
      <c r="S916" s="4"/>
      <c r="T916" s="4"/>
      <c r="U916" s="4"/>
      <c r="V916" s="4"/>
      <c r="W916" s="4"/>
    </row>
    <row r="917" spans="14:23" x14ac:dyDescent="0.4">
      <c r="N917" s="114"/>
      <c r="O917" s="115"/>
      <c r="P917" s="4"/>
      <c r="Q917" s="4"/>
      <c r="R917" s="4"/>
      <c r="S917" s="4"/>
      <c r="T917" s="4"/>
      <c r="U917" s="4"/>
      <c r="V917" s="4"/>
      <c r="W917" s="4"/>
    </row>
    <row r="918" spans="14:23" x14ac:dyDescent="0.4">
      <c r="N918" s="114"/>
      <c r="O918" s="115"/>
      <c r="P918" s="4"/>
      <c r="Q918" s="4"/>
      <c r="R918" s="4"/>
      <c r="S918" s="4"/>
      <c r="T918" s="4"/>
      <c r="U918" s="4"/>
      <c r="V918" s="4"/>
      <c r="W918" s="4"/>
    </row>
    <row r="919" spans="14:23" x14ac:dyDescent="0.4">
      <c r="N919" s="114"/>
      <c r="O919" s="115"/>
      <c r="P919" s="4"/>
      <c r="Q919" s="4"/>
      <c r="R919" s="4"/>
      <c r="S919" s="4"/>
      <c r="T919" s="4"/>
      <c r="U919" s="4"/>
      <c r="V919" s="4"/>
      <c r="W919" s="4"/>
    </row>
    <row r="920" spans="14:23" x14ac:dyDescent="0.4">
      <c r="N920" s="114"/>
      <c r="O920" s="115"/>
      <c r="P920" s="4"/>
      <c r="Q920" s="4"/>
      <c r="R920" s="4"/>
      <c r="S920" s="4"/>
      <c r="T920" s="4"/>
      <c r="U920" s="4"/>
      <c r="V920" s="4"/>
      <c r="W920" s="4"/>
    </row>
    <row r="921" spans="14:23" x14ac:dyDescent="0.4">
      <c r="N921" s="114"/>
      <c r="O921" s="115"/>
      <c r="P921" s="4"/>
      <c r="Q921" s="4"/>
      <c r="R921" s="4"/>
      <c r="S921" s="4"/>
      <c r="T921" s="4"/>
      <c r="U921" s="4"/>
      <c r="V921" s="4"/>
      <c r="W921" s="4"/>
    </row>
    <row r="922" spans="14:23" x14ac:dyDescent="0.4">
      <c r="N922" s="114"/>
      <c r="O922" s="115"/>
      <c r="P922" s="4"/>
      <c r="Q922" s="4"/>
      <c r="R922" s="4"/>
      <c r="S922" s="4"/>
      <c r="T922" s="4"/>
      <c r="U922" s="4"/>
      <c r="V922" s="4"/>
      <c r="W922" s="4"/>
    </row>
    <row r="923" spans="14:23" x14ac:dyDescent="0.4">
      <c r="N923" s="114"/>
      <c r="O923" s="115"/>
      <c r="P923" s="4"/>
      <c r="Q923" s="4"/>
      <c r="R923" s="4"/>
      <c r="S923" s="4"/>
      <c r="T923" s="4"/>
      <c r="U923" s="4"/>
      <c r="V923" s="4"/>
      <c r="W923" s="4"/>
    </row>
    <row r="924" spans="14:23" x14ac:dyDescent="0.4">
      <c r="N924" s="114"/>
      <c r="O924" s="115"/>
      <c r="P924" s="4"/>
      <c r="Q924" s="4"/>
      <c r="R924" s="4"/>
      <c r="S924" s="4"/>
      <c r="T924" s="4"/>
      <c r="U924" s="4"/>
      <c r="V924" s="4"/>
      <c r="W924" s="4"/>
    </row>
    <row r="925" spans="14:23" x14ac:dyDescent="0.4">
      <c r="N925" s="114"/>
      <c r="O925" s="115"/>
      <c r="P925" s="4"/>
      <c r="Q925" s="4"/>
      <c r="R925" s="4"/>
      <c r="S925" s="4"/>
      <c r="T925" s="4"/>
      <c r="U925" s="4"/>
      <c r="V925" s="4"/>
      <c r="W925" s="4"/>
    </row>
    <row r="926" spans="14:23" x14ac:dyDescent="0.4">
      <c r="N926" s="114"/>
      <c r="O926" s="115"/>
      <c r="P926" s="4"/>
      <c r="Q926" s="4"/>
      <c r="R926" s="4"/>
      <c r="S926" s="4"/>
      <c r="T926" s="4"/>
      <c r="U926" s="4"/>
      <c r="V926" s="4"/>
      <c r="W926" s="4"/>
    </row>
    <row r="927" spans="14:23" x14ac:dyDescent="0.4">
      <c r="N927" s="114"/>
      <c r="O927" s="115"/>
      <c r="P927" s="4"/>
      <c r="Q927" s="4"/>
      <c r="R927" s="4"/>
      <c r="S927" s="4"/>
      <c r="T927" s="4"/>
      <c r="U927" s="4"/>
      <c r="V927" s="4"/>
      <c r="W927" s="4"/>
    </row>
    <row r="928" spans="14:23" x14ac:dyDescent="0.4">
      <c r="N928" s="114"/>
      <c r="O928" s="115"/>
      <c r="P928" s="4"/>
      <c r="Q928" s="4"/>
      <c r="R928" s="4"/>
      <c r="S928" s="4"/>
      <c r="T928" s="4"/>
      <c r="U928" s="4"/>
      <c r="V928" s="4"/>
      <c r="W928" s="4"/>
    </row>
    <row r="929" spans="14:23" x14ac:dyDescent="0.4">
      <c r="N929" s="114"/>
      <c r="O929" s="115"/>
      <c r="P929" s="4"/>
      <c r="Q929" s="4"/>
      <c r="R929" s="4"/>
      <c r="S929" s="4"/>
      <c r="T929" s="4"/>
      <c r="U929" s="4"/>
      <c r="V929" s="4"/>
      <c r="W929" s="4"/>
    </row>
    <row r="930" spans="14:23" x14ac:dyDescent="0.4">
      <c r="N930" s="114"/>
      <c r="O930" s="115"/>
      <c r="P930" s="4"/>
      <c r="Q930" s="4"/>
      <c r="R930" s="4"/>
      <c r="S930" s="4"/>
      <c r="T930" s="4"/>
      <c r="U930" s="4"/>
      <c r="V930" s="4"/>
      <c r="W930" s="4"/>
    </row>
    <row r="931" spans="14:23" x14ac:dyDescent="0.4">
      <c r="N931" s="114"/>
      <c r="O931" s="115"/>
      <c r="P931" s="4"/>
      <c r="Q931" s="4"/>
      <c r="R931" s="4"/>
      <c r="S931" s="4"/>
      <c r="T931" s="4"/>
      <c r="U931" s="4"/>
      <c r="V931" s="4"/>
      <c r="W931" s="4"/>
    </row>
    <row r="932" spans="14:23" x14ac:dyDescent="0.4">
      <c r="N932" s="114"/>
      <c r="O932" s="115"/>
      <c r="P932" s="4"/>
      <c r="Q932" s="4"/>
      <c r="R932" s="4"/>
      <c r="S932" s="4"/>
      <c r="T932" s="4"/>
      <c r="U932" s="4"/>
      <c r="V932" s="4"/>
      <c r="W932" s="4"/>
    </row>
    <row r="933" spans="14:23" x14ac:dyDescent="0.4">
      <c r="N933" s="114"/>
      <c r="O933" s="115"/>
      <c r="P933" s="4"/>
      <c r="Q933" s="4"/>
      <c r="R933" s="4"/>
      <c r="S933" s="4"/>
      <c r="T933" s="4"/>
      <c r="U933" s="4"/>
      <c r="V933" s="4"/>
      <c r="W933" s="4"/>
    </row>
    <row r="934" spans="14:23" x14ac:dyDescent="0.4">
      <c r="N934" s="114"/>
      <c r="O934" s="115"/>
      <c r="P934" s="4"/>
      <c r="Q934" s="4"/>
      <c r="R934" s="4"/>
      <c r="S934" s="4"/>
      <c r="T934" s="4"/>
      <c r="U934" s="4"/>
      <c r="V934" s="4"/>
      <c r="W934" s="4"/>
    </row>
    <row r="935" spans="14:23" x14ac:dyDescent="0.4">
      <c r="N935" s="114"/>
      <c r="O935" s="115"/>
      <c r="P935" s="4"/>
      <c r="Q935" s="4"/>
      <c r="R935" s="4"/>
      <c r="S935" s="4"/>
      <c r="T935" s="4"/>
      <c r="U935" s="4"/>
      <c r="V935" s="4"/>
      <c r="W935" s="4"/>
    </row>
    <row r="936" spans="14:23" x14ac:dyDescent="0.4">
      <c r="N936" s="114"/>
      <c r="O936" s="115"/>
      <c r="P936" s="4"/>
      <c r="Q936" s="4"/>
      <c r="R936" s="4"/>
      <c r="S936" s="4"/>
      <c r="T936" s="4"/>
      <c r="U936" s="4"/>
      <c r="V936" s="4"/>
      <c r="W936" s="4"/>
    </row>
    <row r="937" spans="14:23" x14ac:dyDescent="0.4">
      <c r="N937" s="114"/>
      <c r="O937" s="115"/>
      <c r="P937" s="4"/>
      <c r="Q937" s="4"/>
      <c r="R937" s="4"/>
      <c r="S937" s="4"/>
      <c r="T937" s="4"/>
      <c r="U937" s="4"/>
      <c r="V937" s="4"/>
      <c r="W937" s="4"/>
    </row>
    <row r="938" spans="14:23" x14ac:dyDescent="0.4">
      <c r="N938" s="114"/>
      <c r="O938" s="115"/>
      <c r="P938" s="4"/>
      <c r="Q938" s="4"/>
      <c r="R938" s="4"/>
      <c r="S938" s="4"/>
      <c r="T938" s="4"/>
      <c r="U938" s="4"/>
      <c r="V938" s="4"/>
      <c r="W938" s="4"/>
    </row>
    <row r="939" spans="14:23" x14ac:dyDescent="0.4">
      <c r="N939" s="114"/>
      <c r="O939" s="115"/>
      <c r="P939" s="4"/>
      <c r="Q939" s="4"/>
      <c r="R939" s="4"/>
      <c r="S939" s="4"/>
      <c r="T939" s="4"/>
      <c r="U939" s="4"/>
      <c r="V939" s="4"/>
      <c r="W939" s="4"/>
    </row>
    <row r="940" spans="14:23" x14ac:dyDescent="0.4">
      <c r="N940" s="114"/>
      <c r="O940" s="115"/>
      <c r="P940" s="4"/>
      <c r="Q940" s="4"/>
      <c r="R940" s="4"/>
      <c r="S940" s="4"/>
      <c r="T940" s="4"/>
      <c r="U940" s="4"/>
      <c r="V940" s="4"/>
      <c r="W940" s="4"/>
    </row>
    <row r="941" spans="14:23" x14ac:dyDescent="0.4">
      <c r="N941" s="114"/>
      <c r="O941" s="115"/>
      <c r="P941" s="4"/>
      <c r="Q941" s="4"/>
      <c r="R941" s="4"/>
      <c r="S941" s="4"/>
      <c r="T941" s="4"/>
      <c r="U941" s="4"/>
      <c r="V941" s="4"/>
      <c r="W941" s="4"/>
    </row>
    <row r="942" spans="14:23" x14ac:dyDescent="0.4">
      <c r="N942" s="114"/>
      <c r="O942" s="115"/>
      <c r="P942" s="4"/>
      <c r="Q942" s="4"/>
      <c r="R942" s="4"/>
      <c r="S942" s="4"/>
      <c r="T942" s="4"/>
      <c r="U942" s="4"/>
      <c r="V942" s="4"/>
      <c r="W942" s="4"/>
    </row>
    <row r="943" spans="14:23" x14ac:dyDescent="0.4">
      <c r="N943" s="114"/>
      <c r="O943" s="115"/>
      <c r="P943" s="4"/>
      <c r="Q943" s="4"/>
      <c r="R943" s="4"/>
      <c r="S943" s="4"/>
      <c r="T943" s="4"/>
      <c r="U943" s="4"/>
      <c r="V943" s="4"/>
      <c r="W943" s="4"/>
    </row>
    <row r="944" spans="14:23" x14ac:dyDescent="0.4">
      <c r="N944" s="114"/>
      <c r="O944" s="115"/>
      <c r="P944" s="4"/>
      <c r="Q944" s="4"/>
      <c r="R944" s="4"/>
      <c r="S944" s="4"/>
      <c r="T944" s="4"/>
      <c r="U944" s="4"/>
      <c r="V944" s="4"/>
      <c r="W944" s="4"/>
    </row>
    <row r="945" spans="14:23" x14ac:dyDescent="0.4">
      <c r="N945" s="114"/>
      <c r="O945" s="115"/>
      <c r="P945" s="4"/>
      <c r="Q945" s="4"/>
      <c r="R945" s="4"/>
      <c r="S945" s="4"/>
      <c r="T945" s="4"/>
      <c r="U945" s="4"/>
      <c r="V945" s="4"/>
      <c r="W945" s="4"/>
    </row>
    <row r="946" spans="14:23" x14ac:dyDescent="0.4">
      <c r="N946" s="114"/>
      <c r="O946" s="115"/>
      <c r="P946" s="4"/>
      <c r="Q946" s="4"/>
      <c r="R946" s="4"/>
      <c r="S946" s="4"/>
      <c r="T946" s="4"/>
      <c r="U946" s="4"/>
      <c r="V946" s="4"/>
      <c r="W946" s="4"/>
    </row>
    <row r="947" spans="14:23" x14ac:dyDescent="0.4">
      <c r="N947" s="114"/>
      <c r="O947" s="115"/>
      <c r="P947" s="4"/>
      <c r="Q947" s="4"/>
      <c r="R947" s="4"/>
      <c r="S947" s="4"/>
      <c r="T947" s="4"/>
      <c r="U947" s="4"/>
      <c r="V947" s="4"/>
      <c r="W947" s="4"/>
    </row>
    <row r="948" spans="14:23" x14ac:dyDescent="0.4">
      <c r="N948" s="114"/>
      <c r="O948" s="115"/>
      <c r="P948" s="4"/>
      <c r="Q948" s="4"/>
      <c r="R948" s="4"/>
      <c r="S948" s="4"/>
      <c r="T948" s="4"/>
      <c r="U948" s="4"/>
      <c r="V948" s="4"/>
      <c r="W948" s="4"/>
    </row>
    <row r="949" spans="14:23" x14ac:dyDescent="0.4">
      <c r="N949" s="114"/>
      <c r="O949" s="115"/>
      <c r="P949" s="4"/>
      <c r="Q949" s="4"/>
      <c r="R949" s="4"/>
      <c r="S949" s="4"/>
      <c r="T949" s="4"/>
      <c r="U949" s="4"/>
      <c r="V949" s="4"/>
      <c r="W949" s="4"/>
    </row>
    <row r="950" spans="14:23" x14ac:dyDescent="0.4">
      <c r="N950" s="114"/>
      <c r="O950" s="115"/>
      <c r="P950" s="4"/>
      <c r="Q950" s="4"/>
      <c r="R950" s="4"/>
      <c r="S950" s="4"/>
      <c r="T950" s="4"/>
      <c r="U950" s="4"/>
      <c r="V950" s="4"/>
      <c r="W950" s="4"/>
    </row>
    <row r="951" spans="14:23" x14ac:dyDescent="0.4">
      <c r="N951" s="114"/>
      <c r="O951" s="115"/>
      <c r="P951" s="4"/>
      <c r="Q951" s="4"/>
      <c r="R951" s="4"/>
      <c r="S951" s="4"/>
      <c r="T951" s="4"/>
      <c r="U951" s="4"/>
      <c r="V951" s="4"/>
      <c r="W951" s="4"/>
    </row>
    <row r="952" spans="14:23" x14ac:dyDescent="0.4">
      <c r="N952" s="114"/>
      <c r="O952" s="115"/>
      <c r="P952" s="4"/>
      <c r="Q952" s="4"/>
      <c r="R952" s="4"/>
      <c r="S952" s="4"/>
      <c r="T952" s="4"/>
      <c r="U952" s="4"/>
      <c r="V952" s="4"/>
      <c r="W952" s="4"/>
    </row>
    <row r="953" spans="14:23" x14ac:dyDescent="0.4">
      <c r="N953" s="114"/>
      <c r="O953" s="115"/>
      <c r="P953" s="4"/>
      <c r="Q953" s="4"/>
      <c r="R953" s="4"/>
      <c r="S953" s="4"/>
      <c r="T953" s="4"/>
      <c r="U953" s="4"/>
      <c r="V953" s="4"/>
      <c r="W953" s="4"/>
    </row>
    <row r="954" spans="14:23" x14ac:dyDescent="0.4">
      <c r="N954" s="114"/>
      <c r="O954" s="115"/>
      <c r="P954" s="4"/>
      <c r="Q954" s="4"/>
      <c r="R954" s="4"/>
      <c r="S954" s="4"/>
      <c r="T954" s="4"/>
      <c r="U954" s="4"/>
      <c r="V954" s="4"/>
      <c r="W954" s="4"/>
    </row>
    <row r="955" spans="14:23" x14ac:dyDescent="0.4">
      <c r="N955" s="114"/>
      <c r="O955" s="115"/>
      <c r="P955" s="4"/>
      <c r="Q955" s="4"/>
      <c r="R955" s="4"/>
      <c r="S955" s="4"/>
      <c r="T955" s="4"/>
      <c r="U955" s="4"/>
      <c r="V955" s="4"/>
      <c r="W955" s="4"/>
    </row>
    <row r="956" spans="14:23" x14ac:dyDescent="0.4">
      <c r="N956" s="114"/>
      <c r="O956" s="115"/>
      <c r="P956" s="4"/>
      <c r="Q956" s="4"/>
      <c r="R956" s="4"/>
      <c r="S956" s="4"/>
      <c r="T956" s="4"/>
      <c r="U956" s="4"/>
      <c r="V956" s="4"/>
      <c r="W956" s="4"/>
    </row>
    <row r="957" spans="14:23" x14ac:dyDescent="0.4">
      <c r="N957" s="114"/>
      <c r="O957" s="115"/>
      <c r="P957" s="4"/>
      <c r="Q957" s="4"/>
      <c r="R957" s="4"/>
      <c r="S957" s="4"/>
      <c r="T957" s="4"/>
      <c r="U957" s="4"/>
      <c r="V957" s="4"/>
      <c r="W957" s="4"/>
    </row>
    <row r="958" spans="14:23" x14ac:dyDescent="0.4">
      <c r="N958" s="114"/>
      <c r="O958" s="115"/>
      <c r="P958" s="4"/>
      <c r="Q958" s="4"/>
      <c r="R958" s="4"/>
      <c r="S958" s="4"/>
      <c r="T958" s="4"/>
      <c r="U958" s="4"/>
      <c r="V958" s="4"/>
      <c r="W958" s="4"/>
    </row>
    <row r="959" spans="14:23" x14ac:dyDescent="0.4">
      <c r="N959" s="114"/>
      <c r="O959" s="115"/>
      <c r="P959" s="4"/>
      <c r="Q959" s="4"/>
      <c r="R959" s="4"/>
      <c r="S959" s="4"/>
      <c r="T959" s="4"/>
      <c r="U959" s="4"/>
      <c r="V959" s="4"/>
      <c r="W959" s="4"/>
    </row>
    <row r="960" spans="14:23" x14ac:dyDescent="0.4">
      <c r="N960" s="114"/>
      <c r="O960" s="115"/>
      <c r="P960" s="4"/>
      <c r="Q960" s="4"/>
      <c r="R960" s="4"/>
      <c r="S960" s="4"/>
      <c r="T960" s="4"/>
      <c r="U960" s="4"/>
      <c r="V960" s="4"/>
      <c r="W960" s="4"/>
    </row>
    <row r="961" spans="14:23" x14ac:dyDescent="0.4">
      <c r="N961" s="114"/>
      <c r="O961" s="115"/>
      <c r="P961" s="4"/>
      <c r="Q961" s="4"/>
      <c r="R961" s="4"/>
      <c r="S961" s="4"/>
      <c r="T961" s="4"/>
      <c r="U961" s="4"/>
      <c r="V961" s="4"/>
      <c r="W961" s="4"/>
    </row>
    <row r="962" spans="14:23" x14ac:dyDescent="0.4">
      <c r="N962" s="114"/>
      <c r="O962" s="115"/>
      <c r="P962" s="4"/>
      <c r="Q962" s="4"/>
      <c r="R962" s="4"/>
      <c r="S962" s="4"/>
      <c r="T962" s="4"/>
      <c r="U962" s="4"/>
      <c r="V962" s="4"/>
      <c r="W962" s="4"/>
    </row>
    <row r="963" spans="14:23" x14ac:dyDescent="0.4">
      <c r="N963" s="114"/>
      <c r="O963" s="115"/>
      <c r="P963" s="4"/>
      <c r="Q963" s="4"/>
      <c r="R963" s="4"/>
      <c r="S963" s="4"/>
      <c r="T963" s="4"/>
      <c r="U963" s="4"/>
      <c r="V963" s="4"/>
      <c r="W963" s="4"/>
    </row>
    <row r="964" spans="14:23" x14ac:dyDescent="0.4">
      <c r="N964" s="114"/>
      <c r="O964" s="115"/>
      <c r="P964" s="4"/>
      <c r="Q964" s="4"/>
      <c r="R964" s="4"/>
      <c r="S964" s="4"/>
      <c r="T964" s="4"/>
      <c r="U964" s="4"/>
      <c r="V964" s="4"/>
      <c r="W964" s="4"/>
    </row>
    <row r="965" spans="14:23" x14ac:dyDescent="0.4">
      <c r="N965" s="114"/>
      <c r="O965" s="115"/>
      <c r="P965" s="4"/>
      <c r="Q965" s="4"/>
      <c r="R965" s="4"/>
      <c r="S965" s="4"/>
      <c r="T965" s="4"/>
      <c r="U965" s="4"/>
      <c r="V965" s="4"/>
      <c r="W965" s="4"/>
    </row>
    <row r="966" spans="14:23" x14ac:dyDescent="0.4">
      <c r="N966" s="114"/>
      <c r="O966" s="115"/>
      <c r="P966" s="4"/>
      <c r="Q966" s="4"/>
      <c r="R966" s="4"/>
      <c r="S966" s="4"/>
      <c r="T966" s="4"/>
      <c r="U966" s="4"/>
      <c r="V966" s="4"/>
      <c r="W966" s="4"/>
    </row>
    <row r="967" spans="14:23" x14ac:dyDescent="0.4">
      <c r="N967" s="114"/>
      <c r="O967" s="115"/>
      <c r="P967" s="4"/>
      <c r="Q967" s="4"/>
      <c r="R967" s="4"/>
      <c r="S967" s="4"/>
      <c r="T967" s="4"/>
      <c r="U967" s="4"/>
      <c r="V967" s="4"/>
      <c r="W967" s="4"/>
    </row>
    <row r="968" spans="14:23" x14ac:dyDescent="0.4">
      <c r="N968" s="114"/>
      <c r="O968" s="115"/>
      <c r="P968" s="4"/>
      <c r="Q968" s="4"/>
      <c r="R968" s="4"/>
      <c r="S968" s="4"/>
      <c r="T968" s="4"/>
      <c r="U968" s="4"/>
      <c r="V968" s="4"/>
      <c r="W968" s="4"/>
    </row>
    <row r="969" spans="14:23" x14ac:dyDescent="0.4">
      <c r="N969" s="114"/>
      <c r="O969" s="115"/>
      <c r="P969" s="4"/>
      <c r="Q969" s="4"/>
      <c r="R969" s="4"/>
      <c r="S969" s="4"/>
      <c r="T969" s="4"/>
      <c r="U969" s="4"/>
      <c r="V969" s="4"/>
      <c r="W969" s="4"/>
    </row>
    <row r="970" spans="14:23" x14ac:dyDescent="0.4">
      <c r="N970" s="114"/>
      <c r="O970" s="115"/>
      <c r="P970" s="4"/>
      <c r="Q970" s="4"/>
      <c r="R970" s="4"/>
      <c r="S970" s="4"/>
      <c r="T970" s="4"/>
      <c r="U970" s="4"/>
      <c r="V970" s="4"/>
      <c r="W970" s="4"/>
    </row>
    <row r="971" spans="14:23" x14ac:dyDescent="0.4">
      <c r="N971" s="114"/>
      <c r="O971" s="115"/>
      <c r="P971" s="4"/>
      <c r="Q971" s="4"/>
      <c r="R971" s="4"/>
      <c r="S971" s="4"/>
      <c r="T971" s="4"/>
      <c r="U971" s="4"/>
      <c r="V971" s="4"/>
      <c r="W971" s="4"/>
    </row>
    <row r="972" spans="14:23" x14ac:dyDescent="0.4">
      <c r="N972" s="114"/>
      <c r="O972" s="115"/>
      <c r="P972" s="4"/>
      <c r="Q972" s="4"/>
      <c r="R972" s="4"/>
      <c r="S972" s="4"/>
      <c r="T972" s="4"/>
      <c r="U972" s="4"/>
      <c r="V972" s="4"/>
      <c r="W972" s="4"/>
    </row>
    <row r="973" spans="14:23" x14ac:dyDescent="0.4">
      <c r="N973" s="114"/>
      <c r="O973" s="115"/>
      <c r="P973" s="4"/>
      <c r="Q973" s="4"/>
      <c r="R973" s="4"/>
      <c r="S973" s="4"/>
      <c r="T973" s="4"/>
      <c r="U973" s="4"/>
      <c r="V973" s="4"/>
      <c r="W973" s="4"/>
    </row>
    <row r="974" spans="14:23" x14ac:dyDescent="0.4">
      <c r="N974" s="114"/>
      <c r="O974" s="115"/>
      <c r="P974" s="4"/>
      <c r="Q974" s="4"/>
      <c r="R974" s="4"/>
      <c r="S974" s="4"/>
      <c r="T974" s="4"/>
      <c r="U974" s="4"/>
      <c r="V974" s="4"/>
      <c r="W974" s="4"/>
    </row>
    <row r="975" spans="14:23" x14ac:dyDescent="0.4">
      <c r="N975" s="114"/>
      <c r="O975" s="115"/>
      <c r="P975" s="4"/>
      <c r="Q975" s="4"/>
      <c r="R975" s="4"/>
      <c r="S975" s="4"/>
      <c r="T975" s="4"/>
      <c r="U975" s="4"/>
      <c r="V975" s="4"/>
      <c r="W975" s="4"/>
    </row>
    <row r="976" spans="14:23" x14ac:dyDescent="0.4">
      <c r="N976" s="114"/>
      <c r="O976" s="115"/>
      <c r="P976" s="4"/>
      <c r="Q976" s="4"/>
      <c r="R976" s="4"/>
      <c r="S976" s="4"/>
      <c r="T976" s="4"/>
      <c r="U976" s="4"/>
      <c r="V976" s="4"/>
      <c r="W976" s="4"/>
    </row>
    <row r="977" spans="14:23" x14ac:dyDescent="0.4">
      <c r="N977" s="114"/>
      <c r="O977" s="115"/>
      <c r="P977" s="4"/>
      <c r="Q977" s="4"/>
      <c r="R977" s="4"/>
      <c r="S977" s="4"/>
      <c r="T977" s="4"/>
      <c r="U977" s="4"/>
      <c r="V977" s="4"/>
      <c r="W977" s="4"/>
    </row>
    <row r="978" spans="14:23" x14ac:dyDescent="0.4">
      <c r="N978" s="114"/>
      <c r="O978" s="115"/>
      <c r="P978" s="4"/>
      <c r="Q978" s="4"/>
      <c r="R978" s="4"/>
      <c r="S978" s="4"/>
      <c r="T978" s="4"/>
      <c r="U978" s="4"/>
      <c r="V978" s="4"/>
      <c r="W978" s="4"/>
    </row>
    <row r="979" spans="14:23" x14ac:dyDescent="0.4">
      <c r="N979" s="114"/>
      <c r="O979" s="115"/>
      <c r="P979" s="4"/>
      <c r="Q979" s="4"/>
      <c r="R979" s="4"/>
      <c r="S979" s="4"/>
      <c r="T979" s="4"/>
      <c r="U979" s="4"/>
      <c r="V979" s="4"/>
      <c r="W979" s="4"/>
    </row>
    <row r="980" spans="14:23" x14ac:dyDescent="0.4">
      <c r="N980" s="114"/>
      <c r="O980" s="115"/>
      <c r="P980" s="4"/>
      <c r="Q980" s="4"/>
      <c r="R980" s="4"/>
      <c r="S980" s="4"/>
      <c r="T980" s="4"/>
      <c r="U980" s="4"/>
      <c r="V980" s="4"/>
      <c r="W980" s="4"/>
    </row>
    <row r="981" spans="14:23" x14ac:dyDescent="0.4">
      <c r="N981" s="114"/>
      <c r="O981" s="115"/>
      <c r="P981" s="4"/>
      <c r="Q981" s="4"/>
      <c r="R981" s="4"/>
      <c r="S981" s="4"/>
      <c r="T981" s="4"/>
      <c r="U981" s="4"/>
      <c r="V981" s="4"/>
      <c r="W981" s="4"/>
    </row>
    <row r="982" spans="14:23" x14ac:dyDescent="0.4">
      <c r="N982" s="114"/>
      <c r="O982" s="115"/>
      <c r="P982" s="4"/>
      <c r="Q982" s="4"/>
      <c r="R982" s="4"/>
      <c r="S982" s="4"/>
      <c r="T982" s="4"/>
      <c r="U982" s="4"/>
      <c r="V982" s="4"/>
      <c r="W982" s="4"/>
    </row>
    <row r="983" spans="14:23" x14ac:dyDescent="0.4">
      <c r="N983" s="114"/>
      <c r="O983" s="115"/>
      <c r="P983" s="4"/>
      <c r="Q983" s="4"/>
      <c r="R983" s="4"/>
      <c r="S983" s="4"/>
      <c r="T983" s="4"/>
      <c r="U983" s="4"/>
      <c r="V983" s="4"/>
      <c r="W983" s="4"/>
    </row>
    <row r="984" spans="14:23" x14ac:dyDescent="0.4">
      <c r="N984" s="114"/>
      <c r="O984" s="115"/>
      <c r="P984" s="4"/>
      <c r="Q984" s="4"/>
      <c r="R984" s="4"/>
      <c r="S984" s="4"/>
      <c r="T984" s="4"/>
      <c r="U984" s="4"/>
      <c r="V984" s="4"/>
      <c r="W984" s="4"/>
    </row>
    <row r="985" spans="14:23" x14ac:dyDescent="0.4">
      <c r="N985" s="114"/>
      <c r="O985" s="115"/>
      <c r="P985" s="4"/>
      <c r="Q985" s="4"/>
      <c r="R985" s="4"/>
      <c r="S985" s="4"/>
      <c r="T985" s="4"/>
      <c r="U985" s="4"/>
      <c r="V985" s="4"/>
      <c r="W985" s="4"/>
    </row>
    <row r="986" spans="14:23" x14ac:dyDescent="0.4">
      <c r="N986" s="114"/>
      <c r="O986" s="115"/>
      <c r="P986" s="4"/>
      <c r="Q986" s="4"/>
      <c r="R986" s="4"/>
      <c r="S986" s="4"/>
      <c r="T986" s="4"/>
      <c r="U986" s="4"/>
      <c r="V986" s="4"/>
      <c r="W986" s="4"/>
    </row>
    <row r="987" spans="14:23" x14ac:dyDescent="0.4">
      <c r="N987" s="114"/>
      <c r="O987" s="115"/>
      <c r="P987" s="4"/>
      <c r="Q987" s="4"/>
      <c r="R987" s="4"/>
      <c r="S987" s="4"/>
      <c r="T987" s="4"/>
      <c r="U987" s="4"/>
      <c r="V987" s="4"/>
      <c r="W987" s="4"/>
    </row>
    <row r="988" spans="14:23" x14ac:dyDescent="0.4">
      <c r="N988" s="114"/>
      <c r="O988" s="115"/>
      <c r="P988" s="4"/>
      <c r="Q988" s="4"/>
      <c r="R988" s="4"/>
      <c r="S988" s="4"/>
      <c r="T988" s="4"/>
      <c r="U988" s="4"/>
      <c r="V988" s="4"/>
      <c r="W988" s="4"/>
    </row>
    <row r="989" spans="14:23" x14ac:dyDescent="0.4">
      <c r="N989" s="114"/>
      <c r="O989" s="115"/>
      <c r="P989" s="4"/>
      <c r="Q989" s="4"/>
      <c r="R989" s="4"/>
      <c r="S989" s="4"/>
      <c r="T989" s="4"/>
      <c r="U989" s="4"/>
      <c r="V989" s="4"/>
      <c r="W989" s="4"/>
    </row>
    <row r="990" spans="14:23" x14ac:dyDescent="0.4">
      <c r="N990" s="114"/>
      <c r="O990" s="115"/>
      <c r="P990" s="4"/>
      <c r="Q990" s="4"/>
      <c r="R990" s="4"/>
      <c r="S990" s="4"/>
      <c r="T990" s="4"/>
      <c r="U990" s="4"/>
      <c r="V990" s="4"/>
      <c r="W990" s="4"/>
    </row>
    <row r="991" spans="14:23" x14ac:dyDescent="0.4">
      <c r="N991" s="114"/>
      <c r="O991" s="115"/>
      <c r="P991" s="4"/>
      <c r="Q991" s="4"/>
      <c r="R991" s="4"/>
      <c r="S991" s="4"/>
      <c r="T991" s="4"/>
      <c r="U991" s="4"/>
      <c r="V991" s="4"/>
      <c r="W991" s="4"/>
    </row>
    <row r="992" spans="14:23" x14ac:dyDescent="0.4">
      <c r="N992" s="114"/>
      <c r="O992" s="115"/>
      <c r="P992" s="4"/>
      <c r="Q992" s="4"/>
      <c r="R992" s="4"/>
      <c r="S992" s="4"/>
      <c r="T992" s="4"/>
      <c r="U992" s="4"/>
      <c r="V992" s="4"/>
      <c r="W992" s="4"/>
    </row>
    <row r="993" spans="14:23" x14ac:dyDescent="0.4">
      <c r="N993" s="114"/>
      <c r="O993" s="115"/>
      <c r="P993" s="4"/>
      <c r="Q993" s="4"/>
      <c r="R993" s="4"/>
      <c r="S993" s="4"/>
      <c r="T993" s="4"/>
      <c r="U993" s="4"/>
      <c r="V993" s="4"/>
      <c r="W993" s="4"/>
    </row>
    <row r="994" spans="14:23" x14ac:dyDescent="0.4">
      <c r="N994" s="114"/>
      <c r="O994" s="115"/>
      <c r="P994" s="4"/>
      <c r="Q994" s="4"/>
      <c r="R994" s="4"/>
      <c r="S994" s="4"/>
      <c r="T994" s="4"/>
      <c r="U994" s="4"/>
      <c r="V994" s="4"/>
      <c r="W994" s="4"/>
    </row>
    <row r="995" spans="14:23" x14ac:dyDescent="0.4">
      <c r="N995" s="114"/>
      <c r="O995" s="115"/>
      <c r="P995" s="4"/>
      <c r="Q995" s="4"/>
      <c r="R995" s="4"/>
      <c r="S995" s="4"/>
      <c r="T995" s="4"/>
      <c r="U995" s="4"/>
      <c r="V995" s="4"/>
      <c r="W995" s="4"/>
    </row>
    <row r="996" spans="14:23" x14ac:dyDescent="0.4">
      <c r="N996" s="114"/>
      <c r="O996" s="115"/>
      <c r="P996" s="4"/>
      <c r="Q996" s="4"/>
      <c r="R996" s="4"/>
      <c r="S996" s="4"/>
      <c r="T996" s="4"/>
      <c r="U996" s="4"/>
      <c r="V996" s="4"/>
      <c r="W996" s="4"/>
    </row>
    <row r="997" spans="14:23" x14ac:dyDescent="0.4">
      <c r="N997" s="114"/>
      <c r="O997" s="115"/>
      <c r="P997" s="4"/>
      <c r="Q997" s="4"/>
      <c r="R997" s="4"/>
      <c r="S997" s="4"/>
      <c r="T997" s="4"/>
      <c r="U997" s="4"/>
      <c r="V997" s="4"/>
      <c r="W997" s="4"/>
    </row>
    <row r="998" spans="14:23" x14ac:dyDescent="0.4">
      <c r="N998" s="114"/>
      <c r="O998" s="115"/>
      <c r="P998" s="4"/>
      <c r="Q998" s="4"/>
      <c r="R998" s="4"/>
      <c r="S998" s="4"/>
      <c r="T998" s="4"/>
      <c r="U998" s="4"/>
      <c r="V998" s="4"/>
      <c r="W998" s="4"/>
    </row>
    <row r="999" spans="14:23" x14ac:dyDescent="0.4">
      <c r="N999" s="114"/>
      <c r="O999" s="115"/>
      <c r="P999" s="4"/>
      <c r="Q999" s="4"/>
      <c r="R999" s="4"/>
      <c r="S999" s="4"/>
      <c r="T999" s="4"/>
      <c r="U999" s="4"/>
      <c r="V999" s="4"/>
      <c r="W999" s="4"/>
    </row>
    <row r="1000" spans="14:23" x14ac:dyDescent="0.4">
      <c r="N1000" s="114"/>
      <c r="O1000" s="115"/>
      <c r="P1000" s="4"/>
      <c r="Q1000" s="4"/>
      <c r="R1000" s="4"/>
      <c r="S1000" s="4"/>
      <c r="T1000" s="4"/>
      <c r="U1000" s="4"/>
      <c r="V1000" s="4"/>
      <c r="W1000" s="4"/>
    </row>
    <row r="1001" spans="14:23" x14ac:dyDescent="0.4">
      <c r="N1001" s="114"/>
      <c r="O1001" s="115"/>
      <c r="P1001" s="4"/>
      <c r="Q1001" s="4"/>
      <c r="R1001" s="4"/>
      <c r="S1001" s="4"/>
      <c r="T1001" s="4"/>
      <c r="U1001" s="4"/>
      <c r="V1001" s="4"/>
      <c r="W1001" s="4"/>
    </row>
    <row r="1002" spans="14:23" x14ac:dyDescent="0.4">
      <c r="N1002" s="114"/>
      <c r="O1002" s="115"/>
      <c r="P1002" s="4"/>
      <c r="Q1002" s="4"/>
      <c r="R1002" s="4"/>
      <c r="S1002" s="4"/>
      <c r="T1002" s="4"/>
      <c r="U1002" s="4"/>
      <c r="V1002" s="4"/>
      <c r="W1002" s="4"/>
    </row>
    <row r="1003" spans="14:23" x14ac:dyDescent="0.4">
      <c r="N1003" s="114"/>
      <c r="O1003" s="115"/>
      <c r="P1003" s="4"/>
      <c r="Q1003" s="4"/>
      <c r="R1003" s="4"/>
      <c r="S1003" s="4"/>
      <c r="T1003" s="4"/>
      <c r="U1003" s="4"/>
      <c r="V1003" s="4"/>
      <c r="W1003" s="4"/>
    </row>
    <row r="1004" spans="14:23" x14ac:dyDescent="0.4">
      <c r="N1004" s="114"/>
      <c r="O1004" s="115"/>
      <c r="P1004" s="4"/>
      <c r="Q1004" s="4"/>
      <c r="R1004" s="4"/>
      <c r="S1004" s="4"/>
      <c r="T1004" s="4"/>
      <c r="U1004" s="4"/>
      <c r="V1004" s="4"/>
      <c r="W1004" s="4"/>
    </row>
    <row r="1005" spans="14:23" x14ac:dyDescent="0.4">
      <c r="N1005" s="114"/>
      <c r="O1005" s="115"/>
      <c r="P1005" s="4"/>
      <c r="Q1005" s="4"/>
      <c r="R1005" s="4"/>
      <c r="S1005" s="4"/>
      <c r="T1005" s="4"/>
      <c r="U1005" s="4"/>
      <c r="V1005" s="4"/>
      <c r="W1005" s="4"/>
    </row>
    <row r="1006" spans="14:23" x14ac:dyDescent="0.4">
      <c r="N1006" s="114"/>
      <c r="O1006" s="115"/>
      <c r="P1006" s="4"/>
      <c r="Q1006" s="4"/>
      <c r="R1006" s="4"/>
      <c r="S1006" s="4"/>
      <c r="T1006" s="4"/>
      <c r="U1006" s="4"/>
      <c r="V1006" s="4"/>
      <c r="W1006" s="4"/>
    </row>
    <row r="1007" spans="14:23" x14ac:dyDescent="0.4">
      <c r="N1007" s="114"/>
      <c r="O1007" s="115"/>
      <c r="P1007" s="4"/>
      <c r="Q1007" s="4"/>
      <c r="R1007" s="4"/>
      <c r="S1007" s="4"/>
      <c r="T1007" s="4"/>
      <c r="U1007" s="4"/>
      <c r="V1007" s="4"/>
      <c r="W1007" s="4"/>
    </row>
    <row r="1008" spans="14:23" x14ac:dyDescent="0.4">
      <c r="N1008" s="114"/>
      <c r="O1008" s="115"/>
      <c r="P1008" s="4"/>
      <c r="Q1008" s="4"/>
      <c r="R1008" s="4"/>
      <c r="S1008" s="4"/>
      <c r="T1008" s="4"/>
      <c r="U1008" s="4"/>
      <c r="V1008" s="4"/>
      <c r="W1008" s="4"/>
    </row>
    <row r="1009" spans="14:23" x14ac:dyDescent="0.4">
      <c r="N1009" s="114"/>
      <c r="O1009" s="115"/>
      <c r="P1009" s="4"/>
      <c r="Q1009" s="4"/>
      <c r="R1009" s="4"/>
      <c r="S1009" s="4"/>
      <c r="T1009" s="4"/>
      <c r="U1009" s="4"/>
      <c r="V1009" s="4"/>
      <c r="W1009" s="4"/>
    </row>
    <row r="1010" spans="14:23" x14ac:dyDescent="0.4">
      <c r="N1010" s="114"/>
      <c r="O1010" s="115"/>
      <c r="P1010" s="4"/>
      <c r="Q1010" s="4"/>
      <c r="R1010" s="4"/>
      <c r="S1010" s="4"/>
      <c r="T1010" s="4"/>
      <c r="U1010" s="4"/>
      <c r="V1010" s="4"/>
      <c r="W1010" s="4"/>
    </row>
    <row r="1011" spans="14:23" x14ac:dyDescent="0.4">
      <c r="N1011" s="114"/>
      <c r="O1011" s="115"/>
      <c r="P1011" s="4"/>
      <c r="Q1011" s="4"/>
      <c r="R1011" s="4"/>
      <c r="S1011" s="4"/>
      <c r="T1011" s="4"/>
      <c r="U1011" s="4"/>
      <c r="V1011" s="4"/>
      <c r="W1011" s="4"/>
    </row>
    <row r="1012" spans="14:23" x14ac:dyDescent="0.4">
      <c r="N1012" s="114"/>
      <c r="O1012" s="115"/>
      <c r="P1012" s="4"/>
      <c r="Q1012" s="4"/>
      <c r="R1012" s="4"/>
      <c r="S1012" s="4"/>
      <c r="T1012" s="4"/>
      <c r="U1012" s="4"/>
      <c r="V1012" s="4"/>
      <c r="W1012" s="4"/>
    </row>
    <row r="1013" spans="14:23" x14ac:dyDescent="0.4">
      <c r="N1013" s="114"/>
      <c r="O1013" s="115"/>
      <c r="P1013" s="4"/>
      <c r="Q1013" s="4"/>
      <c r="R1013" s="4"/>
      <c r="S1013" s="4"/>
      <c r="T1013" s="4"/>
      <c r="U1013" s="4"/>
      <c r="V1013" s="4"/>
      <c r="W1013" s="4"/>
    </row>
    <row r="1014" spans="14:23" x14ac:dyDescent="0.4">
      <c r="N1014" s="114"/>
      <c r="O1014" s="115"/>
      <c r="P1014" s="4"/>
      <c r="Q1014" s="4"/>
      <c r="R1014" s="4"/>
      <c r="S1014" s="4"/>
      <c r="T1014" s="4"/>
      <c r="U1014" s="4"/>
      <c r="V1014" s="4"/>
      <c r="W1014" s="4"/>
    </row>
    <row r="1015" spans="14:23" x14ac:dyDescent="0.4">
      <c r="N1015" s="114"/>
      <c r="O1015" s="115"/>
      <c r="P1015" s="4"/>
      <c r="Q1015" s="4"/>
      <c r="R1015" s="4"/>
      <c r="S1015" s="4"/>
      <c r="T1015" s="4"/>
      <c r="U1015" s="4"/>
      <c r="V1015" s="4"/>
      <c r="W1015" s="4"/>
    </row>
    <row r="1016" spans="14:23" x14ac:dyDescent="0.4">
      <c r="N1016" s="114"/>
      <c r="O1016" s="115"/>
      <c r="P1016" s="4"/>
      <c r="Q1016" s="4"/>
      <c r="R1016" s="4"/>
      <c r="S1016" s="4"/>
      <c r="T1016" s="4"/>
      <c r="U1016" s="4"/>
      <c r="V1016" s="4"/>
      <c r="W1016" s="4"/>
    </row>
    <row r="1017" spans="14:23" x14ac:dyDescent="0.4">
      <c r="N1017" s="114"/>
      <c r="O1017" s="115"/>
      <c r="P1017" s="4"/>
      <c r="Q1017" s="4"/>
      <c r="R1017" s="4"/>
      <c r="S1017" s="4"/>
      <c r="T1017" s="4"/>
      <c r="U1017" s="4"/>
      <c r="V1017" s="4"/>
      <c r="W1017" s="4"/>
    </row>
    <row r="1018" spans="14:23" x14ac:dyDescent="0.4">
      <c r="N1018" s="114"/>
      <c r="O1018" s="115"/>
      <c r="P1018" s="4"/>
      <c r="Q1018" s="4"/>
      <c r="R1018" s="4"/>
      <c r="S1018" s="4"/>
      <c r="T1018" s="4"/>
      <c r="U1018" s="4"/>
      <c r="V1018" s="4"/>
      <c r="W1018" s="4"/>
    </row>
    <row r="1019" spans="14:23" x14ac:dyDescent="0.4">
      <c r="N1019" s="114"/>
      <c r="O1019" s="115"/>
      <c r="P1019" s="4"/>
      <c r="Q1019" s="4"/>
      <c r="R1019" s="4"/>
      <c r="S1019" s="4"/>
      <c r="T1019" s="4"/>
      <c r="U1019" s="4"/>
      <c r="V1019" s="4"/>
      <c r="W1019" s="4"/>
    </row>
    <row r="1020" spans="14:23" x14ac:dyDescent="0.4">
      <c r="N1020" s="114"/>
      <c r="O1020" s="115"/>
      <c r="P1020" s="4"/>
      <c r="Q1020" s="4"/>
      <c r="R1020" s="4"/>
      <c r="S1020" s="4"/>
      <c r="T1020" s="4"/>
      <c r="U1020" s="4"/>
      <c r="V1020" s="4"/>
      <c r="W1020" s="4"/>
    </row>
    <row r="1021" spans="14:23" x14ac:dyDescent="0.4">
      <c r="N1021" s="114"/>
      <c r="O1021" s="115"/>
      <c r="P1021" s="4"/>
      <c r="Q1021" s="4"/>
      <c r="R1021" s="4"/>
      <c r="S1021" s="4"/>
      <c r="T1021" s="4"/>
      <c r="U1021" s="4"/>
      <c r="V1021" s="4"/>
      <c r="W1021" s="4"/>
    </row>
    <row r="1022" spans="14:23" x14ac:dyDescent="0.4">
      <c r="N1022" s="114"/>
      <c r="O1022" s="115"/>
      <c r="P1022" s="4"/>
      <c r="Q1022" s="4"/>
      <c r="R1022" s="4"/>
      <c r="S1022" s="4"/>
      <c r="T1022" s="4"/>
      <c r="U1022" s="4"/>
      <c r="V1022" s="4"/>
      <c r="W1022" s="4"/>
    </row>
    <row r="1023" spans="14:23" x14ac:dyDescent="0.4">
      <c r="N1023" s="114"/>
      <c r="O1023" s="115"/>
      <c r="P1023" s="4"/>
      <c r="Q1023" s="4"/>
      <c r="R1023" s="4"/>
      <c r="S1023" s="4"/>
      <c r="T1023" s="4"/>
      <c r="U1023" s="4"/>
      <c r="V1023" s="4"/>
      <c r="W1023" s="4"/>
    </row>
    <row r="1024" spans="14:23" x14ac:dyDescent="0.4">
      <c r="N1024" s="114"/>
      <c r="O1024" s="115"/>
      <c r="P1024" s="4"/>
      <c r="Q1024" s="4"/>
      <c r="R1024" s="4"/>
      <c r="S1024" s="4"/>
      <c r="T1024" s="4"/>
      <c r="U1024" s="4"/>
      <c r="V1024" s="4"/>
      <c r="W1024" s="4"/>
    </row>
    <row r="1025" spans="14:23" x14ac:dyDescent="0.4">
      <c r="N1025" s="114"/>
      <c r="O1025" s="115"/>
      <c r="P1025" s="4"/>
      <c r="Q1025" s="4"/>
      <c r="R1025" s="4"/>
      <c r="S1025" s="4"/>
      <c r="T1025" s="4"/>
      <c r="U1025" s="4"/>
      <c r="V1025" s="4"/>
      <c r="W1025" s="4"/>
    </row>
    <row r="1026" spans="14:23" x14ac:dyDescent="0.4">
      <c r="N1026" s="114"/>
      <c r="O1026" s="115"/>
      <c r="P1026" s="4"/>
      <c r="Q1026" s="4"/>
      <c r="R1026" s="4"/>
      <c r="S1026" s="4"/>
      <c r="T1026" s="4"/>
      <c r="U1026" s="4"/>
      <c r="V1026" s="4"/>
      <c r="W1026" s="4"/>
    </row>
    <row r="1027" spans="14:23" x14ac:dyDescent="0.4">
      <c r="N1027" s="114"/>
      <c r="O1027" s="115"/>
      <c r="P1027" s="4"/>
      <c r="Q1027" s="4"/>
      <c r="R1027" s="4"/>
      <c r="S1027" s="4"/>
      <c r="T1027" s="4"/>
      <c r="U1027" s="4"/>
      <c r="V1027" s="4"/>
      <c r="W1027" s="4"/>
    </row>
    <row r="1028" spans="14:23" x14ac:dyDescent="0.4">
      <c r="N1028" s="114"/>
      <c r="O1028" s="115"/>
      <c r="P1028" s="4"/>
      <c r="Q1028" s="4"/>
      <c r="R1028" s="4"/>
      <c r="S1028" s="4"/>
      <c r="T1028" s="4"/>
      <c r="U1028" s="4"/>
      <c r="V1028" s="4"/>
      <c r="W1028" s="4"/>
    </row>
    <row r="1029" spans="14:23" x14ac:dyDescent="0.4">
      <c r="N1029" s="114"/>
      <c r="O1029" s="115"/>
      <c r="P1029" s="4"/>
      <c r="Q1029" s="4"/>
      <c r="R1029" s="4"/>
      <c r="S1029" s="4"/>
      <c r="T1029" s="4"/>
      <c r="U1029" s="4"/>
      <c r="V1029" s="4"/>
      <c r="W1029" s="4"/>
    </row>
    <row r="1030" spans="14:23" x14ac:dyDescent="0.4">
      <c r="N1030" s="114"/>
      <c r="O1030" s="115"/>
      <c r="P1030" s="4"/>
      <c r="Q1030" s="4"/>
      <c r="R1030" s="4"/>
      <c r="S1030" s="4"/>
      <c r="T1030" s="4"/>
      <c r="U1030" s="4"/>
      <c r="V1030" s="4"/>
      <c r="W1030" s="4"/>
    </row>
    <row r="1031" spans="14:23" x14ac:dyDescent="0.4">
      <c r="N1031" s="114"/>
      <c r="O1031" s="115"/>
      <c r="P1031" s="4"/>
      <c r="Q1031" s="4"/>
      <c r="R1031" s="4"/>
      <c r="S1031" s="4"/>
      <c r="T1031" s="4"/>
      <c r="U1031" s="4"/>
      <c r="V1031" s="4"/>
      <c r="W1031" s="4"/>
    </row>
    <row r="1032" spans="14:23" x14ac:dyDescent="0.4">
      <c r="N1032" s="114"/>
      <c r="O1032" s="115"/>
      <c r="P1032" s="4"/>
      <c r="Q1032" s="4"/>
      <c r="R1032" s="4"/>
      <c r="S1032" s="4"/>
      <c r="T1032" s="4"/>
      <c r="U1032" s="4"/>
      <c r="V1032" s="4"/>
      <c r="W1032" s="4"/>
    </row>
    <row r="1033" spans="14:23" x14ac:dyDescent="0.4">
      <c r="N1033" s="114"/>
      <c r="O1033" s="115"/>
      <c r="P1033" s="4"/>
      <c r="Q1033" s="4"/>
      <c r="R1033" s="4"/>
      <c r="S1033" s="4"/>
      <c r="T1033" s="4"/>
      <c r="U1033" s="4"/>
      <c r="V1033" s="4"/>
      <c r="W1033" s="4"/>
    </row>
    <row r="1034" spans="14:23" x14ac:dyDescent="0.4">
      <c r="N1034" s="114"/>
      <c r="O1034" s="115"/>
      <c r="P1034" s="4"/>
      <c r="Q1034" s="4"/>
      <c r="R1034" s="4"/>
      <c r="S1034" s="4"/>
      <c r="T1034" s="4"/>
      <c r="U1034" s="4"/>
      <c r="V1034" s="4"/>
      <c r="W1034" s="4"/>
    </row>
    <row r="1035" spans="14:23" x14ac:dyDescent="0.4">
      <c r="N1035" s="114"/>
      <c r="O1035" s="115"/>
      <c r="P1035" s="4"/>
      <c r="Q1035" s="4"/>
      <c r="R1035" s="4"/>
      <c r="S1035" s="4"/>
      <c r="T1035" s="4"/>
      <c r="U1035" s="4"/>
      <c r="V1035" s="4"/>
      <c r="W1035" s="4"/>
    </row>
    <row r="1036" spans="14:23" x14ac:dyDescent="0.4">
      <c r="N1036" s="114"/>
      <c r="O1036" s="115"/>
      <c r="P1036" s="4"/>
      <c r="Q1036" s="4"/>
      <c r="R1036" s="4"/>
      <c r="S1036" s="4"/>
      <c r="T1036" s="4"/>
      <c r="U1036" s="4"/>
      <c r="V1036" s="4"/>
      <c r="W1036" s="4"/>
    </row>
    <row r="1037" spans="14:23" x14ac:dyDescent="0.4">
      <c r="N1037" s="114"/>
      <c r="O1037" s="115"/>
      <c r="P1037" s="4"/>
      <c r="Q1037" s="4"/>
      <c r="R1037" s="4"/>
      <c r="S1037" s="4"/>
      <c r="T1037" s="4"/>
      <c r="U1037" s="4"/>
      <c r="V1037" s="4"/>
      <c r="W1037" s="4"/>
    </row>
    <row r="1038" spans="14:23" x14ac:dyDescent="0.4">
      <c r="N1038" s="114"/>
      <c r="O1038" s="115"/>
      <c r="P1038" s="4"/>
      <c r="Q1038" s="4"/>
      <c r="R1038" s="4"/>
      <c r="S1038" s="4"/>
      <c r="T1038" s="4"/>
      <c r="U1038" s="4"/>
      <c r="V1038" s="4"/>
      <c r="W1038" s="4"/>
    </row>
    <row r="1039" spans="14:23" x14ac:dyDescent="0.4">
      <c r="N1039" s="114"/>
      <c r="O1039" s="115"/>
      <c r="P1039" s="4"/>
      <c r="Q1039" s="4"/>
      <c r="R1039" s="4"/>
      <c r="S1039" s="4"/>
      <c r="T1039" s="4"/>
      <c r="U1039" s="4"/>
      <c r="V1039" s="4"/>
      <c r="W1039" s="4"/>
    </row>
    <row r="1040" spans="14:23" x14ac:dyDescent="0.4">
      <c r="N1040" s="114"/>
      <c r="O1040" s="115"/>
      <c r="P1040" s="4"/>
      <c r="Q1040" s="4"/>
      <c r="R1040" s="4"/>
      <c r="S1040" s="4"/>
      <c r="T1040" s="4"/>
      <c r="U1040" s="4"/>
      <c r="V1040" s="4"/>
      <c r="W1040" s="4"/>
    </row>
    <row r="1041" spans="14:23" x14ac:dyDescent="0.4">
      <c r="N1041" s="114"/>
      <c r="O1041" s="115"/>
      <c r="P1041" s="4"/>
      <c r="Q1041" s="4"/>
      <c r="R1041" s="4"/>
      <c r="S1041" s="4"/>
      <c r="T1041" s="4"/>
      <c r="U1041" s="4"/>
      <c r="V1041" s="4"/>
      <c r="W1041" s="4"/>
    </row>
    <row r="1042" spans="14:23" x14ac:dyDescent="0.4">
      <c r="N1042" s="114"/>
      <c r="O1042" s="115"/>
      <c r="P1042" s="4"/>
      <c r="Q1042" s="4"/>
      <c r="R1042" s="4"/>
      <c r="S1042" s="4"/>
      <c r="T1042" s="4"/>
      <c r="U1042" s="4"/>
      <c r="V1042" s="4"/>
      <c r="W1042" s="4"/>
    </row>
    <row r="1043" spans="14:23" x14ac:dyDescent="0.4">
      <c r="N1043" s="114"/>
      <c r="O1043" s="115"/>
      <c r="P1043" s="4"/>
      <c r="Q1043" s="4"/>
      <c r="R1043" s="4"/>
      <c r="S1043" s="4"/>
      <c r="T1043" s="4"/>
      <c r="U1043" s="4"/>
      <c r="V1043" s="4"/>
      <c r="W1043" s="4"/>
    </row>
    <row r="1044" spans="14:23" x14ac:dyDescent="0.4">
      <c r="N1044" s="114"/>
      <c r="O1044" s="115"/>
      <c r="P1044" s="4"/>
      <c r="Q1044" s="4"/>
      <c r="R1044" s="4"/>
      <c r="S1044" s="4"/>
      <c r="T1044" s="4"/>
      <c r="U1044" s="4"/>
      <c r="V1044" s="4"/>
      <c r="W1044" s="4"/>
    </row>
    <row r="1045" spans="14:23" x14ac:dyDescent="0.4">
      <c r="N1045" s="114"/>
      <c r="O1045" s="115"/>
      <c r="P1045" s="4"/>
      <c r="Q1045" s="4"/>
      <c r="R1045" s="4"/>
      <c r="S1045" s="4"/>
      <c r="T1045" s="4"/>
      <c r="U1045" s="4"/>
      <c r="V1045" s="4"/>
      <c r="W1045" s="4"/>
    </row>
    <row r="1046" spans="14:23" x14ac:dyDescent="0.4">
      <c r="N1046" s="114"/>
      <c r="O1046" s="115"/>
      <c r="P1046" s="4"/>
      <c r="Q1046" s="4"/>
      <c r="R1046" s="4"/>
      <c r="S1046" s="4"/>
      <c r="T1046" s="4"/>
      <c r="U1046" s="4"/>
      <c r="V1046" s="4"/>
      <c r="W1046" s="4"/>
    </row>
    <row r="1047" spans="14:23" x14ac:dyDescent="0.4">
      <c r="N1047" s="114"/>
      <c r="O1047" s="115"/>
      <c r="P1047" s="4"/>
      <c r="Q1047" s="4"/>
      <c r="R1047" s="4"/>
      <c r="S1047" s="4"/>
      <c r="T1047" s="4"/>
      <c r="U1047" s="4"/>
      <c r="V1047" s="4"/>
      <c r="W1047" s="4"/>
    </row>
    <row r="1048" spans="14:23" x14ac:dyDescent="0.4">
      <c r="N1048" s="114"/>
      <c r="O1048" s="115"/>
      <c r="P1048" s="4"/>
      <c r="Q1048" s="4"/>
      <c r="R1048" s="4"/>
      <c r="S1048" s="4"/>
      <c r="T1048" s="4"/>
      <c r="U1048" s="4"/>
      <c r="V1048" s="4"/>
      <c r="W1048" s="4"/>
    </row>
    <row r="1049" spans="14:23" x14ac:dyDescent="0.4">
      <c r="N1049" s="114"/>
      <c r="O1049" s="115"/>
      <c r="P1049" s="4"/>
      <c r="Q1049" s="4"/>
      <c r="R1049" s="4"/>
      <c r="S1049" s="4"/>
      <c r="T1049" s="4"/>
      <c r="U1049" s="4"/>
      <c r="V1049" s="4"/>
      <c r="W1049" s="4"/>
    </row>
    <row r="1050" spans="14:23" x14ac:dyDescent="0.4">
      <c r="N1050" s="114"/>
      <c r="O1050" s="115"/>
      <c r="P1050" s="4"/>
      <c r="Q1050" s="4"/>
      <c r="R1050" s="4"/>
      <c r="S1050" s="4"/>
      <c r="T1050" s="4"/>
      <c r="U1050" s="4"/>
      <c r="V1050" s="4"/>
      <c r="W1050" s="4"/>
    </row>
    <row r="1051" spans="14:23" x14ac:dyDescent="0.4">
      <c r="N1051" s="114"/>
      <c r="O1051" s="115"/>
      <c r="P1051" s="4"/>
      <c r="Q1051" s="4"/>
      <c r="R1051" s="4"/>
      <c r="S1051" s="4"/>
      <c r="T1051" s="4"/>
      <c r="U1051" s="4"/>
      <c r="V1051" s="4"/>
      <c r="W1051" s="4"/>
    </row>
    <row r="1052" spans="14:23" x14ac:dyDescent="0.4">
      <c r="N1052" s="114"/>
      <c r="O1052" s="115"/>
      <c r="P1052" s="4"/>
      <c r="Q1052" s="4"/>
      <c r="R1052" s="4"/>
      <c r="S1052" s="4"/>
      <c r="T1052" s="4"/>
      <c r="U1052" s="4"/>
      <c r="V1052" s="4"/>
      <c r="W1052" s="4"/>
    </row>
    <row r="1053" spans="14:23" x14ac:dyDescent="0.4">
      <c r="N1053" s="114"/>
      <c r="O1053" s="115"/>
      <c r="P1053" s="4"/>
      <c r="Q1053" s="4"/>
      <c r="R1053" s="4"/>
      <c r="S1053" s="4"/>
      <c r="T1053" s="4"/>
      <c r="U1053" s="4"/>
      <c r="V1053" s="4"/>
      <c r="W1053" s="4"/>
    </row>
    <row r="1054" spans="14:23" x14ac:dyDescent="0.4">
      <c r="N1054" s="114"/>
      <c r="O1054" s="115"/>
      <c r="P1054" s="4"/>
      <c r="Q1054" s="4"/>
      <c r="R1054" s="4"/>
      <c r="S1054" s="4"/>
      <c r="T1054" s="4"/>
      <c r="U1054" s="4"/>
      <c r="V1054" s="4"/>
      <c r="W1054" s="4"/>
    </row>
    <row r="1055" spans="14:23" x14ac:dyDescent="0.4">
      <c r="N1055" s="114"/>
      <c r="O1055" s="115"/>
      <c r="P1055" s="4"/>
      <c r="Q1055" s="4"/>
      <c r="R1055" s="4"/>
      <c r="S1055" s="4"/>
      <c r="T1055" s="4"/>
      <c r="U1055" s="4"/>
      <c r="V1055" s="4"/>
      <c r="W1055" s="4"/>
    </row>
    <row r="1056" spans="14:23" x14ac:dyDescent="0.4">
      <c r="N1056" s="114"/>
      <c r="O1056" s="115"/>
      <c r="P1056" s="4"/>
      <c r="Q1056" s="4"/>
      <c r="R1056" s="4"/>
      <c r="S1056" s="4"/>
      <c r="T1056" s="4"/>
      <c r="U1056" s="4"/>
      <c r="V1056" s="4"/>
      <c r="W1056" s="4"/>
    </row>
    <row r="1057" spans="14:23" x14ac:dyDescent="0.4">
      <c r="N1057" s="114"/>
      <c r="O1057" s="115"/>
      <c r="P1057" s="4"/>
      <c r="Q1057" s="4"/>
      <c r="R1057" s="4"/>
      <c r="S1057" s="4"/>
      <c r="T1057" s="4"/>
      <c r="U1057" s="4"/>
      <c r="V1057" s="4"/>
      <c r="W1057" s="4"/>
    </row>
    <row r="1058" spans="14:23" x14ac:dyDescent="0.4">
      <c r="N1058" s="114"/>
      <c r="O1058" s="115"/>
      <c r="P1058" s="4"/>
      <c r="Q1058" s="4"/>
      <c r="R1058" s="4"/>
      <c r="S1058" s="4"/>
      <c r="T1058" s="4"/>
      <c r="U1058" s="4"/>
      <c r="V1058" s="4"/>
      <c r="W1058" s="4"/>
    </row>
    <row r="1059" spans="14:23" x14ac:dyDescent="0.4">
      <c r="N1059" s="114"/>
      <c r="O1059" s="115"/>
      <c r="P1059" s="4"/>
      <c r="Q1059" s="4"/>
      <c r="R1059" s="4"/>
      <c r="S1059" s="4"/>
      <c r="T1059" s="4"/>
      <c r="U1059" s="4"/>
      <c r="V1059" s="4"/>
      <c r="W1059" s="4"/>
    </row>
    <row r="1060" spans="14:23" x14ac:dyDescent="0.4">
      <c r="N1060" s="114"/>
      <c r="O1060" s="115"/>
      <c r="P1060" s="4"/>
      <c r="Q1060" s="4"/>
      <c r="R1060" s="4"/>
      <c r="S1060" s="4"/>
      <c r="T1060" s="4"/>
      <c r="U1060" s="4"/>
      <c r="V1060" s="4"/>
      <c r="W1060" s="4"/>
    </row>
    <row r="1061" spans="14:23" x14ac:dyDescent="0.4">
      <c r="N1061" s="114"/>
      <c r="O1061" s="115"/>
      <c r="P1061" s="4"/>
      <c r="Q1061" s="4"/>
      <c r="R1061" s="4"/>
      <c r="S1061" s="4"/>
      <c r="T1061" s="4"/>
      <c r="U1061" s="4"/>
      <c r="V1061" s="4"/>
      <c r="W1061" s="4"/>
    </row>
    <row r="1062" spans="14:23" x14ac:dyDescent="0.4">
      <c r="N1062" s="114"/>
      <c r="O1062" s="115"/>
      <c r="P1062" s="4"/>
      <c r="Q1062" s="4"/>
      <c r="R1062" s="4"/>
      <c r="S1062" s="4"/>
      <c r="T1062" s="4"/>
      <c r="U1062" s="4"/>
      <c r="V1062" s="4"/>
      <c r="W1062" s="4"/>
    </row>
    <row r="1063" spans="14:23" x14ac:dyDescent="0.4">
      <c r="N1063" s="114"/>
      <c r="O1063" s="115"/>
      <c r="P1063" s="4"/>
      <c r="Q1063" s="4"/>
      <c r="R1063" s="4"/>
      <c r="S1063" s="4"/>
      <c r="T1063" s="4"/>
      <c r="U1063" s="4"/>
      <c r="V1063" s="4"/>
      <c r="W1063" s="4"/>
    </row>
    <row r="1064" spans="14:23" x14ac:dyDescent="0.4">
      <c r="N1064" s="114"/>
      <c r="O1064" s="115"/>
      <c r="P1064" s="4"/>
      <c r="Q1064" s="4"/>
      <c r="R1064" s="4"/>
      <c r="S1064" s="4"/>
      <c r="T1064" s="4"/>
      <c r="U1064" s="4"/>
      <c r="V1064" s="4"/>
      <c r="W1064" s="4"/>
    </row>
    <row r="1065" spans="14:23" x14ac:dyDescent="0.4">
      <c r="N1065" s="114"/>
      <c r="O1065" s="115"/>
      <c r="P1065" s="4"/>
      <c r="Q1065" s="4"/>
      <c r="R1065" s="4"/>
      <c r="S1065" s="4"/>
      <c r="T1065" s="4"/>
      <c r="U1065" s="4"/>
      <c r="V1065" s="4"/>
      <c r="W1065" s="4"/>
    </row>
    <row r="1066" spans="14:23" x14ac:dyDescent="0.4">
      <c r="N1066" s="114"/>
      <c r="O1066" s="115"/>
      <c r="P1066" s="4"/>
      <c r="Q1066" s="4"/>
      <c r="R1066" s="4"/>
      <c r="S1066" s="4"/>
      <c r="T1066" s="4"/>
      <c r="U1066" s="4"/>
      <c r="V1066" s="4"/>
      <c r="W1066" s="4"/>
    </row>
    <row r="1067" spans="14:23" x14ac:dyDescent="0.4">
      <c r="N1067" s="114"/>
      <c r="O1067" s="115"/>
      <c r="P1067" s="4"/>
      <c r="Q1067" s="4"/>
      <c r="R1067" s="4"/>
      <c r="S1067" s="4"/>
      <c r="T1067" s="4"/>
      <c r="U1067" s="4"/>
      <c r="V1067" s="4"/>
      <c r="W1067" s="4"/>
    </row>
    <row r="1068" spans="14:23" x14ac:dyDescent="0.4">
      <c r="N1068" s="114"/>
      <c r="O1068" s="115"/>
      <c r="P1068" s="4"/>
      <c r="Q1068" s="4"/>
      <c r="R1068" s="4"/>
      <c r="S1068" s="4"/>
      <c r="T1068" s="4"/>
      <c r="U1068" s="4"/>
      <c r="V1068" s="4"/>
      <c r="W1068" s="4"/>
    </row>
    <row r="1069" spans="14:23" x14ac:dyDescent="0.4">
      <c r="N1069" s="114"/>
      <c r="O1069" s="115"/>
      <c r="P1069" s="4"/>
      <c r="Q1069" s="4"/>
      <c r="R1069" s="4"/>
      <c r="S1069" s="4"/>
      <c r="T1069" s="4"/>
      <c r="U1069" s="4"/>
      <c r="V1069" s="4"/>
      <c r="W1069" s="4"/>
    </row>
    <row r="1070" spans="14:23" x14ac:dyDescent="0.4">
      <c r="N1070" s="114"/>
      <c r="O1070" s="115"/>
      <c r="P1070" s="4"/>
      <c r="Q1070" s="4"/>
      <c r="R1070" s="4"/>
      <c r="S1070" s="4"/>
      <c r="T1070" s="4"/>
      <c r="U1070" s="4"/>
      <c r="V1070" s="4"/>
      <c r="W1070" s="4"/>
    </row>
    <row r="1071" spans="14:23" x14ac:dyDescent="0.4">
      <c r="N1071" s="114"/>
      <c r="O1071" s="115"/>
      <c r="P1071" s="4"/>
      <c r="Q1071" s="4"/>
      <c r="R1071" s="4"/>
      <c r="S1071" s="4"/>
      <c r="T1071" s="4"/>
      <c r="U1071" s="4"/>
      <c r="V1071" s="4"/>
      <c r="W1071" s="4"/>
    </row>
    <row r="1072" spans="14:23" x14ac:dyDescent="0.4">
      <c r="N1072" s="114"/>
      <c r="O1072" s="115"/>
      <c r="P1072" s="4"/>
      <c r="Q1072" s="4"/>
      <c r="R1072" s="4"/>
      <c r="S1072" s="4"/>
      <c r="T1072" s="4"/>
      <c r="U1072" s="4"/>
      <c r="V1072" s="4"/>
      <c r="W1072" s="4"/>
    </row>
    <row r="1073" spans="14:23" x14ac:dyDescent="0.4">
      <c r="N1073" s="114"/>
      <c r="O1073" s="115"/>
      <c r="P1073" s="4"/>
      <c r="Q1073" s="4"/>
      <c r="R1073" s="4"/>
      <c r="S1073" s="4"/>
      <c r="T1073" s="4"/>
      <c r="U1073" s="4"/>
      <c r="V1073" s="4"/>
      <c r="W1073" s="4"/>
    </row>
    <row r="1074" spans="14:23" x14ac:dyDescent="0.4">
      <c r="N1074" s="114"/>
      <c r="O1074" s="115"/>
      <c r="P1074" s="4"/>
      <c r="Q1074" s="4"/>
      <c r="R1074" s="4"/>
      <c r="S1074" s="4"/>
      <c r="T1074" s="4"/>
      <c r="U1074" s="4"/>
      <c r="V1074" s="4"/>
      <c r="W1074" s="4"/>
    </row>
    <row r="1075" spans="14:23" x14ac:dyDescent="0.4">
      <c r="N1075" s="114"/>
      <c r="O1075" s="115"/>
      <c r="P1075" s="4"/>
      <c r="Q1075" s="4"/>
      <c r="R1075" s="4"/>
      <c r="S1075" s="4"/>
      <c r="T1075" s="4"/>
      <c r="U1075" s="4"/>
      <c r="V1075" s="4"/>
      <c r="W1075" s="4"/>
    </row>
    <row r="1076" spans="14:23" x14ac:dyDescent="0.4">
      <c r="N1076" s="114"/>
      <c r="O1076" s="115"/>
      <c r="P1076" s="4"/>
      <c r="Q1076" s="4"/>
      <c r="R1076" s="4"/>
      <c r="S1076" s="4"/>
      <c r="T1076" s="4"/>
      <c r="U1076" s="4"/>
      <c r="V1076" s="4"/>
      <c r="W1076" s="4"/>
    </row>
    <row r="1077" spans="14:23" x14ac:dyDescent="0.4">
      <c r="N1077" s="114"/>
      <c r="O1077" s="115"/>
      <c r="P1077" s="4"/>
      <c r="Q1077" s="4"/>
      <c r="R1077" s="4"/>
      <c r="S1077" s="4"/>
      <c r="T1077" s="4"/>
      <c r="U1077" s="4"/>
      <c r="V1077" s="4"/>
      <c r="W1077" s="4"/>
    </row>
    <row r="1078" spans="14:23" x14ac:dyDescent="0.4">
      <c r="N1078" s="114"/>
      <c r="O1078" s="115"/>
      <c r="P1078" s="4"/>
      <c r="Q1078" s="4"/>
      <c r="R1078" s="4"/>
      <c r="S1078" s="4"/>
      <c r="T1078" s="4"/>
      <c r="U1078" s="4"/>
      <c r="V1078" s="4"/>
      <c r="W1078" s="4"/>
    </row>
    <row r="1079" spans="14:23" x14ac:dyDescent="0.4">
      <c r="N1079" s="114"/>
      <c r="O1079" s="115"/>
      <c r="P1079" s="4"/>
      <c r="Q1079" s="4"/>
      <c r="R1079" s="4"/>
      <c r="S1079" s="4"/>
      <c r="T1079" s="4"/>
      <c r="U1079" s="4"/>
      <c r="V1079" s="4"/>
      <c r="W1079" s="4"/>
    </row>
    <row r="1080" spans="14:23" x14ac:dyDescent="0.4">
      <c r="N1080" s="114"/>
      <c r="O1080" s="115"/>
      <c r="P1080" s="4"/>
      <c r="Q1080" s="4"/>
      <c r="R1080" s="4"/>
      <c r="S1080" s="4"/>
      <c r="T1080" s="4"/>
      <c r="U1080" s="4"/>
      <c r="V1080" s="4"/>
      <c r="W1080" s="4"/>
    </row>
    <row r="1081" spans="14:23" x14ac:dyDescent="0.4">
      <c r="N1081" s="114"/>
      <c r="O1081" s="115"/>
      <c r="P1081" s="4"/>
      <c r="Q1081" s="4"/>
      <c r="R1081" s="4"/>
      <c r="S1081" s="4"/>
      <c r="T1081" s="4"/>
      <c r="U1081" s="4"/>
      <c r="V1081" s="4"/>
      <c r="W1081" s="4"/>
    </row>
    <row r="1082" spans="14:23" x14ac:dyDescent="0.4">
      <c r="N1082" s="114"/>
      <c r="O1082" s="115"/>
      <c r="P1082" s="4"/>
      <c r="Q1082" s="4"/>
      <c r="R1082" s="4"/>
      <c r="S1082" s="4"/>
      <c r="T1082" s="4"/>
      <c r="U1082" s="4"/>
      <c r="V1082" s="4"/>
      <c r="W1082" s="4"/>
    </row>
    <row r="1083" spans="14:23" x14ac:dyDescent="0.4">
      <c r="N1083" s="114"/>
      <c r="O1083" s="115"/>
      <c r="P1083" s="4"/>
      <c r="Q1083" s="4"/>
      <c r="R1083" s="4"/>
      <c r="S1083" s="4"/>
      <c r="T1083" s="4"/>
      <c r="U1083" s="4"/>
      <c r="V1083" s="4"/>
      <c r="W1083" s="4"/>
    </row>
    <row r="1084" spans="14:23" x14ac:dyDescent="0.4">
      <c r="N1084" s="114"/>
      <c r="O1084" s="115"/>
      <c r="P1084" s="4"/>
      <c r="Q1084" s="4"/>
      <c r="R1084" s="4"/>
      <c r="S1084" s="4"/>
      <c r="T1084" s="4"/>
      <c r="U1084" s="4"/>
      <c r="V1084" s="4"/>
      <c r="W1084" s="4"/>
    </row>
    <row r="1085" spans="14:23" x14ac:dyDescent="0.4">
      <c r="N1085" s="114"/>
      <c r="O1085" s="115"/>
      <c r="P1085" s="4"/>
      <c r="Q1085" s="4"/>
      <c r="R1085" s="4"/>
      <c r="S1085" s="4"/>
      <c r="T1085" s="4"/>
      <c r="U1085" s="4"/>
      <c r="V1085" s="4"/>
      <c r="W1085" s="4"/>
    </row>
    <row r="1086" spans="14:23" x14ac:dyDescent="0.4">
      <c r="N1086" s="114"/>
      <c r="O1086" s="115"/>
      <c r="P1086" s="4"/>
      <c r="Q1086" s="4"/>
      <c r="R1086" s="4"/>
      <c r="S1086" s="4"/>
      <c r="T1086" s="4"/>
      <c r="U1086" s="4"/>
      <c r="V1086" s="4"/>
      <c r="W1086" s="4"/>
    </row>
    <row r="1087" spans="14:23" x14ac:dyDescent="0.4">
      <c r="N1087" s="114"/>
      <c r="O1087" s="115"/>
      <c r="P1087" s="4"/>
      <c r="Q1087" s="4"/>
      <c r="R1087" s="4"/>
      <c r="S1087" s="4"/>
      <c r="T1087" s="4"/>
      <c r="U1087" s="4"/>
      <c r="V1087" s="4"/>
      <c r="W1087" s="4"/>
    </row>
    <row r="1088" spans="14:23" x14ac:dyDescent="0.4">
      <c r="N1088" s="114"/>
      <c r="O1088" s="115"/>
      <c r="P1088" s="4"/>
      <c r="Q1088" s="4"/>
      <c r="R1088" s="4"/>
      <c r="S1088" s="4"/>
      <c r="T1088" s="4"/>
      <c r="U1088" s="4"/>
      <c r="V1088" s="4"/>
      <c r="W1088" s="4"/>
    </row>
    <row r="1089" spans="14:23" x14ac:dyDescent="0.4">
      <c r="N1089" s="114"/>
      <c r="O1089" s="115"/>
      <c r="P1089" s="4"/>
      <c r="Q1089" s="4"/>
      <c r="R1089" s="4"/>
      <c r="S1089" s="4"/>
      <c r="T1089" s="4"/>
      <c r="U1089" s="4"/>
      <c r="V1089" s="4"/>
      <c r="W1089" s="4"/>
    </row>
    <row r="1090" spans="14:23" x14ac:dyDescent="0.4">
      <c r="N1090" s="114"/>
      <c r="O1090" s="115"/>
      <c r="P1090" s="4"/>
      <c r="Q1090" s="4"/>
      <c r="R1090" s="4"/>
      <c r="S1090" s="4"/>
      <c r="T1090" s="4"/>
      <c r="U1090" s="4"/>
      <c r="V1090" s="4"/>
      <c r="W1090" s="4"/>
    </row>
    <row r="1091" spans="14:23" x14ac:dyDescent="0.4">
      <c r="N1091" s="114"/>
      <c r="O1091" s="115"/>
      <c r="P1091" s="4"/>
      <c r="Q1091" s="4"/>
      <c r="R1091" s="4"/>
      <c r="S1091" s="4"/>
      <c r="T1091" s="4"/>
      <c r="U1091" s="4"/>
      <c r="V1091" s="4"/>
      <c r="W1091" s="4"/>
    </row>
    <row r="1092" spans="14:23" x14ac:dyDescent="0.4">
      <c r="N1092" s="114"/>
      <c r="O1092" s="115"/>
      <c r="P1092" s="4"/>
      <c r="Q1092" s="4"/>
      <c r="R1092" s="4"/>
      <c r="S1092" s="4"/>
      <c r="T1092" s="4"/>
      <c r="U1092" s="4"/>
      <c r="V1092" s="4"/>
      <c r="W1092" s="4"/>
    </row>
    <row r="1093" spans="14:23" x14ac:dyDescent="0.4">
      <c r="N1093" s="114"/>
      <c r="O1093" s="115"/>
      <c r="P1093" s="4"/>
      <c r="Q1093" s="4"/>
      <c r="R1093" s="4"/>
      <c r="S1093" s="4"/>
      <c r="T1093" s="4"/>
      <c r="U1093" s="4"/>
      <c r="V1093" s="4"/>
      <c r="W1093" s="4"/>
    </row>
    <row r="1094" spans="14:23" x14ac:dyDescent="0.4">
      <c r="N1094" s="114"/>
      <c r="O1094" s="115"/>
      <c r="P1094" s="4"/>
      <c r="Q1094" s="4"/>
      <c r="R1094" s="4"/>
      <c r="S1094" s="4"/>
      <c r="T1094" s="4"/>
      <c r="U1094" s="4"/>
      <c r="V1094" s="4"/>
      <c r="W1094" s="4"/>
    </row>
    <row r="1095" spans="14:23" x14ac:dyDescent="0.4">
      <c r="N1095" s="114"/>
      <c r="O1095" s="115"/>
      <c r="P1095" s="4"/>
      <c r="Q1095" s="4"/>
      <c r="R1095" s="4"/>
      <c r="S1095" s="4"/>
      <c r="T1095" s="4"/>
      <c r="U1095" s="4"/>
      <c r="V1095" s="4"/>
      <c r="W1095" s="4"/>
    </row>
    <row r="1096" spans="14:23" x14ac:dyDescent="0.4">
      <c r="N1096" s="114"/>
      <c r="O1096" s="115"/>
      <c r="P1096" s="4"/>
      <c r="Q1096" s="4"/>
      <c r="R1096" s="4"/>
      <c r="S1096" s="4"/>
      <c r="T1096" s="4"/>
      <c r="U1096" s="4"/>
      <c r="V1096" s="4"/>
      <c r="W1096" s="4"/>
    </row>
    <row r="1097" spans="14:23" x14ac:dyDescent="0.4">
      <c r="N1097" s="114"/>
      <c r="O1097" s="115"/>
      <c r="P1097" s="4"/>
      <c r="Q1097" s="4"/>
      <c r="R1097" s="4"/>
      <c r="S1097" s="4"/>
      <c r="T1097" s="4"/>
      <c r="U1097" s="4"/>
      <c r="V1097" s="4"/>
      <c r="W1097" s="4"/>
    </row>
    <row r="1098" spans="14:23" x14ac:dyDescent="0.4">
      <c r="N1098" s="114"/>
      <c r="O1098" s="115"/>
      <c r="P1098" s="4"/>
      <c r="Q1098" s="4"/>
      <c r="R1098" s="4"/>
      <c r="S1098" s="4"/>
      <c r="T1098" s="4"/>
      <c r="U1098" s="4"/>
      <c r="V1098" s="4"/>
      <c r="W1098" s="4"/>
    </row>
    <row r="1099" spans="14:23" x14ac:dyDescent="0.4">
      <c r="N1099" s="114"/>
      <c r="O1099" s="115"/>
      <c r="P1099" s="4"/>
      <c r="Q1099" s="4"/>
      <c r="R1099" s="4"/>
      <c r="S1099" s="4"/>
      <c r="T1099" s="4"/>
      <c r="U1099" s="4"/>
      <c r="V1099" s="4"/>
      <c r="W1099" s="4"/>
    </row>
    <row r="1100" spans="14:23" x14ac:dyDescent="0.4">
      <c r="N1100" s="114"/>
      <c r="O1100" s="115"/>
      <c r="P1100" s="4"/>
      <c r="Q1100" s="4"/>
      <c r="R1100" s="4"/>
      <c r="S1100" s="4"/>
      <c r="T1100" s="4"/>
      <c r="U1100" s="4"/>
      <c r="V1100" s="4"/>
      <c r="W1100" s="4"/>
    </row>
    <row r="1101" spans="14:23" x14ac:dyDescent="0.4">
      <c r="N1101" s="114"/>
      <c r="O1101" s="115"/>
      <c r="P1101" s="4"/>
      <c r="Q1101" s="4"/>
      <c r="R1101" s="4"/>
      <c r="S1101" s="4"/>
      <c r="T1101" s="4"/>
      <c r="U1101" s="4"/>
      <c r="V1101" s="4"/>
      <c r="W1101" s="4"/>
    </row>
    <row r="1102" spans="14:23" x14ac:dyDescent="0.4">
      <c r="N1102" s="114"/>
      <c r="O1102" s="115"/>
      <c r="P1102" s="4"/>
      <c r="Q1102" s="4"/>
      <c r="R1102" s="4"/>
      <c r="S1102" s="4"/>
      <c r="T1102" s="4"/>
      <c r="U1102" s="4"/>
      <c r="V1102" s="4"/>
      <c r="W1102" s="4"/>
    </row>
    <row r="1103" spans="14:23" x14ac:dyDescent="0.4">
      <c r="N1103" s="114"/>
      <c r="O1103" s="115"/>
      <c r="P1103" s="4"/>
      <c r="Q1103" s="4"/>
      <c r="R1103" s="4"/>
      <c r="S1103" s="4"/>
      <c r="T1103" s="4"/>
      <c r="U1103" s="4"/>
      <c r="V1103" s="4"/>
      <c r="W1103" s="4"/>
    </row>
    <row r="1104" spans="14:23" x14ac:dyDescent="0.4">
      <c r="N1104" s="114"/>
      <c r="O1104" s="115"/>
      <c r="P1104" s="4"/>
      <c r="Q1104" s="4"/>
      <c r="R1104" s="4"/>
      <c r="S1104" s="4"/>
      <c r="T1104" s="4"/>
      <c r="U1104" s="4"/>
      <c r="V1104" s="4"/>
      <c r="W1104" s="4"/>
    </row>
    <row r="1105" spans="14:23" x14ac:dyDescent="0.4">
      <c r="N1105" s="114"/>
      <c r="O1105" s="115"/>
      <c r="P1105" s="4"/>
      <c r="Q1105" s="4"/>
      <c r="R1105" s="4"/>
      <c r="S1105" s="4"/>
      <c r="T1105" s="4"/>
      <c r="U1105" s="4"/>
      <c r="V1105" s="4"/>
      <c r="W1105" s="4"/>
    </row>
    <row r="1106" spans="14:23" x14ac:dyDescent="0.4">
      <c r="N1106" s="114"/>
      <c r="O1106" s="115"/>
      <c r="P1106" s="4"/>
      <c r="Q1106" s="4"/>
      <c r="R1106" s="4"/>
      <c r="S1106" s="4"/>
      <c r="T1106" s="4"/>
      <c r="U1106" s="4"/>
      <c r="V1106" s="4"/>
      <c r="W1106" s="4"/>
    </row>
    <row r="1107" spans="14:23" x14ac:dyDescent="0.4">
      <c r="N1107" s="114"/>
      <c r="O1107" s="115"/>
      <c r="P1107" s="4"/>
      <c r="Q1107" s="4"/>
      <c r="R1107" s="4"/>
      <c r="S1107" s="4"/>
      <c r="T1107" s="4"/>
      <c r="U1107" s="4"/>
      <c r="V1107" s="4"/>
      <c r="W1107" s="4"/>
    </row>
    <row r="1108" spans="14:23" x14ac:dyDescent="0.4">
      <c r="N1108" s="114"/>
      <c r="O1108" s="115"/>
      <c r="P1108" s="4"/>
      <c r="Q1108" s="4"/>
      <c r="R1108" s="4"/>
      <c r="S1108" s="4"/>
      <c r="T1108" s="4"/>
      <c r="U1108" s="4"/>
      <c r="V1108" s="4"/>
      <c r="W1108" s="4"/>
    </row>
    <row r="1109" spans="14:23" x14ac:dyDescent="0.4">
      <c r="N1109" s="114"/>
      <c r="O1109" s="115"/>
      <c r="P1109" s="4"/>
      <c r="Q1109" s="4"/>
      <c r="R1109" s="4"/>
      <c r="S1109" s="4"/>
      <c r="T1109" s="4"/>
      <c r="U1109" s="4"/>
      <c r="V1109" s="4"/>
      <c r="W1109" s="4"/>
    </row>
    <row r="1110" spans="14:23" x14ac:dyDescent="0.4">
      <c r="N1110" s="114"/>
      <c r="O1110" s="115"/>
      <c r="P1110" s="4"/>
      <c r="Q1110" s="4"/>
      <c r="R1110" s="4"/>
      <c r="S1110" s="4"/>
      <c r="T1110" s="4"/>
      <c r="U1110" s="4"/>
      <c r="V1110" s="4"/>
      <c r="W1110" s="4"/>
    </row>
    <row r="1111" spans="14:23" x14ac:dyDescent="0.4">
      <c r="N1111" s="114"/>
      <c r="O1111" s="115"/>
      <c r="P1111" s="4"/>
      <c r="Q1111" s="4"/>
      <c r="R1111" s="4"/>
      <c r="S1111" s="4"/>
      <c r="T1111" s="4"/>
      <c r="U1111" s="4"/>
      <c r="V1111" s="4"/>
      <c r="W1111" s="4"/>
    </row>
    <row r="1112" spans="14:23" x14ac:dyDescent="0.4">
      <c r="N1112" s="114"/>
      <c r="O1112" s="115"/>
      <c r="P1112" s="4"/>
      <c r="Q1112" s="4"/>
      <c r="R1112" s="4"/>
      <c r="S1112" s="4"/>
      <c r="T1112" s="4"/>
      <c r="U1112" s="4"/>
      <c r="V1112" s="4"/>
      <c r="W1112" s="4"/>
    </row>
    <row r="1113" spans="14:23" x14ac:dyDescent="0.4">
      <c r="N1113" s="114"/>
      <c r="O1113" s="115"/>
      <c r="P1113" s="4"/>
      <c r="Q1113" s="4"/>
      <c r="R1113" s="4"/>
      <c r="S1113" s="4"/>
      <c r="T1113" s="4"/>
      <c r="U1113" s="4"/>
      <c r="V1113" s="4"/>
      <c r="W1113" s="4"/>
    </row>
    <row r="1114" spans="14:23" x14ac:dyDescent="0.4">
      <c r="N1114" s="114"/>
      <c r="O1114" s="115"/>
      <c r="P1114" s="4"/>
      <c r="Q1114" s="4"/>
      <c r="R1114" s="4"/>
      <c r="S1114" s="4"/>
      <c r="T1114" s="4"/>
      <c r="U1114" s="4"/>
      <c r="V1114" s="4"/>
      <c r="W1114" s="4"/>
    </row>
    <row r="1115" spans="14:23" x14ac:dyDescent="0.4">
      <c r="N1115" s="114"/>
      <c r="O1115" s="115"/>
      <c r="P1115" s="4"/>
      <c r="Q1115" s="4"/>
      <c r="R1115" s="4"/>
      <c r="S1115" s="4"/>
      <c r="T1115" s="4"/>
      <c r="U1115" s="4"/>
      <c r="V1115" s="4"/>
      <c r="W1115" s="4"/>
    </row>
    <row r="1116" spans="14:23" x14ac:dyDescent="0.4">
      <c r="N1116" s="114"/>
      <c r="O1116" s="115"/>
      <c r="P1116" s="4"/>
      <c r="Q1116" s="4"/>
      <c r="R1116" s="4"/>
      <c r="S1116" s="4"/>
      <c r="T1116" s="4"/>
      <c r="U1116" s="4"/>
      <c r="V1116" s="4"/>
      <c r="W1116" s="4"/>
    </row>
    <row r="1117" spans="14:23" x14ac:dyDescent="0.4">
      <c r="N1117" s="114"/>
      <c r="O1117" s="115"/>
      <c r="P1117" s="4"/>
      <c r="Q1117" s="4"/>
      <c r="R1117" s="4"/>
      <c r="S1117" s="4"/>
      <c r="T1117" s="4"/>
      <c r="U1117" s="4"/>
      <c r="V1117" s="4"/>
      <c r="W1117" s="4"/>
    </row>
    <row r="1118" spans="14:23" x14ac:dyDescent="0.4">
      <c r="N1118" s="114"/>
      <c r="O1118" s="115"/>
      <c r="P1118" s="4"/>
      <c r="Q1118" s="4"/>
      <c r="R1118" s="4"/>
      <c r="S1118" s="4"/>
      <c r="T1118" s="4"/>
      <c r="U1118" s="4"/>
      <c r="V1118" s="4"/>
      <c r="W1118" s="4"/>
    </row>
    <row r="1119" spans="14:23" x14ac:dyDescent="0.4">
      <c r="N1119" s="114"/>
      <c r="O1119" s="115"/>
      <c r="P1119" s="4"/>
      <c r="Q1119" s="4"/>
      <c r="R1119" s="4"/>
      <c r="S1119" s="4"/>
      <c r="T1119" s="4"/>
      <c r="U1119" s="4"/>
      <c r="V1119" s="4"/>
      <c r="W1119" s="4"/>
    </row>
    <row r="1120" spans="14:23" x14ac:dyDescent="0.4">
      <c r="N1120" s="114"/>
      <c r="O1120" s="115"/>
      <c r="P1120" s="4"/>
      <c r="Q1120" s="4"/>
      <c r="R1120" s="4"/>
      <c r="S1120" s="4"/>
      <c r="T1120" s="4"/>
      <c r="U1120" s="4"/>
      <c r="V1120" s="4"/>
      <c r="W1120" s="4"/>
    </row>
    <row r="1121" spans="14:23" x14ac:dyDescent="0.4">
      <c r="N1121" s="114"/>
      <c r="O1121" s="115"/>
      <c r="P1121" s="4"/>
      <c r="Q1121" s="4"/>
      <c r="R1121" s="4"/>
      <c r="S1121" s="4"/>
      <c r="T1121" s="4"/>
      <c r="U1121" s="4"/>
      <c r="V1121" s="4"/>
      <c r="W1121" s="4"/>
    </row>
    <row r="1122" spans="14:23" x14ac:dyDescent="0.4">
      <c r="N1122" s="114"/>
      <c r="O1122" s="115"/>
      <c r="P1122" s="4"/>
      <c r="Q1122" s="4"/>
      <c r="R1122" s="4"/>
      <c r="S1122" s="4"/>
      <c r="T1122" s="4"/>
      <c r="U1122" s="4"/>
      <c r="V1122" s="4"/>
      <c r="W1122" s="4"/>
    </row>
    <row r="1123" spans="14:23" x14ac:dyDescent="0.4">
      <c r="N1123" s="114"/>
      <c r="O1123" s="115"/>
      <c r="P1123" s="4"/>
      <c r="Q1123" s="4"/>
      <c r="R1123" s="4"/>
      <c r="S1123" s="4"/>
      <c r="T1123" s="4"/>
      <c r="U1123" s="4"/>
      <c r="V1123" s="4"/>
      <c r="W1123" s="4"/>
    </row>
    <row r="1124" spans="14:23" x14ac:dyDescent="0.4">
      <c r="N1124" s="114"/>
      <c r="O1124" s="115"/>
      <c r="P1124" s="4"/>
      <c r="Q1124" s="4"/>
      <c r="R1124" s="4"/>
      <c r="S1124" s="4"/>
      <c r="T1124" s="4"/>
      <c r="U1124" s="4"/>
      <c r="V1124" s="4"/>
      <c r="W1124" s="4"/>
    </row>
    <row r="1125" spans="14:23" x14ac:dyDescent="0.4">
      <c r="N1125" s="114"/>
      <c r="O1125" s="115"/>
      <c r="P1125" s="4"/>
      <c r="Q1125" s="4"/>
      <c r="R1125" s="4"/>
      <c r="S1125" s="4"/>
      <c r="T1125" s="4"/>
      <c r="U1125" s="4"/>
      <c r="V1125" s="4"/>
      <c r="W1125" s="4"/>
    </row>
    <row r="1126" spans="14:23" x14ac:dyDescent="0.4">
      <c r="N1126" s="114"/>
      <c r="O1126" s="115"/>
      <c r="P1126" s="4"/>
      <c r="Q1126" s="4"/>
      <c r="R1126" s="4"/>
      <c r="S1126" s="4"/>
      <c r="T1126" s="4"/>
      <c r="U1126" s="4"/>
      <c r="V1126" s="4"/>
      <c r="W1126" s="4"/>
    </row>
    <row r="1127" spans="14:23" x14ac:dyDescent="0.4">
      <c r="N1127" s="114"/>
      <c r="O1127" s="115"/>
      <c r="P1127" s="4"/>
      <c r="Q1127" s="4"/>
      <c r="R1127" s="4"/>
      <c r="S1127" s="4"/>
      <c r="T1127" s="4"/>
      <c r="U1127" s="4"/>
      <c r="V1127" s="4"/>
      <c r="W1127" s="4"/>
    </row>
    <row r="1128" spans="14:23" x14ac:dyDescent="0.4">
      <c r="N1128" s="114"/>
      <c r="O1128" s="115"/>
      <c r="P1128" s="4"/>
      <c r="Q1128" s="4"/>
      <c r="R1128" s="4"/>
      <c r="S1128" s="4"/>
      <c r="T1128" s="4"/>
      <c r="U1128" s="4"/>
      <c r="V1128" s="4"/>
      <c r="W1128" s="4"/>
    </row>
    <row r="1129" spans="14:23" x14ac:dyDescent="0.4">
      <c r="N1129" s="114"/>
      <c r="O1129" s="115"/>
      <c r="P1129" s="4"/>
      <c r="Q1129" s="4"/>
      <c r="R1129" s="4"/>
      <c r="S1129" s="4"/>
      <c r="T1129" s="4"/>
      <c r="U1129" s="4"/>
      <c r="V1129" s="4"/>
      <c r="W1129" s="4"/>
    </row>
    <row r="1130" spans="14:23" x14ac:dyDescent="0.4">
      <c r="N1130" s="114"/>
      <c r="O1130" s="115"/>
      <c r="P1130" s="4"/>
      <c r="Q1130" s="4"/>
      <c r="R1130" s="4"/>
      <c r="S1130" s="4"/>
      <c r="T1130" s="4"/>
      <c r="U1130" s="4"/>
      <c r="V1130" s="4"/>
      <c r="W1130" s="4"/>
    </row>
    <row r="1131" spans="14:23" x14ac:dyDescent="0.4">
      <c r="N1131" s="114"/>
      <c r="O1131" s="115"/>
      <c r="P1131" s="4"/>
      <c r="Q1131" s="4"/>
      <c r="R1131" s="4"/>
      <c r="S1131" s="4"/>
      <c r="T1131" s="4"/>
      <c r="U1131" s="4"/>
      <c r="V1131" s="4"/>
      <c r="W1131" s="4"/>
    </row>
    <row r="1132" spans="14:23" x14ac:dyDescent="0.4">
      <c r="N1132" s="114"/>
      <c r="O1132" s="115"/>
      <c r="P1132" s="4"/>
      <c r="Q1132" s="4"/>
      <c r="R1132" s="4"/>
      <c r="S1132" s="4"/>
      <c r="T1132" s="4"/>
      <c r="U1132" s="4"/>
      <c r="V1132" s="4"/>
      <c r="W1132" s="4"/>
    </row>
    <row r="1133" spans="14:23" x14ac:dyDescent="0.4">
      <c r="N1133" s="114"/>
      <c r="O1133" s="115"/>
      <c r="P1133" s="4"/>
      <c r="Q1133" s="4"/>
      <c r="R1133" s="4"/>
      <c r="S1133" s="4"/>
      <c r="T1133" s="4"/>
      <c r="U1133" s="4"/>
      <c r="V1133" s="4"/>
      <c r="W1133" s="4"/>
    </row>
    <row r="1134" spans="14:23" x14ac:dyDescent="0.4">
      <c r="N1134" s="114"/>
      <c r="O1134" s="115"/>
      <c r="P1134" s="4"/>
      <c r="Q1134" s="4"/>
      <c r="R1134" s="4"/>
      <c r="S1134" s="4"/>
      <c r="T1134" s="4"/>
      <c r="U1134" s="4"/>
      <c r="V1134" s="4"/>
      <c r="W1134" s="4"/>
    </row>
    <row r="1135" spans="14:23" x14ac:dyDescent="0.4">
      <c r="N1135" s="114"/>
      <c r="O1135" s="115"/>
      <c r="P1135" s="4"/>
      <c r="Q1135" s="4"/>
      <c r="R1135" s="4"/>
      <c r="S1135" s="4"/>
      <c r="T1135" s="4"/>
      <c r="U1135" s="4"/>
      <c r="V1135" s="4"/>
      <c r="W1135" s="4"/>
    </row>
    <row r="1136" spans="14:23" x14ac:dyDescent="0.4">
      <c r="N1136" s="114"/>
      <c r="O1136" s="115"/>
      <c r="P1136" s="4"/>
      <c r="Q1136" s="4"/>
      <c r="R1136" s="4"/>
      <c r="S1136" s="4"/>
      <c r="T1136" s="4"/>
      <c r="U1136" s="4"/>
      <c r="V1136" s="4"/>
      <c r="W1136" s="4"/>
    </row>
    <row r="1137" spans="14:23" x14ac:dyDescent="0.4">
      <c r="N1137" s="114"/>
      <c r="O1137" s="115"/>
      <c r="P1137" s="4"/>
      <c r="Q1137" s="4"/>
      <c r="R1137" s="4"/>
      <c r="S1137" s="4"/>
      <c r="T1137" s="4"/>
      <c r="U1137" s="4"/>
      <c r="V1137" s="4"/>
      <c r="W1137" s="4"/>
    </row>
    <row r="1138" spans="14:23" x14ac:dyDescent="0.4">
      <c r="N1138" s="114"/>
      <c r="O1138" s="115"/>
      <c r="P1138" s="4"/>
      <c r="Q1138" s="4"/>
      <c r="R1138" s="4"/>
      <c r="S1138" s="4"/>
      <c r="T1138" s="4"/>
      <c r="U1138" s="4"/>
      <c r="V1138" s="4"/>
      <c r="W1138" s="4"/>
    </row>
    <row r="1139" spans="14:23" x14ac:dyDescent="0.4">
      <c r="N1139" s="114"/>
      <c r="O1139" s="115"/>
      <c r="P1139" s="4"/>
      <c r="Q1139" s="4"/>
      <c r="R1139" s="4"/>
      <c r="S1139" s="4"/>
      <c r="T1139" s="4"/>
      <c r="U1139" s="4"/>
      <c r="V1139" s="4"/>
      <c r="W1139" s="4"/>
    </row>
    <row r="1140" spans="14:23" x14ac:dyDescent="0.4">
      <c r="N1140" s="114"/>
      <c r="O1140" s="115"/>
      <c r="P1140" s="4"/>
      <c r="Q1140" s="4"/>
      <c r="R1140" s="4"/>
      <c r="S1140" s="4"/>
      <c r="T1140" s="4"/>
      <c r="U1140" s="4"/>
      <c r="V1140" s="4"/>
      <c r="W1140" s="4"/>
    </row>
    <row r="1141" spans="14:23" x14ac:dyDescent="0.4">
      <c r="N1141" s="114"/>
      <c r="O1141" s="115"/>
      <c r="P1141" s="4"/>
      <c r="Q1141" s="4"/>
      <c r="R1141" s="4"/>
      <c r="S1141" s="4"/>
      <c r="T1141" s="4"/>
      <c r="U1141" s="4"/>
      <c r="V1141" s="4"/>
      <c r="W1141" s="4"/>
    </row>
    <row r="1142" spans="14:23" x14ac:dyDescent="0.4">
      <c r="N1142" s="114"/>
      <c r="O1142" s="115"/>
      <c r="P1142" s="4"/>
      <c r="Q1142" s="4"/>
      <c r="R1142" s="4"/>
      <c r="S1142" s="4"/>
      <c r="T1142" s="4"/>
      <c r="U1142" s="4"/>
      <c r="V1142" s="4"/>
      <c r="W1142" s="4"/>
    </row>
    <row r="1143" spans="14:23" x14ac:dyDescent="0.4">
      <c r="N1143" s="114"/>
      <c r="O1143" s="115"/>
      <c r="P1143" s="4"/>
      <c r="Q1143" s="4"/>
      <c r="R1143" s="4"/>
      <c r="S1143" s="4"/>
      <c r="T1143" s="4"/>
      <c r="U1143" s="4"/>
      <c r="V1143" s="4"/>
      <c r="W1143" s="4"/>
    </row>
    <row r="1144" spans="14:23" x14ac:dyDescent="0.4">
      <c r="N1144" s="114"/>
      <c r="O1144" s="115"/>
      <c r="P1144" s="4"/>
      <c r="Q1144" s="4"/>
      <c r="R1144" s="4"/>
      <c r="S1144" s="4"/>
      <c r="T1144" s="4"/>
      <c r="U1144" s="4"/>
      <c r="V1144" s="4"/>
      <c r="W1144" s="4"/>
    </row>
    <row r="1145" spans="14:23" x14ac:dyDescent="0.4">
      <c r="N1145" s="114"/>
      <c r="O1145" s="115"/>
      <c r="P1145" s="4"/>
      <c r="Q1145" s="4"/>
      <c r="R1145" s="4"/>
      <c r="S1145" s="4"/>
      <c r="T1145" s="4"/>
      <c r="U1145" s="4"/>
      <c r="V1145" s="4"/>
      <c r="W1145" s="4"/>
    </row>
    <row r="1146" spans="14:23" x14ac:dyDescent="0.4">
      <c r="N1146" s="114"/>
      <c r="O1146" s="115"/>
      <c r="P1146" s="4"/>
      <c r="Q1146" s="4"/>
      <c r="R1146" s="4"/>
      <c r="S1146" s="4"/>
      <c r="T1146" s="4"/>
      <c r="U1146" s="4"/>
      <c r="V1146" s="4"/>
      <c r="W1146" s="4"/>
    </row>
    <row r="1147" spans="14:23" x14ac:dyDescent="0.4">
      <c r="N1147" s="114"/>
      <c r="O1147" s="115"/>
      <c r="P1147" s="4"/>
      <c r="Q1147" s="4"/>
      <c r="R1147" s="4"/>
      <c r="S1147" s="4"/>
      <c r="T1147" s="4"/>
      <c r="U1147" s="4"/>
      <c r="V1147" s="4"/>
      <c r="W1147" s="4"/>
    </row>
    <row r="1148" spans="14:23" x14ac:dyDescent="0.4">
      <c r="N1148" s="114"/>
      <c r="O1148" s="115"/>
      <c r="P1148" s="4"/>
      <c r="Q1148" s="4"/>
      <c r="R1148" s="4"/>
      <c r="S1148" s="4"/>
      <c r="T1148" s="4"/>
      <c r="U1148" s="4"/>
      <c r="V1148" s="4"/>
      <c r="W1148" s="4"/>
    </row>
    <row r="1149" spans="14:23" x14ac:dyDescent="0.4">
      <c r="N1149" s="114"/>
      <c r="O1149" s="115"/>
      <c r="P1149" s="4"/>
      <c r="Q1149" s="4"/>
      <c r="R1149" s="4"/>
      <c r="S1149" s="4"/>
      <c r="T1149" s="4"/>
      <c r="U1149" s="4"/>
      <c r="V1149" s="4"/>
      <c r="W1149" s="4"/>
    </row>
    <row r="1150" spans="14:23" x14ac:dyDescent="0.4">
      <c r="N1150" s="114"/>
      <c r="O1150" s="115"/>
      <c r="P1150" s="4"/>
      <c r="Q1150" s="4"/>
      <c r="R1150" s="4"/>
      <c r="S1150" s="4"/>
      <c r="T1150" s="4"/>
      <c r="U1150" s="4"/>
      <c r="V1150" s="4"/>
      <c r="W1150" s="4"/>
    </row>
    <row r="1151" spans="14:23" x14ac:dyDescent="0.4">
      <c r="N1151" s="114"/>
      <c r="O1151" s="115"/>
      <c r="P1151" s="4"/>
      <c r="Q1151" s="4"/>
      <c r="R1151" s="4"/>
      <c r="S1151" s="4"/>
      <c r="T1151" s="4"/>
      <c r="U1151" s="4"/>
      <c r="V1151" s="4"/>
      <c r="W1151" s="4"/>
    </row>
    <row r="1152" spans="14:23" x14ac:dyDescent="0.4">
      <c r="N1152" s="114"/>
      <c r="O1152" s="115"/>
      <c r="P1152" s="4"/>
      <c r="Q1152" s="4"/>
      <c r="R1152" s="4"/>
      <c r="S1152" s="4"/>
      <c r="T1152" s="4"/>
      <c r="U1152" s="4"/>
      <c r="V1152" s="4"/>
      <c r="W1152" s="4"/>
    </row>
    <row r="1153" spans="14:23" x14ac:dyDescent="0.4">
      <c r="N1153" s="114"/>
      <c r="O1153" s="115"/>
      <c r="P1153" s="4"/>
      <c r="Q1153" s="4"/>
      <c r="R1153" s="4"/>
      <c r="S1153" s="4"/>
      <c r="T1153" s="4"/>
      <c r="U1153" s="4"/>
      <c r="V1153" s="4"/>
      <c r="W1153" s="4"/>
    </row>
    <row r="1154" spans="14:23" x14ac:dyDescent="0.4">
      <c r="N1154" s="114"/>
      <c r="O1154" s="115"/>
      <c r="P1154" s="4"/>
      <c r="Q1154" s="4"/>
      <c r="R1154" s="4"/>
      <c r="S1154" s="4"/>
      <c r="T1154" s="4"/>
      <c r="U1154" s="4"/>
      <c r="V1154" s="4"/>
      <c r="W1154" s="4"/>
    </row>
    <row r="1155" spans="14:23" x14ac:dyDescent="0.4">
      <c r="N1155" s="114"/>
      <c r="O1155" s="115"/>
      <c r="P1155" s="4"/>
      <c r="Q1155" s="4"/>
      <c r="R1155" s="4"/>
      <c r="S1155" s="4"/>
      <c r="T1155" s="4"/>
      <c r="U1155" s="4"/>
      <c r="V1155" s="4"/>
      <c r="W1155" s="4"/>
    </row>
    <row r="1156" spans="14:23" x14ac:dyDescent="0.4">
      <c r="N1156" s="114"/>
      <c r="O1156" s="115"/>
      <c r="P1156" s="4"/>
      <c r="Q1156" s="4"/>
      <c r="R1156" s="4"/>
      <c r="S1156" s="4"/>
      <c r="T1156" s="4"/>
      <c r="U1156" s="4"/>
      <c r="V1156" s="4"/>
      <c r="W1156" s="4"/>
    </row>
    <row r="1157" spans="14:23" x14ac:dyDescent="0.4">
      <c r="N1157" s="114"/>
      <c r="O1157" s="115"/>
      <c r="P1157" s="4"/>
      <c r="Q1157" s="4"/>
      <c r="R1157" s="4"/>
      <c r="S1157" s="4"/>
      <c r="T1157" s="4"/>
      <c r="U1157" s="4"/>
      <c r="V1157" s="4"/>
      <c r="W1157" s="4"/>
    </row>
    <row r="1158" spans="14:23" x14ac:dyDescent="0.4">
      <c r="N1158" s="114"/>
      <c r="O1158" s="115"/>
      <c r="P1158" s="4"/>
      <c r="Q1158" s="4"/>
      <c r="R1158" s="4"/>
      <c r="S1158" s="4"/>
      <c r="T1158" s="4"/>
      <c r="U1158" s="4"/>
      <c r="V1158" s="4"/>
      <c r="W1158" s="4"/>
    </row>
    <row r="1159" spans="14:23" x14ac:dyDescent="0.4">
      <c r="N1159" s="114"/>
      <c r="O1159" s="115"/>
      <c r="P1159" s="4"/>
      <c r="Q1159" s="4"/>
      <c r="R1159" s="4"/>
      <c r="S1159" s="4"/>
      <c r="T1159" s="4"/>
      <c r="U1159" s="4"/>
      <c r="V1159" s="4"/>
      <c r="W1159" s="4"/>
    </row>
    <row r="1160" spans="14:23" x14ac:dyDescent="0.4">
      <c r="N1160" s="114"/>
      <c r="O1160" s="115"/>
      <c r="P1160" s="4"/>
      <c r="Q1160" s="4"/>
      <c r="R1160" s="4"/>
      <c r="S1160" s="4"/>
      <c r="T1160" s="4"/>
      <c r="U1160" s="4"/>
      <c r="V1160" s="4"/>
      <c r="W1160" s="4"/>
    </row>
    <row r="1161" spans="14:23" x14ac:dyDescent="0.4">
      <c r="N1161" s="114"/>
      <c r="O1161" s="115"/>
      <c r="P1161" s="4"/>
      <c r="Q1161" s="4"/>
      <c r="R1161" s="4"/>
      <c r="S1161" s="4"/>
      <c r="T1161" s="4"/>
      <c r="U1161" s="4"/>
      <c r="V1161" s="4"/>
      <c r="W1161" s="4"/>
    </row>
    <row r="1162" spans="14:23" x14ac:dyDescent="0.4">
      <c r="N1162" s="114"/>
      <c r="O1162" s="115"/>
      <c r="P1162" s="4"/>
      <c r="Q1162" s="4"/>
      <c r="R1162" s="4"/>
      <c r="S1162" s="4"/>
      <c r="T1162" s="4"/>
      <c r="U1162" s="4"/>
      <c r="V1162" s="4"/>
      <c r="W1162" s="4"/>
    </row>
    <row r="1163" spans="14:23" x14ac:dyDescent="0.4">
      <c r="N1163" s="114"/>
      <c r="O1163" s="115"/>
      <c r="P1163" s="4"/>
      <c r="Q1163" s="4"/>
      <c r="R1163" s="4"/>
      <c r="S1163" s="4"/>
      <c r="T1163" s="4"/>
      <c r="U1163" s="4"/>
      <c r="V1163" s="4"/>
      <c r="W1163" s="4"/>
    </row>
    <row r="1164" spans="14:23" x14ac:dyDescent="0.4">
      <c r="N1164" s="114"/>
      <c r="O1164" s="115"/>
      <c r="P1164" s="4"/>
      <c r="Q1164" s="4"/>
      <c r="R1164" s="4"/>
      <c r="S1164" s="4"/>
      <c r="T1164" s="4"/>
      <c r="U1164" s="4"/>
      <c r="V1164" s="4"/>
      <c r="W1164" s="4"/>
    </row>
    <row r="1165" spans="14:23" x14ac:dyDescent="0.4">
      <c r="N1165" s="114"/>
      <c r="O1165" s="115"/>
      <c r="P1165" s="4"/>
      <c r="Q1165" s="4"/>
      <c r="R1165" s="4"/>
      <c r="S1165" s="4"/>
      <c r="T1165" s="4"/>
      <c r="U1165" s="4"/>
      <c r="V1165" s="4"/>
      <c r="W1165" s="4"/>
    </row>
    <row r="1166" spans="14:23" x14ac:dyDescent="0.4">
      <c r="N1166" s="114"/>
      <c r="O1166" s="115"/>
      <c r="P1166" s="4"/>
      <c r="Q1166" s="4"/>
      <c r="R1166" s="4"/>
      <c r="S1166" s="4"/>
      <c r="T1166" s="4"/>
      <c r="U1166" s="4"/>
      <c r="V1166" s="4"/>
      <c r="W1166" s="4"/>
    </row>
    <row r="1167" spans="14:23" x14ac:dyDescent="0.4">
      <c r="N1167" s="114"/>
      <c r="O1167" s="115"/>
      <c r="P1167" s="4"/>
      <c r="Q1167" s="4"/>
      <c r="R1167" s="4"/>
      <c r="S1167" s="4"/>
      <c r="T1167" s="4"/>
      <c r="U1167" s="4"/>
      <c r="V1167" s="4"/>
      <c r="W1167" s="4"/>
    </row>
    <row r="1168" spans="14:23" x14ac:dyDescent="0.4">
      <c r="N1168" s="114"/>
      <c r="O1168" s="115"/>
      <c r="P1168" s="4"/>
      <c r="Q1168" s="4"/>
      <c r="R1168" s="4"/>
      <c r="S1168" s="4"/>
      <c r="T1168" s="4"/>
      <c r="U1168" s="4"/>
      <c r="V1168" s="4"/>
      <c r="W1168" s="4"/>
    </row>
    <row r="1169" spans="14:23" x14ac:dyDescent="0.4">
      <c r="N1169" s="114"/>
      <c r="O1169" s="115"/>
      <c r="P1169" s="4"/>
      <c r="Q1169" s="4"/>
      <c r="R1169" s="4"/>
      <c r="S1169" s="4"/>
      <c r="T1169" s="4"/>
      <c r="U1169" s="4"/>
      <c r="V1169" s="4"/>
      <c r="W1169" s="4"/>
    </row>
    <row r="1170" spans="14:23" x14ac:dyDescent="0.4">
      <c r="N1170" s="114"/>
      <c r="O1170" s="115"/>
      <c r="P1170" s="4"/>
      <c r="Q1170" s="4"/>
      <c r="R1170" s="4"/>
      <c r="S1170" s="4"/>
      <c r="T1170" s="4"/>
      <c r="U1170" s="4"/>
      <c r="V1170" s="4"/>
      <c r="W1170" s="4"/>
    </row>
    <row r="1171" spans="14:23" x14ac:dyDescent="0.4">
      <c r="N1171" s="114"/>
      <c r="O1171" s="115"/>
      <c r="P1171" s="4"/>
      <c r="Q1171" s="4"/>
      <c r="R1171" s="4"/>
      <c r="S1171" s="4"/>
      <c r="T1171" s="4"/>
      <c r="U1171" s="4"/>
      <c r="V1171" s="4"/>
      <c r="W1171" s="4"/>
    </row>
    <row r="1172" spans="14:23" x14ac:dyDescent="0.4">
      <c r="N1172" s="114"/>
      <c r="O1172" s="115"/>
      <c r="P1172" s="4"/>
      <c r="Q1172" s="4"/>
      <c r="R1172" s="4"/>
      <c r="S1172" s="4"/>
      <c r="T1172" s="4"/>
      <c r="U1172" s="4"/>
      <c r="V1172" s="4"/>
      <c r="W1172" s="4"/>
    </row>
    <row r="1173" spans="14:23" x14ac:dyDescent="0.4">
      <c r="N1173" s="114"/>
      <c r="O1173" s="115"/>
      <c r="P1173" s="4"/>
      <c r="Q1173" s="4"/>
      <c r="R1173" s="4"/>
      <c r="S1173" s="4"/>
      <c r="T1173" s="4"/>
      <c r="U1173" s="4"/>
      <c r="V1173" s="4"/>
      <c r="W1173" s="4"/>
    </row>
    <row r="1174" spans="14:23" x14ac:dyDescent="0.4">
      <c r="N1174" s="114"/>
      <c r="O1174" s="115"/>
      <c r="P1174" s="4"/>
      <c r="Q1174" s="4"/>
      <c r="R1174" s="4"/>
      <c r="S1174" s="4"/>
      <c r="T1174" s="4"/>
      <c r="U1174" s="4"/>
      <c r="V1174" s="4"/>
      <c r="W1174" s="4"/>
    </row>
    <row r="1175" spans="14:23" x14ac:dyDescent="0.4">
      <c r="N1175" s="114"/>
      <c r="O1175" s="115"/>
      <c r="P1175" s="4"/>
      <c r="Q1175" s="4"/>
      <c r="R1175" s="4"/>
      <c r="S1175" s="4"/>
      <c r="T1175" s="4"/>
      <c r="U1175" s="4"/>
      <c r="V1175" s="4"/>
      <c r="W1175" s="4"/>
    </row>
    <row r="1176" spans="14:23" x14ac:dyDescent="0.4">
      <c r="N1176" s="114"/>
      <c r="O1176" s="115"/>
      <c r="P1176" s="4"/>
      <c r="Q1176" s="4"/>
      <c r="R1176" s="4"/>
      <c r="S1176" s="4"/>
      <c r="T1176" s="4"/>
      <c r="U1176" s="4"/>
      <c r="V1176" s="4"/>
      <c r="W1176" s="4"/>
    </row>
    <row r="1177" spans="14:23" x14ac:dyDescent="0.4">
      <c r="N1177" s="114"/>
      <c r="O1177" s="115"/>
      <c r="P1177" s="4"/>
      <c r="Q1177" s="4"/>
      <c r="R1177" s="4"/>
      <c r="S1177" s="4"/>
      <c r="T1177" s="4"/>
      <c r="U1177" s="4"/>
      <c r="V1177" s="4"/>
      <c r="W1177" s="4"/>
    </row>
    <row r="1178" spans="14:23" x14ac:dyDescent="0.4">
      <c r="N1178" s="114"/>
      <c r="O1178" s="115"/>
      <c r="P1178" s="4"/>
      <c r="Q1178" s="4"/>
      <c r="R1178" s="4"/>
      <c r="S1178" s="4"/>
      <c r="T1178" s="4"/>
      <c r="U1178" s="4"/>
      <c r="V1178" s="4"/>
      <c r="W1178" s="4"/>
    </row>
    <row r="1179" spans="14:23" x14ac:dyDescent="0.4">
      <c r="N1179" s="114"/>
      <c r="O1179" s="115"/>
      <c r="P1179" s="4"/>
      <c r="Q1179" s="4"/>
      <c r="R1179" s="4"/>
      <c r="S1179" s="4"/>
      <c r="T1179" s="4"/>
      <c r="U1179" s="4"/>
      <c r="V1179" s="4"/>
      <c r="W1179" s="4"/>
    </row>
    <row r="1180" spans="14:23" x14ac:dyDescent="0.4">
      <c r="N1180" s="114"/>
      <c r="O1180" s="115"/>
      <c r="P1180" s="4"/>
      <c r="Q1180" s="4"/>
      <c r="R1180" s="4"/>
      <c r="S1180" s="4"/>
      <c r="T1180" s="4"/>
      <c r="U1180" s="4"/>
      <c r="V1180" s="4"/>
      <c r="W1180" s="4"/>
    </row>
    <row r="1181" spans="14:23" x14ac:dyDescent="0.4">
      <c r="N1181" s="114"/>
      <c r="O1181" s="115"/>
      <c r="P1181" s="4"/>
      <c r="Q1181" s="4"/>
      <c r="R1181" s="4"/>
      <c r="S1181" s="4"/>
      <c r="T1181" s="4"/>
      <c r="U1181" s="4"/>
      <c r="V1181" s="4"/>
      <c r="W1181" s="4"/>
    </row>
    <row r="1182" spans="14:23" x14ac:dyDescent="0.4">
      <c r="N1182" s="114"/>
      <c r="O1182" s="115"/>
      <c r="P1182" s="4"/>
      <c r="Q1182" s="4"/>
      <c r="R1182" s="4"/>
      <c r="S1182" s="4"/>
      <c r="T1182" s="4"/>
      <c r="U1182" s="4"/>
      <c r="V1182" s="4"/>
      <c r="W1182" s="4"/>
    </row>
    <row r="1183" spans="14:23" x14ac:dyDescent="0.4">
      <c r="N1183" s="114"/>
      <c r="O1183" s="115"/>
      <c r="P1183" s="4"/>
      <c r="Q1183" s="4"/>
      <c r="R1183" s="4"/>
      <c r="S1183" s="4"/>
      <c r="T1183" s="4"/>
      <c r="U1183" s="4"/>
      <c r="V1183" s="4"/>
      <c r="W1183" s="4"/>
    </row>
    <row r="1184" spans="14:23" x14ac:dyDescent="0.4">
      <c r="N1184" s="114"/>
      <c r="O1184" s="115"/>
      <c r="P1184" s="4"/>
      <c r="Q1184" s="4"/>
      <c r="R1184" s="4"/>
      <c r="S1184" s="4"/>
      <c r="T1184" s="4"/>
      <c r="U1184" s="4"/>
      <c r="V1184" s="4"/>
      <c r="W1184" s="4"/>
    </row>
    <row r="1185" spans="14:23" x14ac:dyDescent="0.4">
      <c r="N1185" s="114"/>
      <c r="O1185" s="115"/>
      <c r="P1185" s="4"/>
      <c r="Q1185" s="4"/>
      <c r="R1185" s="4"/>
      <c r="S1185" s="4"/>
      <c r="T1185" s="4"/>
      <c r="U1185" s="4"/>
      <c r="V1185" s="4"/>
      <c r="W1185" s="4"/>
    </row>
    <row r="1186" spans="14:23" x14ac:dyDescent="0.4">
      <c r="N1186" s="114"/>
      <c r="O1186" s="115"/>
      <c r="P1186" s="4"/>
      <c r="Q1186" s="4"/>
      <c r="R1186" s="4"/>
      <c r="S1186" s="4"/>
      <c r="T1186" s="4"/>
      <c r="U1186" s="4"/>
      <c r="V1186" s="4"/>
      <c r="W1186" s="4"/>
    </row>
    <row r="1187" spans="14:23" x14ac:dyDescent="0.4">
      <c r="N1187" s="114"/>
      <c r="O1187" s="115"/>
      <c r="P1187" s="4"/>
      <c r="Q1187" s="4"/>
      <c r="R1187" s="4"/>
      <c r="S1187" s="4"/>
      <c r="T1187" s="4"/>
      <c r="U1187" s="4"/>
      <c r="V1187" s="4"/>
      <c r="W1187" s="4"/>
    </row>
    <row r="1188" spans="14:23" x14ac:dyDescent="0.4">
      <c r="N1188" s="114"/>
      <c r="O1188" s="115"/>
      <c r="P1188" s="4"/>
      <c r="Q1188" s="4"/>
      <c r="R1188" s="4"/>
      <c r="S1188" s="4"/>
      <c r="T1188" s="4"/>
      <c r="U1188" s="4"/>
      <c r="V1188" s="4"/>
      <c r="W1188" s="4"/>
    </row>
    <row r="1189" spans="14:23" x14ac:dyDescent="0.4">
      <c r="N1189" s="114"/>
      <c r="O1189" s="115"/>
      <c r="P1189" s="4"/>
      <c r="Q1189" s="4"/>
      <c r="R1189" s="4"/>
      <c r="S1189" s="4"/>
      <c r="T1189" s="4"/>
      <c r="U1189" s="4"/>
      <c r="V1189" s="4"/>
      <c r="W1189" s="4"/>
    </row>
    <row r="1190" spans="14:23" x14ac:dyDescent="0.4">
      <c r="N1190" s="114"/>
      <c r="O1190" s="115"/>
      <c r="P1190" s="4"/>
      <c r="Q1190" s="4"/>
      <c r="R1190" s="4"/>
      <c r="S1190" s="4"/>
      <c r="T1190" s="4"/>
      <c r="U1190" s="4"/>
      <c r="V1190" s="4"/>
      <c r="W1190" s="4"/>
    </row>
    <row r="1191" spans="14:23" x14ac:dyDescent="0.4">
      <c r="N1191" s="114"/>
      <c r="O1191" s="115"/>
      <c r="P1191" s="4"/>
      <c r="Q1191" s="4"/>
      <c r="R1191" s="4"/>
      <c r="S1191" s="4"/>
      <c r="T1191" s="4"/>
      <c r="U1191" s="4"/>
      <c r="V1191" s="4"/>
      <c r="W1191" s="4"/>
    </row>
    <row r="1192" spans="14:23" x14ac:dyDescent="0.4">
      <c r="N1192" s="114"/>
      <c r="O1192" s="115"/>
      <c r="P1192" s="4"/>
      <c r="Q1192" s="4"/>
      <c r="R1192" s="4"/>
      <c r="S1192" s="4"/>
      <c r="T1192" s="4"/>
      <c r="U1192" s="4"/>
      <c r="V1192" s="4"/>
      <c r="W1192" s="4"/>
    </row>
    <row r="1193" spans="14:23" x14ac:dyDescent="0.4">
      <c r="N1193" s="114"/>
      <c r="O1193" s="115"/>
      <c r="P1193" s="4"/>
      <c r="Q1193" s="4"/>
      <c r="R1193" s="4"/>
      <c r="S1193" s="4"/>
      <c r="T1193" s="4"/>
      <c r="U1193" s="4"/>
      <c r="V1193" s="4"/>
      <c r="W1193" s="4"/>
    </row>
    <row r="1194" spans="14:23" x14ac:dyDescent="0.4">
      <c r="N1194" s="114"/>
      <c r="O1194" s="115"/>
      <c r="P1194" s="4"/>
      <c r="Q1194" s="4"/>
      <c r="R1194" s="4"/>
      <c r="S1194" s="4"/>
      <c r="T1194" s="4"/>
      <c r="U1194" s="4"/>
      <c r="V1194" s="4"/>
      <c r="W1194" s="4"/>
    </row>
    <row r="1195" spans="14:23" x14ac:dyDescent="0.4">
      <c r="N1195" s="114"/>
      <c r="O1195" s="115"/>
      <c r="P1195" s="4"/>
      <c r="Q1195" s="4"/>
      <c r="R1195" s="4"/>
      <c r="S1195" s="4"/>
      <c r="T1195" s="4"/>
      <c r="U1195" s="4"/>
      <c r="V1195" s="4"/>
      <c r="W1195" s="4"/>
    </row>
    <row r="1196" spans="14:23" x14ac:dyDescent="0.4">
      <c r="N1196" s="114"/>
      <c r="O1196" s="115"/>
      <c r="P1196" s="4"/>
      <c r="Q1196" s="4"/>
      <c r="R1196" s="4"/>
      <c r="S1196" s="4"/>
      <c r="T1196" s="4"/>
      <c r="U1196" s="4"/>
      <c r="V1196" s="4"/>
      <c r="W1196" s="4"/>
    </row>
    <row r="1197" spans="14:23" x14ac:dyDescent="0.4">
      <c r="N1197" s="114"/>
      <c r="O1197" s="115"/>
      <c r="P1197" s="4"/>
      <c r="Q1197" s="4"/>
      <c r="R1197" s="4"/>
      <c r="S1197" s="4"/>
      <c r="T1197" s="4"/>
      <c r="U1197" s="4"/>
      <c r="V1197" s="4"/>
      <c r="W1197" s="4"/>
    </row>
    <row r="1198" spans="14:23" x14ac:dyDescent="0.4">
      <c r="N1198" s="114"/>
      <c r="O1198" s="115"/>
      <c r="P1198" s="4"/>
      <c r="Q1198" s="4"/>
      <c r="R1198" s="4"/>
      <c r="S1198" s="4"/>
      <c r="T1198" s="4"/>
      <c r="U1198" s="4"/>
      <c r="V1198" s="4"/>
      <c r="W1198" s="4"/>
    </row>
    <row r="1199" spans="14:23" x14ac:dyDescent="0.4">
      <c r="N1199" s="114"/>
      <c r="O1199" s="115"/>
      <c r="P1199" s="4"/>
      <c r="Q1199" s="4"/>
      <c r="R1199" s="4"/>
      <c r="S1199" s="4"/>
      <c r="T1199" s="4"/>
      <c r="U1199" s="4"/>
      <c r="V1199" s="4"/>
      <c r="W1199" s="4"/>
    </row>
    <row r="1200" spans="14:23" x14ac:dyDescent="0.4">
      <c r="N1200" s="114"/>
      <c r="O1200" s="115"/>
      <c r="P1200" s="4"/>
      <c r="Q1200" s="4"/>
      <c r="R1200" s="4"/>
      <c r="S1200" s="4"/>
      <c r="T1200" s="4"/>
      <c r="U1200" s="4"/>
      <c r="V1200" s="4"/>
      <c r="W1200" s="4"/>
    </row>
    <row r="1201" spans="14:23" x14ac:dyDescent="0.4">
      <c r="N1201" s="114"/>
      <c r="O1201" s="115"/>
      <c r="P1201" s="4"/>
      <c r="Q1201" s="4"/>
      <c r="R1201" s="4"/>
      <c r="S1201" s="4"/>
      <c r="T1201" s="4"/>
      <c r="U1201" s="4"/>
      <c r="V1201" s="4"/>
      <c r="W1201" s="4"/>
    </row>
    <row r="1202" spans="14:23" x14ac:dyDescent="0.4">
      <c r="N1202" s="114"/>
      <c r="O1202" s="115"/>
      <c r="P1202" s="4"/>
      <c r="Q1202" s="4"/>
      <c r="R1202" s="4"/>
      <c r="S1202" s="4"/>
      <c r="T1202" s="4"/>
      <c r="U1202" s="4"/>
      <c r="V1202" s="4"/>
      <c r="W1202" s="4"/>
    </row>
    <row r="1203" spans="14:23" x14ac:dyDescent="0.4">
      <c r="N1203" s="114"/>
      <c r="O1203" s="115"/>
      <c r="P1203" s="4"/>
      <c r="Q1203" s="4"/>
      <c r="R1203" s="4"/>
      <c r="S1203" s="4"/>
      <c r="T1203" s="4"/>
      <c r="U1203" s="4"/>
      <c r="V1203" s="4"/>
      <c r="W1203" s="4"/>
    </row>
    <row r="1204" spans="14:23" x14ac:dyDescent="0.4">
      <c r="N1204" s="114"/>
      <c r="O1204" s="115"/>
      <c r="P1204" s="4"/>
      <c r="Q1204" s="4"/>
      <c r="R1204" s="4"/>
      <c r="S1204" s="4"/>
      <c r="T1204" s="4"/>
      <c r="U1204" s="4"/>
      <c r="V1204" s="4"/>
      <c r="W1204" s="4"/>
    </row>
    <row r="1205" spans="14:23" x14ac:dyDescent="0.4">
      <c r="N1205" s="114"/>
      <c r="O1205" s="115"/>
      <c r="P1205" s="4"/>
      <c r="Q1205" s="4"/>
      <c r="R1205" s="4"/>
      <c r="S1205" s="4"/>
      <c r="T1205" s="4"/>
      <c r="U1205" s="4"/>
      <c r="V1205" s="4"/>
      <c r="W1205" s="4"/>
    </row>
    <row r="1206" spans="14:23" x14ac:dyDescent="0.4">
      <c r="N1206" s="114"/>
      <c r="O1206" s="115"/>
      <c r="P1206" s="4"/>
      <c r="Q1206" s="4"/>
      <c r="R1206" s="4"/>
      <c r="S1206" s="4"/>
      <c r="T1206" s="4"/>
      <c r="U1206" s="4"/>
      <c r="V1206" s="4"/>
      <c r="W1206" s="4"/>
    </row>
    <row r="1207" spans="14:23" x14ac:dyDescent="0.4">
      <c r="N1207" s="114"/>
      <c r="O1207" s="115"/>
      <c r="P1207" s="4"/>
      <c r="Q1207" s="4"/>
      <c r="R1207" s="4"/>
      <c r="S1207" s="4"/>
      <c r="T1207" s="4"/>
      <c r="U1207" s="4"/>
      <c r="V1207" s="4"/>
      <c r="W1207" s="4"/>
    </row>
    <row r="1208" spans="14:23" x14ac:dyDescent="0.4">
      <c r="N1208" s="114"/>
      <c r="O1208" s="115"/>
      <c r="P1208" s="4"/>
      <c r="Q1208" s="4"/>
      <c r="R1208" s="4"/>
      <c r="S1208" s="4"/>
      <c r="T1208" s="4"/>
      <c r="U1208" s="4"/>
      <c r="V1208" s="4"/>
      <c r="W1208" s="4"/>
    </row>
    <row r="1209" spans="14:23" x14ac:dyDescent="0.4">
      <c r="N1209" s="114"/>
      <c r="O1209" s="115"/>
      <c r="P1209" s="4"/>
      <c r="Q1209" s="4"/>
      <c r="R1209" s="4"/>
      <c r="S1209" s="4"/>
      <c r="T1209" s="4"/>
      <c r="U1209" s="4"/>
      <c r="V1209" s="4"/>
      <c r="W1209" s="4"/>
    </row>
    <row r="1210" spans="14:23" x14ac:dyDescent="0.4">
      <c r="N1210" s="114"/>
      <c r="O1210" s="115"/>
      <c r="P1210" s="4"/>
      <c r="Q1210" s="4"/>
      <c r="R1210" s="4"/>
      <c r="S1210" s="4"/>
      <c r="T1210" s="4"/>
      <c r="U1210" s="4"/>
      <c r="V1210" s="4"/>
      <c r="W1210" s="4"/>
    </row>
    <row r="1211" spans="14:23" x14ac:dyDescent="0.4">
      <c r="N1211" s="114"/>
      <c r="O1211" s="115"/>
      <c r="P1211" s="4"/>
      <c r="Q1211" s="4"/>
      <c r="R1211" s="4"/>
      <c r="S1211" s="4"/>
      <c r="T1211" s="4"/>
      <c r="U1211" s="4"/>
      <c r="V1211" s="4"/>
      <c r="W1211" s="4"/>
    </row>
    <row r="1212" spans="14:23" x14ac:dyDescent="0.4">
      <c r="N1212" s="114"/>
      <c r="O1212" s="115"/>
      <c r="P1212" s="4"/>
      <c r="Q1212" s="4"/>
      <c r="R1212" s="4"/>
      <c r="S1212" s="4"/>
      <c r="T1212" s="4"/>
      <c r="U1212" s="4"/>
      <c r="V1212" s="4"/>
      <c r="W1212" s="4"/>
    </row>
    <row r="1213" spans="14:23" x14ac:dyDescent="0.4">
      <c r="N1213" s="114"/>
      <c r="O1213" s="115"/>
      <c r="P1213" s="4"/>
      <c r="Q1213" s="4"/>
      <c r="R1213" s="4"/>
      <c r="S1213" s="4"/>
      <c r="T1213" s="4"/>
      <c r="U1213" s="4"/>
      <c r="V1213" s="4"/>
      <c r="W1213" s="4"/>
    </row>
    <row r="1214" spans="14:23" x14ac:dyDescent="0.4">
      <c r="N1214" s="114"/>
      <c r="O1214" s="115"/>
      <c r="P1214" s="4"/>
      <c r="Q1214" s="4"/>
      <c r="R1214" s="4"/>
      <c r="S1214" s="4"/>
      <c r="T1214" s="4"/>
      <c r="U1214" s="4"/>
      <c r="V1214" s="4"/>
      <c r="W1214" s="4"/>
    </row>
    <row r="1215" spans="14:23" x14ac:dyDescent="0.4">
      <c r="N1215" s="114"/>
      <c r="O1215" s="115"/>
      <c r="P1215" s="4"/>
      <c r="Q1215" s="4"/>
      <c r="R1215" s="4"/>
      <c r="S1215" s="4"/>
      <c r="T1215" s="4"/>
      <c r="U1215" s="4"/>
      <c r="V1215" s="4"/>
      <c r="W1215" s="4"/>
    </row>
    <row r="1216" spans="14:23" x14ac:dyDescent="0.4">
      <c r="N1216" s="114"/>
      <c r="O1216" s="115"/>
      <c r="P1216" s="4"/>
      <c r="Q1216" s="4"/>
      <c r="R1216" s="4"/>
      <c r="S1216" s="4"/>
      <c r="T1216" s="4"/>
      <c r="U1216" s="4"/>
      <c r="V1216" s="4"/>
      <c r="W1216" s="4"/>
    </row>
    <row r="1217" spans="14:23" x14ac:dyDescent="0.4">
      <c r="N1217" s="114"/>
      <c r="O1217" s="115"/>
      <c r="P1217" s="4"/>
      <c r="Q1217" s="4"/>
      <c r="R1217" s="4"/>
      <c r="S1217" s="4"/>
      <c r="T1217" s="4"/>
      <c r="U1217" s="4"/>
      <c r="V1217" s="4"/>
      <c r="W1217" s="4"/>
    </row>
    <row r="1218" spans="14:23" x14ac:dyDescent="0.4">
      <c r="N1218" s="114"/>
      <c r="O1218" s="115"/>
      <c r="P1218" s="4"/>
      <c r="Q1218" s="4"/>
      <c r="R1218" s="4"/>
      <c r="S1218" s="4"/>
      <c r="T1218" s="4"/>
      <c r="U1218" s="4"/>
      <c r="V1218" s="4"/>
      <c r="W1218" s="4"/>
    </row>
    <row r="1219" spans="14:23" x14ac:dyDescent="0.4">
      <c r="N1219" s="114"/>
      <c r="O1219" s="115"/>
      <c r="P1219" s="4"/>
      <c r="Q1219" s="4"/>
      <c r="R1219" s="4"/>
      <c r="S1219" s="4"/>
      <c r="T1219" s="4"/>
      <c r="U1219" s="4"/>
      <c r="V1219" s="4"/>
      <c r="W1219" s="4"/>
    </row>
    <row r="1220" spans="14:23" x14ac:dyDescent="0.4">
      <c r="N1220" s="114"/>
      <c r="O1220" s="115"/>
      <c r="P1220" s="4"/>
      <c r="Q1220" s="4"/>
      <c r="R1220" s="4"/>
      <c r="S1220" s="4"/>
      <c r="T1220" s="4"/>
      <c r="U1220" s="4"/>
      <c r="V1220" s="4"/>
      <c r="W1220" s="4"/>
    </row>
    <row r="1221" spans="14:23" x14ac:dyDescent="0.4">
      <c r="N1221" s="114"/>
      <c r="O1221" s="115"/>
      <c r="P1221" s="4"/>
      <c r="Q1221" s="4"/>
      <c r="R1221" s="4"/>
      <c r="S1221" s="4"/>
      <c r="T1221" s="4"/>
      <c r="U1221" s="4"/>
      <c r="V1221" s="4"/>
      <c r="W1221" s="4"/>
    </row>
    <row r="1222" spans="14:23" x14ac:dyDescent="0.4">
      <c r="N1222" s="114"/>
      <c r="O1222" s="115"/>
      <c r="P1222" s="4"/>
      <c r="Q1222" s="4"/>
      <c r="R1222" s="4"/>
      <c r="S1222" s="4"/>
      <c r="T1222" s="4"/>
      <c r="U1222" s="4"/>
      <c r="V1222" s="4"/>
      <c r="W1222" s="4"/>
    </row>
    <row r="1223" spans="14:23" x14ac:dyDescent="0.4">
      <c r="N1223" s="114"/>
      <c r="O1223" s="115"/>
      <c r="P1223" s="4"/>
      <c r="Q1223" s="4"/>
      <c r="R1223" s="4"/>
      <c r="S1223" s="4"/>
      <c r="T1223" s="4"/>
      <c r="U1223" s="4"/>
      <c r="V1223" s="4"/>
      <c r="W1223" s="4"/>
    </row>
    <row r="1224" spans="14:23" x14ac:dyDescent="0.4">
      <c r="N1224" s="114"/>
      <c r="O1224" s="115"/>
      <c r="P1224" s="4"/>
      <c r="Q1224" s="4"/>
      <c r="R1224" s="4"/>
      <c r="S1224" s="4"/>
      <c r="T1224" s="4"/>
      <c r="U1224" s="4"/>
      <c r="V1224" s="4"/>
      <c r="W1224" s="4"/>
    </row>
    <row r="1225" spans="14:23" x14ac:dyDescent="0.4">
      <c r="N1225" s="114"/>
      <c r="O1225" s="115"/>
      <c r="P1225" s="4"/>
      <c r="Q1225" s="4"/>
      <c r="R1225" s="4"/>
      <c r="S1225" s="4"/>
      <c r="T1225" s="4"/>
      <c r="U1225" s="4"/>
      <c r="V1225" s="4"/>
      <c r="W1225" s="4"/>
    </row>
    <row r="1226" spans="14:23" x14ac:dyDescent="0.4">
      <c r="N1226" s="114"/>
      <c r="O1226" s="115"/>
      <c r="P1226" s="4"/>
      <c r="Q1226" s="4"/>
      <c r="R1226" s="4"/>
      <c r="S1226" s="4"/>
      <c r="T1226" s="4"/>
      <c r="U1226" s="4"/>
      <c r="V1226" s="4"/>
      <c r="W1226" s="4"/>
    </row>
    <row r="1227" spans="14:23" x14ac:dyDescent="0.4">
      <c r="N1227" s="114"/>
      <c r="O1227" s="115"/>
      <c r="P1227" s="4"/>
      <c r="Q1227" s="4"/>
      <c r="R1227" s="4"/>
      <c r="S1227" s="4"/>
      <c r="T1227" s="4"/>
      <c r="U1227" s="4"/>
      <c r="V1227" s="4"/>
      <c r="W1227" s="4"/>
    </row>
    <row r="1228" spans="14:23" x14ac:dyDescent="0.4">
      <c r="N1228" s="114"/>
      <c r="O1228" s="115"/>
      <c r="P1228" s="4"/>
      <c r="Q1228" s="4"/>
      <c r="R1228" s="4"/>
      <c r="S1228" s="4"/>
      <c r="T1228" s="4"/>
      <c r="U1228" s="4"/>
      <c r="V1228" s="4"/>
      <c r="W1228" s="4"/>
    </row>
    <row r="1229" spans="14:23" x14ac:dyDescent="0.4">
      <c r="N1229" s="114"/>
      <c r="O1229" s="115"/>
      <c r="P1229" s="4"/>
      <c r="Q1229" s="4"/>
      <c r="R1229" s="4"/>
      <c r="S1229" s="4"/>
      <c r="T1229" s="4"/>
      <c r="U1229" s="4"/>
      <c r="V1229" s="4"/>
      <c r="W1229" s="4"/>
    </row>
    <row r="1230" spans="14:23" x14ac:dyDescent="0.4">
      <c r="N1230" s="114"/>
      <c r="O1230" s="115"/>
      <c r="P1230" s="4"/>
      <c r="Q1230" s="4"/>
      <c r="R1230" s="4"/>
      <c r="S1230" s="4"/>
      <c r="T1230" s="4"/>
      <c r="U1230" s="4"/>
      <c r="V1230" s="4"/>
      <c r="W1230" s="4"/>
    </row>
    <row r="1231" spans="14:23" x14ac:dyDescent="0.4">
      <c r="N1231" s="114"/>
      <c r="O1231" s="115"/>
      <c r="P1231" s="4"/>
      <c r="Q1231" s="4"/>
      <c r="R1231" s="4"/>
      <c r="S1231" s="4"/>
      <c r="T1231" s="4"/>
      <c r="U1231" s="4"/>
      <c r="V1231" s="4"/>
      <c r="W1231" s="4"/>
    </row>
    <row r="1232" spans="14:23" x14ac:dyDescent="0.4">
      <c r="N1232" s="114"/>
      <c r="O1232" s="115"/>
      <c r="P1232" s="4"/>
      <c r="Q1232" s="4"/>
      <c r="R1232" s="4"/>
      <c r="S1232" s="4"/>
      <c r="T1232" s="4"/>
      <c r="U1232" s="4"/>
      <c r="V1232" s="4"/>
      <c r="W1232" s="4"/>
    </row>
    <row r="1233" spans="14:23" x14ac:dyDescent="0.4">
      <c r="N1233" s="114"/>
      <c r="O1233" s="115"/>
      <c r="P1233" s="4"/>
      <c r="Q1233" s="4"/>
      <c r="R1233" s="4"/>
      <c r="S1233" s="4"/>
      <c r="T1233" s="4"/>
      <c r="U1233" s="4"/>
      <c r="V1233" s="4"/>
      <c r="W1233" s="4"/>
    </row>
    <row r="1234" spans="14:23" x14ac:dyDescent="0.4">
      <c r="N1234" s="114"/>
      <c r="O1234" s="115"/>
      <c r="P1234" s="4"/>
      <c r="Q1234" s="4"/>
      <c r="R1234" s="4"/>
      <c r="S1234" s="4"/>
      <c r="T1234" s="4"/>
      <c r="U1234" s="4"/>
      <c r="V1234" s="4"/>
      <c r="W1234" s="4"/>
    </row>
    <row r="1235" spans="14:23" x14ac:dyDescent="0.4">
      <c r="N1235" s="114"/>
      <c r="O1235" s="115"/>
      <c r="P1235" s="4"/>
      <c r="Q1235" s="4"/>
      <c r="R1235" s="4"/>
      <c r="S1235" s="4"/>
      <c r="T1235" s="4"/>
      <c r="U1235" s="4"/>
      <c r="V1235" s="4"/>
      <c r="W1235" s="4"/>
    </row>
    <row r="1236" spans="14:23" x14ac:dyDescent="0.4">
      <c r="N1236" s="114"/>
      <c r="O1236" s="115"/>
      <c r="P1236" s="4"/>
      <c r="Q1236" s="4"/>
      <c r="R1236" s="4"/>
      <c r="S1236" s="4"/>
      <c r="T1236" s="4"/>
      <c r="U1236" s="4"/>
      <c r="V1236" s="4"/>
      <c r="W1236" s="4"/>
    </row>
    <row r="1237" spans="14:23" x14ac:dyDescent="0.4">
      <c r="N1237" s="114"/>
      <c r="O1237" s="115"/>
      <c r="P1237" s="4"/>
      <c r="Q1237" s="4"/>
      <c r="R1237" s="4"/>
      <c r="S1237" s="4"/>
      <c r="T1237" s="4"/>
      <c r="U1237" s="4"/>
      <c r="V1237" s="4"/>
      <c r="W1237" s="4"/>
    </row>
    <row r="1238" spans="14:23" x14ac:dyDescent="0.4">
      <c r="N1238" s="114"/>
      <c r="O1238" s="115"/>
      <c r="P1238" s="4"/>
      <c r="Q1238" s="4"/>
      <c r="R1238" s="4"/>
      <c r="S1238" s="4"/>
      <c r="T1238" s="4"/>
      <c r="U1238" s="4"/>
      <c r="V1238" s="4"/>
      <c r="W1238" s="4"/>
    </row>
    <row r="1239" spans="14:23" x14ac:dyDescent="0.4">
      <c r="N1239" s="114"/>
      <c r="O1239" s="115"/>
      <c r="P1239" s="4"/>
      <c r="Q1239" s="4"/>
      <c r="R1239" s="4"/>
      <c r="S1239" s="4"/>
      <c r="T1239" s="4"/>
      <c r="U1239" s="4"/>
      <c r="V1239" s="4"/>
      <c r="W1239" s="4"/>
    </row>
    <row r="1240" spans="14:23" x14ac:dyDescent="0.4">
      <c r="N1240" s="114"/>
      <c r="O1240" s="115"/>
      <c r="P1240" s="4"/>
      <c r="Q1240" s="4"/>
      <c r="R1240" s="4"/>
      <c r="S1240" s="4"/>
      <c r="T1240" s="4"/>
      <c r="U1240" s="4"/>
      <c r="V1240" s="4"/>
      <c r="W1240" s="4"/>
    </row>
    <row r="1241" spans="14:23" x14ac:dyDescent="0.4">
      <c r="N1241" s="114"/>
      <c r="O1241" s="115"/>
      <c r="P1241" s="4"/>
      <c r="Q1241" s="4"/>
      <c r="R1241" s="4"/>
      <c r="S1241" s="4"/>
      <c r="T1241" s="4"/>
      <c r="U1241" s="4"/>
      <c r="V1241" s="4"/>
      <c r="W1241" s="4"/>
    </row>
    <row r="1242" spans="14:23" x14ac:dyDescent="0.4">
      <c r="N1242" s="114"/>
      <c r="O1242" s="115"/>
      <c r="P1242" s="4"/>
      <c r="Q1242" s="4"/>
      <c r="R1242" s="4"/>
      <c r="S1242" s="4"/>
      <c r="T1242" s="4"/>
      <c r="U1242" s="4"/>
      <c r="V1242" s="4"/>
      <c r="W1242" s="4"/>
    </row>
    <row r="1243" spans="14:23" x14ac:dyDescent="0.4">
      <c r="N1243" s="114"/>
      <c r="O1243" s="115"/>
      <c r="P1243" s="4"/>
      <c r="Q1243" s="4"/>
      <c r="R1243" s="4"/>
      <c r="S1243" s="4"/>
      <c r="T1243" s="4"/>
      <c r="U1243" s="4"/>
      <c r="V1243" s="4"/>
      <c r="W1243" s="4"/>
    </row>
    <row r="1244" spans="14:23" x14ac:dyDescent="0.4">
      <c r="N1244" s="114"/>
      <c r="O1244" s="115"/>
      <c r="P1244" s="4"/>
      <c r="Q1244" s="4"/>
      <c r="R1244" s="4"/>
      <c r="S1244" s="4"/>
      <c r="T1244" s="4"/>
      <c r="U1244" s="4"/>
      <c r="V1244" s="4"/>
      <c r="W1244" s="4"/>
    </row>
    <row r="1245" spans="14:23" x14ac:dyDescent="0.4">
      <c r="N1245" s="114"/>
      <c r="O1245" s="115"/>
      <c r="P1245" s="4"/>
      <c r="Q1245" s="4"/>
      <c r="R1245" s="4"/>
      <c r="S1245" s="4"/>
      <c r="T1245" s="4"/>
      <c r="U1245" s="4"/>
      <c r="V1245" s="4"/>
      <c r="W1245" s="4"/>
    </row>
    <row r="1246" spans="14:23" x14ac:dyDescent="0.4">
      <c r="N1246" s="114"/>
      <c r="O1246" s="115"/>
      <c r="P1246" s="4"/>
      <c r="Q1246" s="4"/>
      <c r="R1246" s="4"/>
      <c r="S1246" s="4"/>
      <c r="T1246" s="4"/>
      <c r="U1246" s="4"/>
      <c r="V1246" s="4"/>
      <c r="W1246" s="4"/>
    </row>
    <row r="1247" spans="14:23" x14ac:dyDescent="0.4">
      <c r="N1247" s="114"/>
      <c r="O1247" s="115"/>
      <c r="P1247" s="4"/>
      <c r="Q1247" s="4"/>
      <c r="R1247" s="4"/>
      <c r="S1247" s="4"/>
      <c r="T1247" s="4"/>
      <c r="U1247" s="4"/>
      <c r="V1247" s="4"/>
      <c r="W1247" s="4"/>
    </row>
    <row r="1248" spans="14:23" x14ac:dyDescent="0.4">
      <c r="N1248" s="114"/>
      <c r="O1248" s="115"/>
      <c r="P1248" s="4"/>
      <c r="Q1248" s="4"/>
      <c r="R1248" s="4"/>
      <c r="S1248" s="4"/>
      <c r="T1248" s="4"/>
      <c r="U1248" s="4"/>
      <c r="V1248" s="4"/>
      <c r="W1248" s="4"/>
    </row>
    <row r="1249" spans="14:23" x14ac:dyDescent="0.4">
      <c r="N1249" s="114"/>
      <c r="O1249" s="115"/>
      <c r="P1249" s="4"/>
      <c r="Q1249" s="4"/>
      <c r="R1249" s="4"/>
      <c r="S1249" s="4"/>
      <c r="T1249" s="4"/>
      <c r="U1249" s="4"/>
      <c r="V1249" s="4"/>
      <c r="W1249" s="4"/>
    </row>
    <row r="1250" spans="14:23" x14ac:dyDescent="0.4">
      <c r="N1250" s="114"/>
      <c r="O1250" s="115"/>
      <c r="P1250" s="4"/>
      <c r="Q1250" s="4"/>
      <c r="R1250" s="4"/>
      <c r="S1250" s="4"/>
      <c r="T1250" s="4"/>
      <c r="U1250" s="4"/>
      <c r="V1250" s="4"/>
      <c r="W1250" s="4"/>
    </row>
    <row r="1251" spans="14:23" x14ac:dyDescent="0.4">
      <c r="N1251" s="114"/>
      <c r="O1251" s="115"/>
      <c r="P1251" s="4"/>
      <c r="Q1251" s="4"/>
      <c r="R1251" s="4"/>
      <c r="S1251" s="4"/>
      <c r="T1251" s="4"/>
      <c r="U1251" s="4"/>
      <c r="V1251" s="4"/>
      <c r="W1251" s="4"/>
    </row>
    <row r="1252" spans="14:23" x14ac:dyDescent="0.4">
      <c r="N1252" s="114"/>
      <c r="O1252" s="115"/>
      <c r="P1252" s="4"/>
      <c r="Q1252" s="4"/>
      <c r="R1252" s="4"/>
      <c r="S1252" s="4"/>
      <c r="T1252" s="4"/>
      <c r="U1252" s="4"/>
      <c r="V1252" s="4"/>
      <c r="W1252" s="4"/>
    </row>
    <row r="1253" spans="14:23" x14ac:dyDescent="0.4">
      <c r="N1253" s="114"/>
      <c r="O1253" s="115"/>
      <c r="P1253" s="4"/>
      <c r="Q1253" s="4"/>
      <c r="R1253" s="4"/>
      <c r="S1253" s="4"/>
      <c r="T1253" s="4"/>
      <c r="U1253" s="4"/>
      <c r="V1253" s="4"/>
      <c r="W1253" s="4"/>
    </row>
    <row r="1254" spans="14:23" x14ac:dyDescent="0.4">
      <c r="N1254" s="114"/>
      <c r="O1254" s="115"/>
      <c r="P1254" s="4"/>
      <c r="Q1254" s="4"/>
      <c r="R1254" s="4"/>
      <c r="S1254" s="4"/>
      <c r="T1254" s="4"/>
      <c r="U1254" s="4"/>
      <c r="V1254" s="4"/>
      <c r="W1254" s="4"/>
    </row>
    <row r="1255" spans="14:23" x14ac:dyDescent="0.4">
      <c r="N1255" s="114"/>
      <c r="O1255" s="115"/>
      <c r="P1255" s="4"/>
      <c r="Q1255" s="4"/>
      <c r="R1255" s="4"/>
      <c r="S1255" s="4"/>
      <c r="T1255" s="4"/>
      <c r="U1255" s="4"/>
      <c r="V1255" s="4"/>
      <c r="W1255" s="4"/>
    </row>
    <row r="1256" spans="14:23" x14ac:dyDescent="0.4">
      <c r="N1256" s="114"/>
      <c r="O1256" s="115"/>
      <c r="P1256" s="4"/>
      <c r="Q1256" s="4"/>
      <c r="R1256" s="4"/>
      <c r="S1256" s="4"/>
      <c r="T1256" s="4"/>
      <c r="U1256" s="4"/>
      <c r="V1256" s="4"/>
      <c r="W1256" s="4"/>
    </row>
    <row r="1257" spans="14:23" x14ac:dyDescent="0.4">
      <c r="N1257" s="114"/>
      <c r="O1257" s="115"/>
      <c r="P1257" s="4"/>
      <c r="Q1257" s="4"/>
      <c r="R1257" s="4"/>
      <c r="S1257" s="4"/>
      <c r="T1257" s="4"/>
      <c r="U1257" s="4"/>
      <c r="V1257" s="4"/>
      <c r="W1257" s="4"/>
    </row>
    <row r="1258" spans="14:23" x14ac:dyDescent="0.4">
      <c r="N1258" s="114"/>
      <c r="O1258" s="115"/>
      <c r="P1258" s="4"/>
      <c r="Q1258" s="4"/>
      <c r="R1258" s="4"/>
      <c r="S1258" s="4"/>
      <c r="T1258" s="4"/>
      <c r="U1258" s="4"/>
      <c r="V1258" s="4"/>
      <c r="W1258" s="4"/>
    </row>
    <row r="1259" spans="14:23" x14ac:dyDescent="0.4">
      <c r="N1259" s="114"/>
      <c r="O1259" s="115"/>
      <c r="P1259" s="4"/>
      <c r="Q1259" s="4"/>
      <c r="R1259" s="4"/>
      <c r="S1259" s="4"/>
      <c r="T1259" s="4"/>
      <c r="U1259" s="4"/>
      <c r="V1259" s="4"/>
      <c r="W1259" s="4"/>
    </row>
    <row r="1260" spans="14:23" x14ac:dyDescent="0.4">
      <c r="N1260" s="114"/>
      <c r="O1260" s="115"/>
      <c r="P1260" s="4"/>
      <c r="Q1260" s="4"/>
      <c r="R1260" s="4"/>
      <c r="S1260" s="4"/>
      <c r="T1260" s="4"/>
      <c r="U1260" s="4"/>
      <c r="V1260" s="4"/>
      <c r="W1260" s="4"/>
    </row>
    <row r="1261" spans="14:23" x14ac:dyDescent="0.4">
      <c r="N1261" s="114"/>
      <c r="O1261" s="115"/>
      <c r="P1261" s="4"/>
      <c r="Q1261" s="4"/>
      <c r="R1261" s="4"/>
      <c r="S1261" s="4"/>
      <c r="T1261" s="4"/>
      <c r="U1261" s="4"/>
      <c r="V1261" s="4"/>
      <c r="W1261" s="4"/>
    </row>
    <row r="1262" spans="14:23" x14ac:dyDescent="0.4">
      <c r="N1262" s="114"/>
      <c r="O1262" s="115"/>
      <c r="P1262" s="4"/>
      <c r="Q1262" s="4"/>
      <c r="R1262" s="4"/>
      <c r="S1262" s="4"/>
      <c r="T1262" s="4"/>
      <c r="U1262" s="4"/>
      <c r="V1262" s="4"/>
      <c r="W1262" s="4"/>
    </row>
    <row r="1263" spans="14:23" x14ac:dyDescent="0.4">
      <c r="N1263" s="114"/>
      <c r="O1263" s="115"/>
      <c r="P1263" s="4"/>
      <c r="Q1263" s="4"/>
      <c r="R1263" s="4"/>
      <c r="S1263" s="4"/>
      <c r="T1263" s="4"/>
      <c r="U1263" s="4"/>
      <c r="V1263" s="4"/>
      <c r="W1263" s="4"/>
    </row>
    <row r="1264" spans="14:23" x14ac:dyDescent="0.4">
      <c r="N1264" s="114"/>
      <c r="O1264" s="115"/>
      <c r="P1264" s="4"/>
      <c r="Q1264" s="4"/>
      <c r="R1264" s="4"/>
      <c r="S1264" s="4"/>
      <c r="T1264" s="4"/>
      <c r="U1264" s="4"/>
      <c r="V1264" s="4"/>
      <c r="W1264" s="4"/>
    </row>
    <row r="1265" spans="14:23" x14ac:dyDescent="0.4">
      <c r="N1265" s="114"/>
      <c r="O1265" s="115"/>
      <c r="P1265" s="4"/>
      <c r="Q1265" s="4"/>
      <c r="R1265" s="4"/>
      <c r="S1265" s="4"/>
      <c r="T1265" s="4"/>
      <c r="U1265" s="4"/>
      <c r="V1265" s="4"/>
      <c r="W1265" s="4"/>
    </row>
    <row r="1266" spans="14:23" x14ac:dyDescent="0.4">
      <c r="N1266" s="114"/>
      <c r="O1266" s="115"/>
      <c r="P1266" s="4"/>
      <c r="Q1266" s="4"/>
      <c r="R1266" s="4"/>
      <c r="S1266" s="4"/>
      <c r="T1266" s="4"/>
      <c r="U1266" s="4"/>
      <c r="V1266" s="4"/>
      <c r="W1266" s="4"/>
    </row>
    <row r="1267" spans="14:23" x14ac:dyDescent="0.4">
      <c r="N1267" s="114"/>
      <c r="O1267" s="115"/>
      <c r="P1267" s="4"/>
      <c r="Q1267" s="4"/>
      <c r="R1267" s="4"/>
      <c r="S1267" s="4"/>
      <c r="T1267" s="4"/>
      <c r="U1267" s="4"/>
      <c r="V1267" s="4"/>
      <c r="W1267" s="4"/>
    </row>
    <row r="1268" spans="14:23" x14ac:dyDescent="0.4">
      <c r="N1268" s="114"/>
      <c r="O1268" s="115"/>
      <c r="P1268" s="4"/>
      <c r="Q1268" s="4"/>
      <c r="R1268" s="4"/>
      <c r="S1268" s="4"/>
      <c r="T1268" s="4"/>
      <c r="U1268" s="4"/>
      <c r="V1268" s="4"/>
      <c r="W1268" s="4"/>
    </row>
    <row r="1269" spans="14:23" x14ac:dyDescent="0.4">
      <c r="N1269" s="114"/>
      <c r="O1269" s="115"/>
      <c r="P1269" s="4"/>
      <c r="Q1269" s="4"/>
      <c r="R1269" s="4"/>
      <c r="S1269" s="4"/>
      <c r="T1269" s="4"/>
      <c r="U1269" s="4"/>
      <c r="V1269" s="4"/>
      <c r="W1269" s="4"/>
    </row>
    <row r="1270" spans="14:23" x14ac:dyDescent="0.4">
      <c r="N1270" s="114"/>
      <c r="O1270" s="115"/>
      <c r="P1270" s="4"/>
      <c r="Q1270" s="4"/>
      <c r="R1270" s="4"/>
      <c r="S1270" s="4"/>
      <c r="T1270" s="4"/>
      <c r="U1270" s="4"/>
      <c r="V1270" s="4"/>
      <c r="W1270" s="4"/>
    </row>
    <row r="1271" spans="14:23" x14ac:dyDescent="0.4">
      <c r="N1271" s="114"/>
      <c r="O1271" s="115"/>
      <c r="P1271" s="4"/>
      <c r="Q1271" s="4"/>
      <c r="R1271" s="4"/>
      <c r="S1271" s="4"/>
      <c r="T1271" s="4"/>
      <c r="U1271" s="4"/>
      <c r="V1271" s="4"/>
      <c r="W1271" s="4"/>
    </row>
    <row r="1272" spans="14:23" x14ac:dyDescent="0.4">
      <c r="N1272" s="114"/>
      <c r="O1272" s="115"/>
      <c r="P1272" s="4"/>
      <c r="Q1272" s="4"/>
      <c r="R1272" s="4"/>
      <c r="S1272" s="4"/>
      <c r="T1272" s="4"/>
      <c r="U1272" s="4"/>
      <c r="V1272" s="4"/>
      <c r="W1272" s="4"/>
    </row>
    <row r="1273" spans="14:23" x14ac:dyDescent="0.4">
      <c r="N1273" s="114"/>
      <c r="O1273" s="115"/>
      <c r="P1273" s="4"/>
      <c r="Q1273" s="4"/>
      <c r="R1273" s="4"/>
      <c r="S1273" s="4"/>
      <c r="T1273" s="4"/>
      <c r="U1273" s="4"/>
      <c r="V1273" s="4"/>
      <c r="W1273" s="4"/>
    </row>
    <row r="1274" spans="14:23" x14ac:dyDescent="0.4">
      <c r="N1274" s="114"/>
      <c r="O1274" s="115"/>
      <c r="P1274" s="4"/>
      <c r="Q1274" s="4"/>
      <c r="R1274" s="4"/>
      <c r="S1274" s="4"/>
      <c r="T1274" s="4"/>
      <c r="U1274" s="4"/>
      <c r="V1274" s="4"/>
      <c r="W1274" s="4"/>
    </row>
    <row r="1275" spans="14:23" x14ac:dyDescent="0.4">
      <c r="N1275" s="114"/>
      <c r="O1275" s="115"/>
      <c r="P1275" s="4"/>
      <c r="Q1275" s="4"/>
      <c r="R1275" s="4"/>
      <c r="S1275" s="4"/>
      <c r="T1275" s="4"/>
      <c r="U1275" s="4"/>
      <c r="V1275" s="4"/>
      <c r="W1275" s="4"/>
    </row>
    <row r="1276" spans="14:23" x14ac:dyDescent="0.4">
      <c r="N1276" s="114"/>
      <c r="O1276" s="115"/>
      <c r="P1276" s="4"/>
      <c r="Q1276" s="4"/>
      <c r="R1276" s="4"/>
      <c r="S1276" s="4"/>
      <c r="T1276" s="4"/>
      <c r="U1276" s="4"/>
      <c r="V1276" s="4"/>
      <c r="W1276" s="4"/>
    </row>
    <row r="1277" spans="14:23" x14ac:dyDescent="0.4">
      <c r="N1277" s="114"/>
      <c r="O1277" s="115"/>
      <c r="P1277" s="4"/>
      <c r="Q1277" s="4"/>
      <c r="R1277" s="4"/>
      <c r="S1277" s="4"/>
      <c r="T1277" s="4"/>
      <c r="U1277" s="4"/>
      <c r="V1277" s="4"/>
      <c r="W1277" s="4"/>
    </row>
    <row r="1278" spans="14:23" x14ac:dyDescent="0.4">
      <c r="N1278" s="114"/>
      <c r="O1278" s="115"/>
      <c r="P1278" s="4"/>
      <c r="Q1278" s="4"/>
      <c r="R1278" s="4"/>
      <c r="S1278" s="4"/>
      <c r="T1278" s="4"/>
      <c r="U1278" s="4"/>
      <c r="V1278" s="4"/>
      <c r="W1278" s="4"/>
    </row>
    <row r="1279" spans="14:23" x14ac:dyDescent="0.4">
      <c r="N1279" s="114"/>
      <c r="O1279" s="115"/>
      <c r="P1279" s="4"/>
      <c r="Q1279" s="4"/>
      <c r="R1279" s="4"/>
      <c r="S1279" s="4"/>
      <c r="T1279" s="4"/>
      <c r="U1279" s="4"/>
      <c r="V1279" s="4"/>
      <c r="W1279" s="4"/>
    </row>
    <row r="1280" spans="14:23" x14ac:dyDescent="0.4">
      <c r="N1280" s="114"/>
      <c r="O1280" s="115"/>
      <c r="P1280" s="4"/>
      <c r="Q1280" s="4"/>
      <c r="R1280" s="4"/>
      <c r="S1280" s="4"/>
      <c r="T1280" s="4"/>
      <c r="U1280" s="4"/>
      <c r="V1280" s="4"/>
      <c r="W1280" s="4"/>
    </row>
    <row r="1281" spans="14:23" x14ac:dyDescent="0.4">
      <c r="N1281" s="114"/>
      <c r="O1281" s="115"/>
      <c r="P1281" s="4"/>
      <c r="Q1281" s="4"/>
      <c r="R1281" s="4"/>
      <c r="S1281" s="4"/>
      <c r="T1281" s="4"/>
      <c r="U1281" s="4"/>
      <c r="V1281" s="4"/>
      <c r="W1281" s="4"/>
    </row>
    <row r="1282" spans="14:23" x14ac:dyDescent="0.4">
      <c r="N1282" s="114"/>
      <c r="O1282" s="115"/>
      <c r="P1282" s="4"/>
      <c r="Q1282" s="4"/>
      <c r="R1282" s="4"/>
      <c r="S1282" s="4"/>
      <c r="T1282" s="4"/>
      <c r="U1282" s="4"/>
      <c r="V1282" s="4"/>
      <c r="W1282" s="4"/>
    </row>
    <row r="1283" spans="14:23" x14ac:dyDescent="0.4">
      <c r="N1283" s="114"/>
      <c r="O1283" s="115"/>
      <c r="P1283" s="4"/>
      <c r="Q1283" s="4"/>
      <c r="R1283" s="4"/>
      <c r="S1283" s="4"/>
      <c r="T1283" s="4"/>
      <c r="U1283" s="4"/>
      <c r="V1283" s="4"/>
      <c r="W1283" s="4"/>
    </row>
    <row r="1284" spans="14:23" x14ac:dyDescent="0.4">
      <c r="N1284" s="114"/>
      <c r="O1284" s="115"/>
      <c r="P1284" s="4"/>
      <c r="Q1284" s="4"/>
      <c r="R1284" s="4"/>
      <c r="S1284" s="4"/>
      <c r="T1284" s="4"/>
      <c r="U1284" s="4"/>
      <c r="V1284" s="4"/>
      <c r="W1284" s="4"/>
    </row>
    <row r="1285" spans="14:23" x14ac:dyDescent="0.4">
      <c r="N1285" s="114"/>
      <c r="O1285" s="115"/>
      <c r="P1285" s="4"/>
      <c r="Q1285" s="4"/>
      <c r="R1285" s="4"/>
      <c r="S1285" s="4"/>
      <c r="T1285" s="4"/>
      <c r="U1285" s="4"/>
      <c r="V1285" s="4"/>
      <c r="W1285" s="4"/>
    </row>
    <row r="1286" spans="14:23" x14ac:dyDescent="0.4">
      <c r="N1286" s="114"/>
      <c r="O1286" s="115"/>
      <c r="P1286" s="4"/>
      <c r="Q1286" s="4"/>
      <c r="R1286" s="4"/>
      <c r="S1286" s="4"/>
      <c r="T1286" s="4"/>
      <c r="U1286" s="4"/>
      <c r="V1286" s="4"/>
      <c r="W1286" s="4"/>
    </row>
    <row r="1287" spans="14:23" x14ac:dyDescent="0.4">
      <c r="N1287" s="114"/>
      <c r="O1287" s="115"/>
      <c r="P1287" s="4"/>
      <c r="Q1287" s="4"/>
      <c r="R1287" s="4"/>
      <c r="S1287" s="4"/>
      <c r="T1287" s="4"/>
      <c r="U1287" s="4"/>
      <c r="V1287" s="4"/>
      <c r="W1287" s="4"/>
    </row>
    <row r="1288" spans="14:23" x14ac:dyDescent="0.4">
      <c r="N1288" s="114"/>
      <c r="O1288" s="115"/>
      <c r="P1288" s="4"/>
      <c r="Q1288" s="4"/>
      <c r="R1288" s="4"/>
      <c r="S1288" s="4"/>
      <c r="T1288" s="4"/>
      <c r="U1288" s="4"/>
      <c r="V1288" s="4"/>
      <c r="W1288" s="4"/>
    </row>
    <row r="1289" spans="14:23" x14ac:dyDescent="0.4">
      <c r="N1289" s="114"/>
      <c r="O1289" s="115"/>
      <c r="P1289" s="4"/>
      <c r="Q1289" s="4"/>
      <c r="R1289" s="4"/>
      <c r="S1289" s="4"/>
      <c r="T1289" s="4"/>
      <c r="U1289" s="4"/>
      <c r="V1289" s="4"/>
      <c r="W1289" s="4"/>
    </row>
    <row r="1290" spans="14:23" x14ac:dyDescent="0.4">
      <c r="N1290" s="114"/>
      <c r="O1290" s="115"/>
      <c r="P1290" s="4"/>
      <c r="Q1290" s="4"/>
      <c r="R1290" s="4"/>
      <c r="S1290" s="4"/>
      <c r="T1290" s="4"/>
      <c r="U1290" s="4"/>
      <c r="V1290" s="4"/>
      <c r="W1290" s="4"/>
    </row>
    <row r="1291" spans="14:23" x14ac:dyDescent="0.4">
      <c r="N1291" s="114"/>
      <c r="O1291" s="115"/>
      <c r="P1291" s="4"/>
      <c r="Q1291" s="4"/>
      <c r="R1291" s="4"/>
      <c r="S1291" s="4"/>
      <c r="T1291" s="4"/>
      <c r="U1291" s="4"/>
      <c r="V1291" s="4"/>
      <c r="W1291" s="4"/>
    </row>
    <row r="1292" spans="14:23" x14ac:dyDescent="0.4">
      <c r="N1292" s="114"/>
      <c r="O1292" s="115"/>
      <c r="P1292" s="4"/>
      <c r="Q1292" s="4"/>
      <c r="R1292" s="4"/>
      <c r="S1292" s="4"/>
      <c r="T1292" s="4"/>
      <c r="U1292" s="4"/>
      <c r="V1292" s="4"/>
      <c r="W1292" s="4"/>
    </row>
    <row r="1293" spans="14:23" x14ac:dyDescent="0.4">
      <c r="N1293" s="114"/>
      <c r="O1293" s="115"/>
      <c r="P1293" s="4"/>
      <c r="Q1293" s="4"/>
      <c r="R1293" s="4"/>
      <c r="S1293" s="4"/>
      <c r="T1293" s="4"/>
      <c r="U1293" s="4"/>
      <c r="V1293" s="4"/>
      <c r="W1293" s="4"/>
    </row>
    <row r="1294" spans="14:23" x14ac:dyDescent="0.4">
      <c r="N1294" s="114"/>
      <c r="O1294" s="115"/>
      <c r="P1294" s="4"/>
      <c r="Q1294" s="4"/>
      <c r="R1294" s="4"/>
      <c r="S1294" s="4"/>
      <c r="T1294" s="4"/>
      <c r="U1294" s="4"/>
      <c r="V1294" s="4"/>
      <c r="W1294" s="4"/>
    </row>
    <row r="1295" spans="14:23" x14ac:dyDescent="0.4">
      <c r="N1295" s="114"/>
      <c r="O1295" s="115"/>
      <c r="P1295" s="4"/>
      <c r="Q1295" s="4"/>
      <c r="R1295" s="4"/>
      <c r="S1295" s="4"/>
      <c r="T1295" s="4"/>
      <c r="U1295" s="4"/>
      <c r="V1295" s="4"/>
      <c r="W1295" s="4"/>
    </row>
    <row r="1296" spans="14:23" x14ac:dyDescent="0.4">
      <c r="N1296" s="114"/>
      <c r="O1296" s="115"/>
      <c r="P1296" s="4"/>
      <c r="Q1296" s="4"/>
      <c r="R1296" s="4"/>
      <c r="S1296" s="4"/>
      <c r="T1296" s="4"/>
      <c r="U1296" s="4"/>
      <c r="V1296" s="4"/>
      <c r="W1296" s="4"/>
    </row>
    <row r="1297" spans="14:23" x14ac:dyDescent="0.4">
      <c r="N1297" s="114"/>
      <c r="O1297" s="115"/>
      <c r="P1297" s="4"/>
      <c r="Q1297" s="4"/>
      <c r="R1297" s="4"/>
      <c r="S1297" s="4"/>
      <c r="T1297" s="4"/>
      <c r="U1297" s="4"/>
      <c r="V1297" s="4"/>
      <c r="W1297" s="4"/>
    </row>
    <row r="1298" spans="14:23" x14ac:dyDescent="0.4">
      <c r="N1298" s="114"/>
      <c r="O1298" s="115"/>
      <c r="P1298" s="4"/>
      <c r="Q1298" s="4"/>
      <c r="R1298" s="4"/>
      <c r="S1298" s="4"/>
      <c r="T1298" s="4"/>
      <c r="U1298" s="4"/>
      <c r="V1298" s="4"/>
      <c r="W1298" s="4"/>
    </row>
    <row r="1299" spans="14:23" x14ac:dyDescent="0.4">
      <c r="N1299" s="114"/>
      <c r="O1299" s="115"/>
      <c r="P1299" s="4"/>
      <c r="Q1299" s="4"/>
      <c r="R1299" s="4"/>
      <c r="S1299" s="4"/>
      <c r="T1299" s="4"/>
      <c r="U1299" s="4"/>
      <c r="V1299" s="4"/>
      <c r="W1299" s="4"/>
    </row>
    <row r="1300" spans="14:23" x14ac:dyDescent="0.4">
      <c r="N1300" s="114"/>
      <c r="O1300" s="115"/>
      <c r="P1300" s="4"/>
      <c r="Q1300" s="4"/>
      <c r="R1300" s="4"/>
      <c r="S1300" s="4"/>
      <c r="T1300" s="4"/>
      <c r="U1300" s="4"/>
      <c r="V1300" s="4"/>
      <c r="W1300" s="4"/>
    </row>
    <row r="1301" spans="14:23" x14ac:dyDescent="0.4">
      <c r="N1301" s="114"/>
      <c r="O1301" s="115"/>
      <c r="P1301" s="4"/>
      <c r="Q1301" s="4"/>
      <c r="R1301" s="4"/>
      <c r="S1301" s="4"/>
      <c r="T1301" s="4"/>
      <c r="U1301" s="4"/>
      <c r="V1301" s="4"/>
      <c r="W1301" s="4"/>
    </row>
    <row r="1302" spans="14:23" x14ac:dyDescent="0.4">
      <c r="N1302" s="114"/>
      <c r="O1302" s="115"/>
      <c r="P1302" s="4"/>
      <c r="Q1302" s="4"/>
      <c r="R1302" s="4"/>
      <c r="S1302" s="4"/>
      <c r="T1302" s="4"/>
      <c r="U1302" s="4"/>
      <c r="V1302" s="4"/>
      <c r="W1302" s="4"/>
    </row>
    <row r="1303" spans="14:23" x14ac:dyDescent="0.4">
      <c r="N1303" s="114"/>
      <c r="O1303" s="115"/>
      <c r="P1303" s="4"/>
      <c r="Q1303" s="4"/>
      <c r="R1303" s="4"/>
      <c r="S1303" s="4"/>
      <c r="T1303" s="4"/>
      <c r="U1303" s="4"/>
      <c r="V1303" s="4"/>
      <c r="W1303" s="4"/>
    </row>
    <row r="1304" spans="14:23" x14ac:dyDescent="0.4">
      <c r="N1304" s="114"/>
      <c r="O1304" s="115"/>
      <c r="P1304" s="4"/>
      <c r="Q1304" s="4"/>
      <c r="R1304" s="4"/>
      <c r="S1304" s="4"/>
      <c r="T1304" s="4"/>
      <c r="U1304" s="4"/>
      <c r="V1304" s="4"/>
      <c r="W1304" s="4"/>
    </row>
    <row r="1305" spans="14:23" x14ac:dyDescent="0.4">
      <c r="N1305" s="114"/>
      <c r="O1305" s="115"/>
      <c r="P1305" s="4"/>
      <c r="Q1305" s="4"/>
      <c r="R1305" s="4"/>
      <c r="S1305" s="4"/>
      <c r="T1305" s="4"/>
      <c r="U1305" s="4"/>
      <c r="V1305" s="4"/>
      <c r="W1305" s="4"/>
    </row>
    <row r="1306" spans="14:23" x14ac:dyDescent="0.4">
      <c r="N1306" s="114"/>
      <c r="O1306" s="115"/>
      <c r="P1306" s="4"/>
      <c r="Q1306" s="4"/>
      <c r="R1306" s="4"/>
      <c r="S1306" s="4"/>
      <c r="T1306" s="4"/>
      <c r="U1306" s="4"/>
      <c r="V1306" s="4"/>
      <c r="W1306" s="4"/>
    </row>
    <row r="1307" spans="14:23" x14ac:dyDescent="0.4">
      <c r="N1307" s="114"/>
      <c r="O1307" s="115"/>
      <c r="P1307" s="4"/>
      <c r="Q1307" s="4"/>
      <c r="R1307" s="4"/>
      <c r="S1307" s="4"/>
      <c r="T1307" s="4"/>
      <c r="U1307" s="4"/>
      <c r="V1307" s="4"/>
      <c r="W1307" s="4"/>
    </row>
    <row r="1308" spans="14:23" x14ac:dyDescent="0.4">
      <c r="N1308" s="114"/>
      <c r="O1308" s="115"/>
      <c r="P1308" s="4"/>
      <c r="Q1308" s="4"/>
      <c r="R1308" s="4"/>
      <c r="S1308" s="4"/>
      <c r="T1308" s="4"/>
      <c r="U1308" s="4"/>
      <c r="V1308" s="4"/>
      <c r="W1308" s="4"/>
    </row>
    <row r="1309" spans="14:23" x14ac:dyDescent="0.4">
      <c r="N1309" s="114"/>
      <c r="O1309" s="115"/>
      <c r="P1309" s="4"/>
      <c r="Q1309" s="4"/>
      <c r="R1309" s="4"/>
      <c r="S1309" s="4"/>
      <c r="T1309" s="4"/>
      <c r="U1309" s="4"/>
      <c r="V1309" s="4"/>
      <c r="W1309" s="4"/>
    </row>
    <row r="1310" spans="14:23" x14ac:dyDescent="0.4">
      <c r="N1310" s="114"/>
      <c r="O1310" s="115"/>
      <c r="P1310" s="4"/>
      <c r="Q1310" s="4"/>
      <c r="R1310" s="4"/>
      <c r="S1310" s="4"/>
      <c r="T1310" s="4"/>
      <c r="U1310" s="4"/>
      <c r="V1310" s="4"/>
      <c r="W1310" s="4"/>
    </row>
    <row r="1311" spans="14:23" x14ac:dyDescent="0.4">
      <c r="N1311" s="114"/>
      <c r="O1311" s="115"/>
      <c r="P1311" s="4"/>
      <c r="Q1311" s="4"/>
      <c r="R1311" s="4"/>
      <c r="S1311" s="4"/>
      <c r="T1311" s="4"/>
      <c r="U1311" s="4"/>
      <c r="V1311" s="4"/>
      <c r="W1311" s="4"/>
    </row>
    <row r="1312" spans="14:23" x14ac:dyDescent="0.4">
      <c r="N1312" s="114"/>
      <c r="O1312" s="115"/>
      <c r="P1312" s="4"/>
      <c r="Q1312" s="4"/>
      <c r="R1312" s="4"/>
      <c r="S1312" s="4"/>
      <c r="T1312" s="4"/>
      <c r="U1312" s="4"/>
      <c r="V1312" s="4"/>
      <c r="W1312" s="4"/>
    </row>
    <row r="1313" spans="14:23" x14ac:dyDescent="0.4">
      <c r="N1313" s="114"/>
      <c r="O1313" s="115"/>
      <c r="P1313" s="4"/>
      <c r="Q1313" s="4"/>
      <c r="R1313" s="4"/>
      <c r="S1313" s="4"/>
      <c r="T1313" s="4"/>
      <c r="U1313" s="4"/>
      <c r="V1313" s="4"/>
      <c r="W1313" s="4"/>
    </row>
    <row r="1314" spans="14:23" x14ac:dyDescent="0.4">
      <c r="N1314" s="114"/>
      <c r="O1314" s="115"/>
      <c r="P1314" s="4"/>
      <c r="Q1314" s="4"/>
      <c r="R1314" s="4"/>
      <c r="S1314" s="4"/>
      <c r="T1314" s="4"/>
      <c r="U1314" s="4"/>
      <c r="V1314" s="4"/>
      <c r="W1314" s="4"/>
    </row>
    <row r="1315" spans="14:23" x14ac:dyDescent="0.4">
      <c r="N1315" s="114"/>
      <c r="O1315" s="115"/>
      <c r="P1315" s="4"/>
      <c r="Q1315" s="4"/>
      <c r="R1315" s="4"/>
      <c r="S1315" s="4"/>
      <c r="T1315" s="4"/>
      <c r="U1315" s="4"/>
      <c r="V1315" s="4"/>
      <c r="W1315" s="4"/>
    </row>
    <row r="1316" spans="14:23" x14ac:dyDescent="0.4">
      <c r="N1316" s="114"/>
      <c r="O1316" s="115"/>
      <c r="P1316" s="4"/>
      <c r="Q1316" s="4"/>
      <c r="R1316" s="4"/>
      <c r="S1316" s="4"/>
      <c r="T1316" s="4"/>
      <c r="U1316" s="4"/>
      <c r="V1316" s="4"/>
      <c r="W1316" s="4"/>
    </row>
    <row r="1317" spans="14:23" x14ac:dyDescent="0.4">
      <c r="N1317" s="114"/>
      <c r="O1317" s="115"/>
      <c r="P1317" s="4"/>
      <c r="Q1317" s="4"/>
      <c r="R1317" s="4"/>
      <c r="S1317" s="4"/>
      <c r="T1317" s="4"/>
      <c r="U1317" s="4"/>
      <c r="V1317" s="4"/>
      <c r="W1317" s="4"/>
    </row>
    <row r="1318" spans="14:23" x14ac:dyDescent="0.4">
      <c r="N1318" s="114"/>
      <c r="O1318" s="115"/>
      <c r="P1318" s="4"/>
      <c r="Q1318" s="4"/>
      <c r="R1318" s="4"/>
      <c r="S1318" s="4"/>
      <c r="T1318" s="4"/>
      <c r="U1318" s="4"/>
      <c r="V1318" s="4"/>
      <c r="W1318" s="4"/>
    </row>
    <row r="1319" spans="14:23" x14ac:dyDescent="0.4">
      <c r="N1319" s="114"/>
      <c r="O1319" s="115"/>
      <c r="P1319" s="4"/>
      <c r="Q1319" s="4"/>
      <c r="R1319" s="4"/>
      <c r="S1319" s="4"/>
      <c r="T1319" s="4"/>
      <c r="U1319" s="4"/>
      <c r="V1319" s="4"/>
      <c r="W1319" s="4"/>
    </row>
    <row r="1320" spans="14:23" x14ac:dyDescent="0.4">
      <c r="N1320" s="114"/>
      <c r="O1320" s="115"/>
      <c r="P1320" s="4"/>
      <c r="Q1320" s="4"/>
      <c r="R1320" s="4"/>
      <c r="S1320" s="4"/>
      <c r="T1320" s="4"/>
      <c r="U1320" s="4"/>
      <c r="V1320" s="4"/>
      <c r="W1320" s="4"/>
    </row>
    <row r="1321" spans="14:23" x14ac:dyDescent="0.4">
      <c r="N1321" s="114"/>
      <c r="O1321" s="115"/>
      <c r="P1321" s="4"/>
      <c r="Q1321" s="4"/>
      <c r="R1321" s="4"/>
      <c r="S1321" s="4"/>
      <c r="T1321" s="4"/>
      <c r="U1321" s="4"/>
      <c r="V1321" s="4"/>
      <c r="W1321" s="4"/>
    </row>
    <row r="1322" spans="14:23" x14ac:dyDescent="0.4">
      <c r="N1322" s="114"/>
      <c r="O1322" s="115"/>
      <c r="P1322" s="4"/>
      <c r="Q1322" s="4"/>
      <c r="R1322" s="4"/>
      <c r="S1322" s="4"/>
      <c r="T1322" s="4"/>
      <c r="U1322" s="4"/>
      <c r="V1322" s="4"/>
      <c r="W1322" s="4"/>
    </row>
    <row r="1323" spans="14:23" x14ac:dyDescent="0.4">
      <c r="N1323" s="114"/>
      <c r="O1323" s="115"/>
      <c r="P1323" s="4"/>
      <c r="Q1323" s="4"/>
      <c r="R1323" s="4"/>
      <c r="S1323" s="4"/>
      <c r="T1323" s="4"/>
      <c r="U1323" s="4"/>
      <c r="V1323" s="4"/>
      <c r="W1323" s="4"/>
    </row>
    <row r="1324" spans="14:23" x14ac:dyDescent="0.4">
      <c r="N1324" s="114"/>
      <c r="O1324" s="115"/>
      <c r="P1324" s="4"/>
      <c r="Q1324" s="4"/>
      <c r="R1324" s="4"/>
      <c r="S1324" s="4"/>
      <c r="T1324" s="4"/>
      <c r="U1324" s="4"/>
      <c r="V1324" s="4"/>
      <c r="W1324" s="4"/>
    </row>
    <row r="1325" spans="14:23" x14ac:dyDescent="0.4">
      <c r="N1325" s="114"/>
      <c r="O1325" s="115"/>
      <c r="P1325" s="4"/>
      <c r="Q1325" s="4"/>
      <c r="R1325" s="4"/>
      <c r="S1325" s="4"/>
      <c r="T1325" s="4"/>
      <c r="U1325" s="4"/>
      <c r="V1325" s="4"/>
      <c r="W1325" s="4"/>
    </row>
    <row r="1326" spans="14:23" x14ac:dyDescent="0.4">
      <c r="N1326" s="114"/>
      <c r="O1326" s="115"/>
      <c r="P1326" s="4"/>
      <c r="Q1326" s="4"/>
      <c r="R1326" s="4"/>
      <c r="S1326" s="4"/>
      <c r="T1326" s="4"/>
      <c r="U1326" s="4"/>
      <c r="V1326" s="4"/>
      <c r="W1326" s="4"/>
    </row>
    <row r="1327" spans="14:23" x14ac:dyDescent="0.4">
      <c r="N1327" s="114"/>
      <c r="O1327" s="115"/>
      <c r="P1327" s="4"/>
      <c r="Q1327" s="4"/>
      <c r="R1327" s="4"/>
      <c r="S1327" s="4"/>
      <c r="T1327" s="4"/>
      <c r="U1327" s="4"/>
      <c r="V1327" s="4"/>
      <c r="W1327" s="4"/>
    </row>
    <row r="1328" spans="14:23" x14ac:dyDescent="0.4">
      <c r="N1328" s="114"/>
      <c r="O1328" s="115"/>
      <c r="P1328" s="4"/>
      <c r="Q1328" s="4"/>
      <c r="R1328" s="4"/>
      <c r="S1328" s="4"/>
      <c r="T1328" s="4"/>
      <c r="U1328" s="4"/>
      <c r="V1328" s="4"/>
      <c r="W1328" s="4"/>
    </row>
    <row r="1329" spans="14:23" x14ac:dyDescent="0.4">
      <c r="N1329" s="114"/>
      <c r="O1329" s="115"/>
      <c r="P1329" s="4"/>
      <c r="Q1329" s="4"/>
      <c r="R1329" s="4"/>
      <c r="S1329" s="4"/>
      <c r="T1329" s="4"/>
      <c r="U1329" s="4"/>
      <c r="V1329" s="4"/>
      <c r="W1329" s="4"/>
    </row>
    <row r="1330" spans="14:23" x14ac:dyDescent="0.4">
      <c r="N1330" s="114"/>
      <c r="O1330" s="115"/>
      <c r="P1330" s="4"/>
      <c r="Q1330" s="4"/>
      <c r="R1330" s="4"/>
      <c r="S1330" s="4"/>
      <c r="T1330" s="4"/>
      <c r="U1330" s="4"/>
      <c r="V1330" s="4"/>
      <c r="W1330" s="4"/>
    </row>
    <row r="1331" spans="14:23" x14ac:dyDescent="0.4">
      <c r="N1331" s="114"/>
      <c r="O1331" s="115"/>
      <c r="P1331" s="4"/>
      <c r="Q1331" s="4"/>
      <c r="R1331" s="4"/>
      <c r="S1331" s="4"/>
      <c r="T1331" s="4"/>
      <c r="U1331" s="4"/>
      <c r="V1331" s="4"/>
      <c r="W1331" s="4"/>
    </row>
    <row r="1332" spans="14:23" x14ac:dyDescent="0.4">
      <c r="N1332" s="114"/>
      <c r="O1332" s="115"/>
      <c r="P1332" s="4"/>
      <c r="Q1332" s="4"/>
      <c r="R1332" s="4"/>
      <c r="S1332" s="4"/>
      <c r="T1332" s="4"/>
      <c r="U1332" s="4"/>
      <c r="V1332" s="4"/>
      <c r="W1332" s="4"/>
    </row>
    <row r="1333" spans="14:23" x14ac:dyDescent="0.4">
      <c r="N1333" s="114"/>
      <c r="O1333" s="115"/>
      <c r="P1333" s="4"/>
      <c r="Q1333" s="4"/>
      <c r="R1333" s="4"/>
      <c r="S1333" s="4"/>
      <c r="T1333" s="4"/>
      <c r="U1333" s="4"/>
      <c r="V1333" s="4"/>
      <c r="W1333" s="4"/>
    </row>
    <row r="1334" spans="14:23" x14ac:dyDescent="0.4">
      <c r="N1334" s="114"/>
      <c r="O1334" s="115"/>
      <c r="P1334" s="4"/>
      <c r="Q1334" s="4"/>
      <c r="R1334" s="4"/>
      <c r="S1334" s="4"/>
      <c r="T1334" s="4"/>
      <c r="U1334" s="4"/>
      <c r="V1334" s="4"/>
      <c r="W1334" s="4"/>
    </row>
    <row r="1335" spans="14:23" x14ac:dyDescent="0.4">
      <c r="N1335" s="114"/>
      <c r="O1335" s="115"/>
      <c r="P1335" s="4"/>
      <c r="Q1335" s="4"/>
      <c r="R1335" s="4"/>
      <c r="S1335" s="4"/>
      <c r="T1335" s="4"/>
      <c r="U1335" s="4"/>
      <c r="V1335" s="4"/>
      <c r="W1335" s="4"/>
    </row>
    <row r="1336" spans="14:23" x14ac:dyDescent="0.4">
      <c r="N1336" s="114"/>
      <c r="O1336" s="115"/>
      <c r="P1336" s="4"/>
      <c r="Q1336" s="4"/>
      <c r="R1336" s="4"/>
      <c r="S1336" s="4"/>
      <c r="T1336" s="4"/>
      <c r="U1336" s="4"/>
      <c r="V1336" s="4"/>
      <c r="W1336" s="4"/>
    </row>
    <row r="1337" spans="14:23" x14ac:dyDescent="0.4">
      <c r="N1337" s="114"/>
      <c r="O1337" s="115"/>
      <c r="P1337" s="4"/>
      <c r="Q1337" s="4"/>
      <c r="R1337" s="4"/>
      <c r="S1337" s="4"/>
      <c r="T1337" s="4"/>
      <c r="U1337" s="4"/>
      <c r="V1337" s="4"/>
      <c r="W1337" s="4"/>
    </row>
    <row r="1338" spans="14:23" x14ac:dyDescent="0.4">
      <c r="N1338" s="114"/>
      <c r="O1338" s="115"/>
      <c r="P1338" s="4"/>
      <c r="Q1338" s="4"/>
      <c r="R1338" s="4"/>
      <c r="S1338" s="4"/>
      <c r="T1338" s="4"/>
      <c r="U1338" s="4"/>
      <c r="V1338" s="4"/>
      <c r="W1338" s="4"/>
    </row>
    <row r="1339" spans="14:23" x14ac:dyDescent="0.4">
      <c r="N1339" s="114"/>
      <c r="O1339" s="115"/>
      <c r="P1339" s="4"/>
      <c r="Q1339" s="4"/>
      <c r="R1339" s="4"/>
      <c r="S1339" s="4"/>
      <c r="T1339" s="4"/>
      <c r="U1339" s="4"/>
      <c r="V1339" s="4"/>
      <c r="W1339" s="4"/>
    </row>
    <row r="1340" spans="14:23" x14ac:dyDescent="0.4">
      <c r="N1340" s="114"/>
      <c r="O1340" s="115"/>
      <c r="P1340" s="4"/>
      <c r="Q1340" s="4"/>
      <c r="R1340" s="4"/>
      <c r="S1340" s="4"/>
      <c r="T1340" s="4"/>
      <c r="U1340" s="4"/>
      <c r="V1340" s="4"/>
      <c r="W1340" s="4"/>
    </row>
    <row r="1341" spans="14:23" x14ac:dyDescent="0.4">
      <c r="N1341" s="114"/>
      <c r="O1341" s="115"/>
      <c r="P1341" s="4"/>
      <c r="Q1341" s="4"/>
      <c r="R1341" s="4"/>
      <c r="S1341" s="4"/>
      <c r="T1341" s="4"/>
      <c r="U1341" s="4"/>
      <c r="V1341" s="4"/>
      <c r="W1341" s="4"/>
    </row>
    <row r="1342" spans="14:23" x14ac:dyDescent="0.4">
      <c r="N1342" s="114"/>
      <c r="O1342" s="115"/>
      <c r="P1342" s="4"/>
      <c r="Q1342" s="4"/>
      <c r="R1342" s="4"/>
      <c r="S1342" s="4"/>
      <c r="T1342" s="4"/>
      <c r="U1342" s="4"/>
      <c r="V1342" s="4"/>
      <c r="W1342" s="4"/>
    </row>
    <row r="1343" spans="14:23" x14ac:dyDescent="0.4">
      <c r="N1343" s="114"/>
      <c r="O1343" s="115"/>
      <c r="P1343" s="4"/>
      <c r="Q1343" s="4"/>
      <c r="R1343" s="4"/>
      <c r="S1343" s="4"/>
      <c r="T1343" s="4"/>
      <c r="U1343" s="4"/>
      <c r="V1343" s="4"/>
      <c r="W1343" s="4"/>
    </row>
    <row r="1344" spans="14:23" x14ac:dyDescent="0.4">
      <c r="N1344" s="114"/>
      <c r="O1344" s="115"/>
      <c r="P1344" s="4"/>
      <c r="Q1344" s="4"/>
      <c r="R1344" s="4"/>
      <c r="S1344" s="4"/>
      <c r="T1344" s="4"/>
      <c r="U1344" s="4"/>
      <c r="V1344" s="4"/>
      <c r="W1344" s="4"/>
    </row>
    <row r="1345" spans="14:23" x14ac:dyDescent="0.4">
      <c r="N1345" s="114"/>
      <c r="O1345" s="115"/>
      <c r="P1345" s="4"/>
      <c r="Q1345" s="4"/>
      <c r="R1345" s="4"/>
      <c r="S1345" s="4"/>
      <c r="T1345" s="4"/>
      <c r="U1345" s="4"/>
      <c r="V1345" s="4"/>
      <c r="W1345" s="4"/>
    </row>
    <row r="1346" spans="14:23" x14ac:dyDescent="0.4">
      <c r="N1346" s="114"/>
      <c r="O1346" s="115"/>
      <c r="P1346" s="4"/>
      <c r="Q1346" s="4"/>
      <c r="R1346" s="4"/>
      <c r="S1346" s="4"/>
      <c r="T1346" s="4"/>
      <c r="U1346" s="4"/>
      <c r="V1346" s="4"/>
      <c r="W1346" s="4"/>
    </row>
    <row r="1347" spans="14:23" x14ac:dyDescent="0.4">
      <c r="N1347" s="114"/>
      <c r="O1347" s="115"/>
      <c r="P1347" s="4"/>
      <c r="Q1347" s="4"/>
      <c r="R1347" s="4"/>
      <c r="S1347" s="4"/>
      <c r="T1347" s="4"/>
      <c r="U1347" s="4"/>
      <c r="V1347" s="4"/>
      <c r="W1347" s="4"/>
    </row>
    <row r="1348" spans="14:23" x14ac:dyDescent="0.4">
      <c r="N1348" s="114"/>
      <c r="O1348" s="115"/>
      <c r="P1348" s="4"/>
      <c r="Q1348" s="4"/>
      <c r="R1348" s="4"/>
      <c r="S1348" s="4"/>
      <c r="T1348" s="4"/>
      <c r="U1348" s="4"/>
      <c r="V1348" s="4"/>
      <c r="W1348" s="4"/>
    </row>
    <row r="1349" spans="14:23" x14ac:dyDescent="0.4">
      <c r="N1349" s="114"/>
      <c r="O1349" s="115"/>
      <c r="P1349" s="4"/>
      <c r="Q1349" s="4"/>
      <c r="R1349" s="4"/>
      <c r="S1349" s="4"/>
      <c r="T1349" s="4"/>
      <c r="U1349" s="4"/>
      <c r="V1349" s="4"/>
      <c r="W1349" s="4"/>
    </row>
    <row r="1350" spans="14:23" x14ac:dyDescent="0.4">
      <c r="N1350" s="114"/>
      <c r="O1350" s="115"/>
      <c r="P1350" s="4"/>
      <c r="Q1350" s="4"/>
      <c r="R1350" s="4"/>
      <c r="S1350" s="4"/>
      <c r="T1350" s="4"/>
      <c r="U1350" s="4"/>
      <c r="V1350" s="4"/>
      <c r="W1350" s="4"/>
    </row>
    <row r="1351" spans="14:23" x14ac:dyDescent="0.4">
      <c r="N1351" s="114"/>
      <c r="O1351" s="115"/>
      <c r="P1351" s="4"/>
      <c r="Q1351" s="4"/>
      <c r="R1351" s="4"/>
      <c r="S1351" s="4"/>
      <c r="T1351" s="4"/>
      <c r="U1351" s="4"/>
      <c r="V1351" s="4"/>
      <c r="W1351" s="4"/>
    </row>
    <row r="1352" spans="14:23" x14ac:dyDescent="0.4">
      <c r="N1352" s="114"/>
      <c r="O1352" s="115"/>
      <c r="P1352" s="4"/>
      <c r="Q1352" s="4"/>
      <c r="R1352" s="4"/>
      <c r="S1352" s="4"/>
      <c r="T1352" s="4"/>
      <c r="U1352" s="4"/>
      <c r="V1352" s="4"/>
      <c r="W1352" s="4"/>
    </row>
    <row r="1353" spans="14:23" x14ac:dyDescent="0.4">
      <c r="N1353" s="114"/>
      <c r="O1353" s="115"/>
      <c r="P1353" s="4"/>
      <c r="Q1353" s="4"/>
      <c r="R1353" s="4"/>
      <c r="S1353" s="4"/>
      <c r="T1353" s="4"/>
      <c r="U1353" s="4"/>
      <c r="V1353" s="4"/>
      <c r="W1353" s="4"/>
    </row>
    <row r="1354" spans="14:23" x14ac:dyDescent="0.4">
      <c r="N1354" s="114"/>
      <c r="O1354" s="115"/>
      <c r="P1354" s="4"/>
      <c r="Q1354" s="4"/>
      <c r="R1354" s="4"/>
      <c r="S1354" s="4"/>
      <c r="T1354" s="4"/>
      <c r="U1354" s="4"/>
      <c r="V1354" s="4"/>
      <c r="W1354" s="4"/>
    </row>
    <row r="1355" spans="14:23" x14ac:dyDescent="0.4">
      <c r="N1355" s="114"/>
      <c r="O1355" s="115"/>
      <c r="P1355" s="4"/>
      <c r="Q1355" s="4"/>
      <c r="R1355" s="4"/>
      <c r="S1355" s="4"/>
      <c r="T1355" s="4"/>
      <c r="U1355" s="4"/>
      <c r="V1355" s="4"/>
      <c r="W1355" s="4"/>
    </row>
    <row r="1356" spans="14:23" x14ac:dyDescent="0.4">
      <c r="N1356" s="114"/>
      <c r="O1356" s="115"/>
      <c r="P1356" s="4"/>
      <c r="Q1356" s="4"/>
      <c r="R1356" s="4"/>
      <c r="S1356" s="4"/>
      <c r="T1356" s="4"/>
      <c r="U1356" s="4"/>
      <c r="V1356" s="4"/>
      <c r="W1356" s="4"/>
    </row>
    <row r="1357" spans="14:23" x14ac:dyDescent="0.4">
      <c r="N1357" s="114"/>
      <c r="O1357" s="115"/>
      <c r="P1357" s="4"/>
      <c r="Q1357" s="4"/>
      <c r="R1357" s="4"/>
      <c r="S1357" s="4"/>
      <c r="T1357" s="4"/>
      <c r="U1357" s="4"/>
      <c r="V1357" s="4"/>
      <c r="W1357" s="4"/>
    </row>
    <row r="1358" spans="14:23" x14ac:dyDescent="0.4">
      <c r="N1358" s="114"/>
      <c r="O1358" s="115"/>
      <c r="P1358" s="4"/>
      <c r="Q1358" s="4"/>
      <c r="R1358" s="4"/>
      <c r="S1358" s="4"/>
      <c r="T1358" s="4"/>
      <c r="U1358" s="4"/>
      <c r="V1358" s="4"/>
      <c r="W1358" s="4"/>
    </row>
    <row r="1359" spans="14:23" x14ac:dyDescent="0.4">
      <c r="N1359" s="114"/>
      <c r="O1359" s="115"/>
      <c r="P1359" s="4"/>
      <c r="Q1359" s="4"/>
      <c r="R1359" s="4"/>
      <c r="S1359" s="4"/>
      <c r="T1359" s="4"/>
      <c r="U1359" s="4"/>
      <c r="V1359" s="4"/>
      <c r="W1359" s="4"/>
    </row>
    <row r="1360" spans="14:23" x14ac:dyDescent="0.4">
      <c r="N1360" s="114"/>
      <c r="O1360" s="115"/>
      <c r="P1360" s="4"/>
      <c r="Q1360" s="4"/>
      <c r="R1360" s="4"/>
      <c r="S1360" s="4"/>
      <c r="T1360" s="4"/>
      <c r="U1360" s="4"/>
      <c r="V1360" s="4"/>
      <c r="W1360" s="4"/>
    </row>
    <row r="1361" spans="14:23" x14ac:dyDescent="0.4">
      <c r="N1361" s="114"/>
      <c r="O1361" s="115"/>
      <c r="P1361" s="4"/>
      <c r="Q1361" s="4"/>
      <c r="R1361" s="4"/>
      <c r="S1361" s="4"/>
      <c r="T1361" s="4"/>
      <c r="U1361" s="4"/>
      <c r="V1361" s="4"/>
      <c r="W1361" s="4"/>
    </row>
    <row r="1362" spans="14:23" x14ac:dyDescent="0.4">
      <c r="N1362" s="114"/>
      <c r="O1362" s="115"/>
      <c r="P1362" s="4"/>
      <c r="Q1362" s="4"/>
      <c r="R1362" s="4"/>
      <c r="S1362" s="4"/>
      <c r="T1362" s="4"/>
      <c r="U1362" s="4"/>
      <c r="V1362" s="4"/>
      <c r="W1362" s="4"/>
    </row>
    <row r="1363" spans="14:23" x14ac:dyDescent="0.4">
      <c r="N1363" s="114"/>
      <c r="O1363" s="115"/>
      <c r="P1363" s="4"/>
      <c r="Q1363" s="4"/>
      <c r="R1363" s="4"/>
      <c r="S1363" s="4"/>
      <c r="T1363" s="4"/>
      <c r="U1363" s="4"/>
      <c r="V1363" s="4"/>
      <c r="W1363" s="4"/>
    </row>
    <row r="1364" spans="14:23" x14ac:dyDescent="0.4">
      <c r="N1364" s="114"/>
      <c r="O1364" s="115"/>
      <c r="P1364" s="4"/>
      <c r="Q1364" s="4"/>
      <c r="R1364" s="4"/>
      <c r="S1364" s="4"/>
      <c r="T1364" s="4"/>
      <c r="U1364" s="4"/>
      <c r="V1364" s="4"/>
      <c r="W1364" s="4"/>
    </row>
    <row r="1365" spans="14:23" x14ac:dyDescent="0.4">
      <c r="N1365" s="114"/>
      <c r="O1365" s="115"/>
      <c r="P1365" s="4"/>
      <c r="Q1365" s="4"/>
      <c r="R1365" s="4"/>
      <c r="S1365" s="4"/>
      <c r="T1365" s="4"/>
      <c r="U1365" s="4"/>
      <c r="V1365" s="4"/>
      <c r="W1365" s="4"/>
    </row>
    <row r="1366" spans="14:23" x14ac:dyDescent="0.4">
      <c r="N1366" s="114"/>
      <c r="O1366" s="115"/>
      <c r="P1366" s="4"/>
      <c r="Q1366" s="4"/>
      <c r="R1366" s="4"/>
      <c r="S1366" s="4"/>
      <c r="T1366" s="4"/>
      <c r="U1366" s="4"/>
      <c r="V1366" s="4"/>
      <c r="W1366" s="4"/>
    </row>
    <row r="1367" spans="14:23" x14ac:dyDescent="0.4">
      <c r="N1367" s="114"/>
      <c r="O1367" s="115"/>
      <c r="P1367" s="4"/>
      <c r="Q1367" s="4"/>
      <c r="R1367" s="4"/>
      <c r="S1367" s="4"/>
      <c r="T1367" s="4"/>
      <c r="U1367" s="4"/>
      <c r="V1367" s="4"/>
      <c r="W1367" s="4"/>
    </row>
    <row r="1368" spans="14:23" x14ac:dyDescent="0.4">
      <c r="N1368" s="114"/>
      <c r="O1368" s="115"/>
      <c r="P1368" s="4"/>
      <c r="Q1368" s="4"/>
      <c r="R1368" s="4"/>
      <c r="S1368" s="4"/>
      <c r="T1368" s="4"/>
      <c r="U1368" s="4"/>
      <c r="V1368" s="4"/>
      <c r="W1368" s="4"/>
    </row>
    <row r="1369" spans="14:23" x14ac:dyDescent="0.4">
      <c r="N1369" s="114"/>
      <c r="O1369" s="115"/>
      <c r="P1369" s="4"/>
      <c r="Q1369" s="4"/>
      <c r="R1369" s="4"/>
      <c r="S1369" s="4"/>
      <c r="T1369" s="4"/>
      <c r="U1369" s="4"/>
      <c r="V1369" s="4"/>
      <c r="W1369" s="4"/>
    </row>
    <row r="1370" spans="14:23" x14ac:dyDescent="0.4">
      <c r="N1370" s="114"/>
      <c r="O1370" s="115"/>
      <c r="P1370" s="4"/>
      <c r="Q1370" s="4"/>
      <c r="R1370" s="4"/>
      <c r="S1370" s="4"/>
      <c r="T1370" s="4"/>
      <c r="U1370" s="4"/>
      <c r="V1370" s="4"/>
      <c r="W1370" s="4"/>
    </row>
    <row r="1371" spans="14:23" x14ac:dyDescent="0.4">
      <c r="N1371" s="114"/>
      <c r="O1371" s="115"/>
      <c r="P1371" s="4"/>
      <c r="Q1371" s="4"/>
      <c r="R1371" s="4"/>
      <c r="S1371" s="4"/>
      <c r="T1371" s="4"/>
      <c r="U1371" s="4"/>
      <c r="V1371" s="4"/>
      <c r="W1371" s="4"/>
    </row>
    <row r="1372" spans="14:23" x14ac:dyDescent="0.4">
      <c r="N1372" s="114"/>
      <c r="O1372" s="115"/>
      <c r="P1372" s="4"/>
      <c r="Q1372" s="4"/>
      <c r="R1372" s="4"/>
      <c r="S1372" s="4"/>
      <c r="T1372" s="4"/>
      <c r="U1372" s="4"/>
      <c r="V1372" s="4"/>
      <c r="W1372" s="4"/>
    </row>
    <row r="1373" spans="14:23" x14ac:dyDescent="0.4">
      <c r="N1373" s="114"/>
      <c r="O1373" s="115"/>
      <c r="P1373" s="4"/>
      <c r="Q1373" s="4"/>
      <c r="R1373" s="4"/>
      <c r="S1373" s="4"/>
      <c r="T1373" s="4"/>
      <c r="U1373" s="4"/>
      <c r="V1373" s="4"/>
      <c r="W1373" s="4"/>
    </row>
    <row r="1374" spans="14:23" x14ac:dyDescent="0.4">
      <c r="N1374" s="114"/>
      <c r="O1374" s="115"/>
      <c r="P1374" s="4"/>
      <c r="Q1374" s="4"/>
      <c r="R1374" s="4"/>
      <c r="S1374" s="4"/>
      <c r="T1374" s="4"/>
      <c r="U1374" s="4"/>
      <c r="V1374" s="4"/>
      <c r="W1374" s="4"/>
    </row>
    <row r="1375" spans="14:23" x14ac:dyDescent="0.4">
      <c r="N1375" s="114"/>
      <c r="O1375" s="115"/>
      <c r="P1375" s="4"/>
      <c r="Q1375" s="4"/>
      <c r="R1375" s="4"/>
      <c r="S1375" s="4"/>
      <c r="T1375" s="4"/>
      <c r="U1375" s="4"/>
      <c r="V1375" s="4"/>
      <c r="W1375" s="4"/>
    </row>
    <row r="1376" spans="14:23" x14ac:dyDescent="0.4">
      <c r="N1376" s="114"/>
      <c r="O1376" s="115"/>
      <c r="P1376" s="4"/>
      <c r="Q1376" s="4"/>
      <c r="R1376" s="4"/>
      <c r="S1376" s="4"/>
      <c r="T1376" s="4"/>
      <c r="U1376" s="4"/>
      <c r="V1376" s="4"/>
      <c r="W1376" s="4"/>
    </row>
    <row r="1377" spans="14:23" x14ac:dyDescent="0.4">
      <c r="N1377" s="114"/>
      <c r="O1377" s="115"/>
      <c r="P1377" s="4"/>
      <c r="Q1377" s="4"/>
      <c r="R1377" s="4"/>
      <c r="S1377" s="4"/>
      <c r="T1377" s="4"/>
      <c r="U1377" s="4"/>
      <c r="V1377" s="4"/>
      <c r="W1377" s="4"/>
    </row>
    <row r="1378" spans="14:23" x14ac:dyDescent="0.4">
      <c r="N1378" s="114"/>
      <c r="O1378" s="115"/>
      <c r="P1378" s="4"/>
      <c r="Q1378" s="4"/>
      <c r="R1378" s="4"/>
      <c r="S1378" s="4"/>
      <c r="T1378" s="4"/>
      <c r="U1378" s="4"/>
      <c r="V1378" s="4"/>
      <c r="W1378" s="4"/>
    </row>
    <row r="1379" spans="14:23" x14ac:dyDescent="0.4">
      <c r="N1379" s="114"/>
      <c r="O1379" s="115"/>
      <c r="P1379" s="4"/>
      <c r="Q1379" s="4"/>
      <c r="R1379" s="4"/>
      <c r="S1379" s="4"/>
      <c r="T1379" s="4"/>
      <c r="U1379" s="4"/>
      <c r="V1379" s="4"/>
      <c r="W1379" s="4"/>
    </row>
    <row r="1380" spans="14:23" x14ac:dyDescent="0.4">
      <c r="N1380" s="114"/>
      <c r="O1380" s="115"/>
      <c r="P1380" s="4"/>
      <c r="Q1380" s="4"/>
      <c r="R1380" s="4"/>
      <c r="S1380" s="4"/>
      <c r="T1380" s="4"/>
      <c r="U1380" s="4"/>
      <c r="V1380" s="4"/>
      <c r="W1380" s="4"/>
    </row>
    <row r="1381" spans="14:23" x14ac:dyDescent="0.4">
      <c r="N1381" s="114"/>
      <c r="O1381" s="115"/>
      <c r="P1381" s="4"/>
      <c r="Q1381" s="4"/>
      <c r="R1381" s="4"/>
      <c r="S1381" s="4"/>
      <c r="T1381" s="4"/>
      <c r="U1381" s="4"/>
      <c r="V1381" s="4"/>
      <c r="W1381" s="4"/>
    </row>
    <row r="1382" spans="14:23" x14ac:dyDescent="0.4">
      <c r="N1382" s="114"/>
      <c r="O1382" s="115"/>
      <c r="P1382" s="4"/>
      <c r="Q1382" s="4"/>
      <c r="R1382" s="4"/>
      <c r="S1382" s="4"/>
      <c r="T1382" s="4"/>
      <c r="U1382" s="4"/>
      <c r="V1382" s="4"/>
      <c r="W1382" s="4"/>
    </row>
    <row r="1383" spans="14:23" x14ac:dyDescent="0.4">
      <c r="N1383" s="114"/>
      <c r="O1383" s="115"/>
      <c r="P1383" s="4"/>
      <c r="Q1383" s="4"/>
      <c r="R1383" s="4"/>
      <c r="S1383" s="4"/>
      <c r="T1383" s="4"/>
      <c r="U1383" s="4"/>
      <c r="V1383" s="4"/>
      <c r="W1383" s="4"/>
    </row>
    <row r="1384" spans="14:23" x14ac:dyDescent="0.4">
      <c r="N1384" s="114"/>
      <c r="O1384" s="115"/>
      <c r="P1384" s="4"/>
      <c r="Q1384" s="4"/>
      <c r="R1384" s="4"/>
      <c r="S1384" s="4"/>
      <c r="T1384" s="4"/>
      <c r="U1384" s="4"/>
      <c r="V1384" s="4"/>
      <c r="W1384" s="4"/>
    </row>
    <row r="1385" spans="14:23" x14ac:dyDescent="0.4">
      <c r="N1385" s="114"/>
      <c r="O1385" s="115"/>
      <c r="P1385" s="4"/>
      <c r="Q1385" s="4"/>
      <c r="R1385" s="4"/>
      <c r="S1385" s="4"/>
      <c r="T1385" s="4"/>
      <c r="U1385" s="4"/>
      <c r="V1385" s="4"/>
      <c r="W1385" s="4"/>
    </row>
    <row r="1386" spans="14:23" x14ac:dyDescent="0.4">
      <c r="N1386" s="114"/>
      <c r="O1386" s="115"/>
      <c r="P1386" s="4"/>
      <c r="Q1386" s="4"/>
      <c r="R1386" s="4"/>
      <c r="S1386" s="4"/>
      <c r="T1386" s="4"/>
      <c r="U1386" s="4"/>
      <c r="V1386" s="4"/>
      <c r="W1386" s="4"/>
    </row>
    <row r="1387" spans="14:23" x14ac:dyDescent="0.4">
      <c r="N1387" s="114"/>
      <c r="O1387" s="115"/>
      <c r="P1387" s="4"/>
      <c r="Q1387" s="4"/>
      <c r="R1387" s="4"/>
      <c r="S1387" s="4"/>
      <c r="T1387" s="4"/>
      <c r="U1387" s="4"/>
      <c r="V1387" s="4"/>
      <c r="W1387" s="4"/>
    </row>
    <row r="1388" spans="14:23" x14ac:dyDescent="0.4">
      <c r="N1388" s="114"/>
      <c r="O1388" s="115"/>
      <c r="P1388" s="4"/>
      <c r="Q1388" s="4"/>
      <c r="R1388" s="4"/>
      <c r="S1388" s="4"/>
      <c r="T1388" s="4"/>
      <c r="U1388" s="4"/>
      <c r="V1388" s="4"/>
      <c r="W1388" s="4"/>
    </row>
    <row r="1389" spans="14:23" x14ac:dyDescent="0.4">
      <c r="N1389" s="114"/>
      <c r="O1389" s="115"/>
      <c r="P1389" s="4"/>
      <c r="Q1389" s="4"/>
      <c r="R1389" s="4"/>
      <c r="S1389" s="4"/>
      <c r="T1389" s="4"/>
      <c r="U1389" s="4"/>
      <c r="V1389" s="4"/>
      <c r="W1389" s="4"/>
    </row>
    <row r="1390" spans="14:23" x14ac:dyDescent="0.4">
      <c r="N1390" s="114"/>
      <c r="O1390" s="115"/>
      <c r="P1390" s="4"/>
      <c r="Q1390" s="4"/>
      <c r="R1390" s="4"/>
      <c r="S1390" s="4"/>
      <c r="T1390" s="4"/>
      <c r="U1390" s="4"/>
      <c r="V1390" s="4"/>
      <c r="W1390" s="4"/>
    </row>
    <row r="1391" spans="14:23" x14ac:dyDescent="0.4">
      <c r="N1391" s="114"/>
      <c r="O1391" s="115"/>
      <c r="P1391" s="4"/>
      <c r="Q1391" s="4"/>
      <c r="R1391" s="4"/>
      <c r="S1391" s="4"/>
      <c r="T1391" s="4"/>
      <c r="U1391" s="4"/>
      <c r="V1391" s="4"/>
      <c r="W1391" s="4"/>
    </row>
    <row r="1392" spans="14:23" x14ac:dyDescent="0.4">
      <c r="N1392" s="114"/>
      <c r="O1392" s="115"/>
      <c r="P1392" s="4"/>
      <c r="Q1392" s="4"/>
      <c r="R1392" s="4"/>
      <c r="S1392" s="4"/>
      <c r="T1392" s="4"/>
      <c r="U1392" s="4"/>
      <c r="V1392" s="4"/>
      <c r="W1392" s="4"/>
    </row>
    <row r="1393" spans="14:23" x14ac:dyDescent="0.4">
      <c r="N1393" s="114"/>
      <c r="O1393" s="115"/>
      <c r="P1393" s="4"/>
      <c r="Q1393" s="4"/>
      <c r="R1393" s="4"/>
      <c r="S1393" s="4"/>
      <c r="T1393" s="4"/>
      <c r="U1393" s="4"/>
      <c r="V1393" s="4"/>
      <c r="W1393" s="4"/>
    </row>
    <row r="1394" spans="14:23" x14ac:dyDescent="0.4">
      <c r="N1394" s="114"/>
      <c r="O1394" s="115"/>
      <c r="P1394" s="4"/>
      <c r="Q1394" s="4"/>
      <c r="R1394" s="4"/>
      <c r="S1394" s="4"/>
      <c r="T1394" s="4"/>
      <c r="U1394" s="4"/>
      <c r="V1394" s="4"/>
      <c r="W1394" s="4"/>
    </row>
    <row r="1395" spans="14:23" x14ac:dyDescent="0.4">
      <c r="N1395" s="114"/>
      <c r="O1395" s="115"/>
      <c r="P1395" s="4"/>
      <c r="Q1395" s="4"/>
      <c r="R1395" s="4"/>
      <c r="S1395" s="4"/>
      <c r="T1395" s="4"/>
      <c r="U1395" s="4"/>
      <c r="V1395" s="4"/>
      <c r="W1395" s="4"/>
    </row>
    <row r="1396" spans="14:23" x14ac:dyDescent="0.4">
      <c r="N1396" s="114"/>
      <c r="O1396" s="115"/>
      <c r="P1396" s="4"/>
      <c r="Q1396" s="4"/>
      <c r="R1396" s="4"/>
      <c r="S1396" s="4"/>
      <c r="T1396" s="4"/>
      <c r="U1396" s="4"/>
      <c r="V1396" s="4"/>
      <c r="W1396" s="4"/>
    </row>
    <row r="1397" spans="14:23" x14ac:dyDescent="0.4">
      <c r="N1397" s="114"/>
      <c r="O1397" s="115"/>
      <c r="P1397" s="4"/>
      <c r="Q1397" s="4"/>
      <c r="R1397" s="4"/>
      <c r="S1397" s="4"/>
      <c r="T1397" s="4"/>
      <c r="U1397" s="4"/>
      <c r="V1397" s="4"/>
      <c r="W1397" s="4"/>
    </row>
    <row r="1398" spans="14:23" x14ac:dyDescent="0.4">
      <c r="N1398" s="114"/>
      <c r="O1398" s="115"/>
      <c r="P1398" s="4"/>
      <c r="Q1398" s="4"/>
      <c r="R1398" s="4"/>
      <c r="S1398" s="4"/>
      <c r="T1398" s="4"/>
      <c r="U1398" s="4"/>
      <c r="V1398" s="4"/>
      <c r="W1398" s="4"/>
    </row>
    <row r="1399" spans="14:23" x14ac:dyDescent="0.4">
      <c r="N1399" s="114"/>
      <c r="O1399" s="115"/>
      <c r="P1399" s="4"/>
      <c r="Q1399" s="4"/>
      <c r="R1399" s="4"/>
      <c r="S1399" s="4"/>
      <c r="T1399" s="4"/>
      <c r="U1399" s="4"/>
      <c r="V1399" s="4"/>
      <c r="W1399" s="4"/>
    </row>
    <row r="1400" spans="14:23" x14ac:dyDescent="0.4">
      <c r="N1400" s="114"/>
      <c r="O1400" s="115"/>
      <c r="P1400" s="4"/>
      <c r="Q1400" s="4"/>
      <c r="R1400" s="4"/>
      <c r="S1400" s="4"/>
      <c r="T1400" s="4"/>
      <c r="U1400" s="4"/>
      <c r="V1400" s="4"/>
      <c r="W1400" s="4"/>
    </row>
    <row r="1401" spans="14:23" x14ac:dyDescent="0.4">
      <c r="N1401" s="114"/>
      <c r="O1401" s="115"/>
      <c r="P1401" s="4"/>
      <c r="Q1401" s="4"/>
      <c r="R1401" s="4"/>
      <c r="S1401" s="4"/>
      <c r="T1401" s="4"/>
      <c r="U1401" s="4"/>
      <c r="V1401" s="4"/>
      <c r="W1401" s="4"/>
    </row>
    <row r="1402" spans="14:23" x14ac:dyDescent="0.4">
      <c r="N1402" s="114"/>
      <c r="O1402" s="115"/>
      <c r="P1402" s="4"/>
      <c r="Q1402" s="4"/>
      <c r="R1402" s="4"/>
      <c r="S1402" s="4"/>
      <c r="T1402" s="4"/>
      <c r="U1402" s="4"/>
      <c r="V1402" s="4"/>
      <c r="W1402" s="4"/>
    </row>
    <row r="1403" spans="14:23" x14ac:dyDescent="0.4">
      <c r="N1403" s="114"/>
      <c r="O1403" s="115"/>
      <c r="P1403" s="4"/>
      <c r="Q1403" s="4"/>
      <c r="R1403" s="4"/>
      <c r="S1403" s="4"/>
      <c r="T1403" s="4"/>
      <c r="U1403" s="4"/>
      <c r="V1403" s="4"/>
      <c r="W1403" s="4"/>
    </row>
    <row r="1404" spans="14:23" x14ac:dyDescent="0.4">
      <c r="N1404" s="114"/>
      <c r="O1404" s="115"/>
      <c r="P1404" s="4"/>
      <c r="Q1404" s="4"/>
      <c r="R1404" s="4"/>
      <c r="S1404" s="4"/>
      <c r="T1404" s="4"/>
      <c r="U1404" s="4"/>
      <c r="V1404" s="4"/>
      <c r="W1404" s="4"/>
    </row>
    <row r="1405" spans="14:23" x14ac:dyDescent="0.4">
      <c r="N1405" s="114"/>
      <c r="O1405" s="115"/>
      <c r="P1405" s="4"/>
      <c r="Q1405" s="4"/>
      <c r="R1405" s="4"/>
      <c r="S1405" s="4"/>
      <c r="T1405" s="4"/>
      <c r="U1405" s="4"/>
      <c r="V1405" s="4"/>
      <c r="W1405" s="4"/>
    </row>
    <row r="1406" spans="14:23" x14ac:dyDescent="0.4">
      <c r="N1406" s="114"/>
      <c r="O1406" s="115"/>
      <c r="P1406" s="4"/>
      <c r="Q1406" s="4"/>
      <c r="R1406" s="4"/>
      <c r="S1406" s="4"/>
      <c r="T1406" s="4"/>
      <c r="U1406" s="4"/>
      <c r="V1406" s="4"/>
      <c r="W1406" s="4"/>
    </row>
    <row r="1407" spans="14:23" x14ac:dyDescent="0.4">
      <c r="N1407" s="114"/>
      <c r="O1407" s="115"/>
      <c r="P1407" s="4"/>
      <c r="Q1407" s="4"/>
      <c r="R1407" s="4"/>
      <c r="S1407" s="4"/>
      <c r="T1407" s="4"/>
      <c r="U1407" s="4"/>
      <c r="V1407" s="4"/>
      <c r="W1407" s="4"/>
    </row>
    <row r="1408" spans="14:23" x14ac:dyDescent="0.4">
      <c r="N1408" s="114"/>
      <c r="O1408" s="115"/>
      <c r="P1408" s="4"/>
      <c r="Q1408" s="4"/>
      <c r="R1408" s="4"/>
      <c r="S1408" s="4"/>
      <c r="T1408" s="4"/>
      <c r="U1408" s="4"/>
      <c r="V1408" s="4"/>
      <c r="W1408" s="4"/>
    </row>
    <row r="1409" spans="14:23" x14ac:dyDescent="0.4">
      <c r="N1409" s="114"/>
      <c r="O1409" s="115"/>
      <c r="P1409" s="4"/>
      <c r="Q1409" s="4"/>
      <c r="R1409" s="4"/>
      <c r="S1409" s="4"/>
      <c r="T1409" s="4"/>
      <c r="U1409" s="4"/>
      <c r="V1409" s="4"/>
      <c r="W1409" s="4"/>
    </row>
    <row r="1410" spans="14:23" x14ac:dyDescent="0.4">
      <c r="N1410" s="114"/>
      <c r="O1410" s="115"/>
      <c r="P1410" s="4"/>
      <c r="Q1410" s="4"/>
      <c r="R1410" s="4"/>
      <c r="S1410" s="4"/>
      <c r="T1410" s="4"/>
      <c r="U1410" s="4"/>
      <c r="V1410" s="4"/>
      <c r="W1410" s="4"/>
    </row>
    <row r="1411" spans="14:23" x14ac:dyDescent="0.4">
      <c r="N1411" s="114"/>
      <c r="O1411" s="115"/>
      <c r="P1411" s="4"/>
      <c r="Q1411" s="4"/>
      <c r="R1411" s="4"/>
      <c r="S1411" s="4"/>
      <c r="T1411" s="4"/>
      <c r="U1411" s="4"/>
      <c r="V1411" s="4"/>
      <c r="W1411" s="4"/>
    </row>
    <row r="1412" spans="14:23" x14ac:dyDescent="0.4">
      <c r="N1412" s="114"/>
      <c r="O1412" s="115"/>
      <c r="P1412" s="4"/>
      <c r="Q1412" s="4"/>
      <c r="R1412" s="4"/>
      <c r="S1412" s="4"/>
      <c r="T1412" s="4"/>
      <c r="U1412" s="4"/>
      <c r="V1412" s="4"/>
      <c r="W1412" s="4"/>
    </row>
    <row r="1413" spans="14:23" x14ac:dyDescent="0.4">
      <c r="N1413" s="114"/>
      <c r="O1413" s="115"/>
      <c r="P1413" s="4"/>
      <c r="Q1413" s="4"/>
      <c r="R1413" s="4"/>
      <c r="S1413" s="4"/>
      <c r="T1413" s="4"/>
      <c r="U1413" s="4"/>
      <c r="V1413" s="4"/>
      <c r="W1413" s="4"/>
    </row>
    <row r="1414" spans="14:23" x14ac:dyDescent="0.4">
      <c r="N1414" s="114"/>
      <c r="O1414" s="115"/>
      <c r="P1414" s="4"/>
      <c r="Q1414" s="4"/>
      <c r="R1414" s="4"/>
      <c r="S1414" s="4"/>
      <c r="T1414" s="4"/>
      <c r="U1414" s="4"/>
      <c r="V1414" s="4"/>
      <c r="W1414" s="4"/>
    </row>
    <row r="1415" spans="14:23" x14ac:dyDescent="0.4">
      <c r="N1415" s="114"/>
      <c r="O1415" s="115"/>
      <c r="P1415" s="4"/>
      <c r="Q1415" s="4"/>
      <c r="R1415" s="4"/>
      <c r="S1415" s="4"/>
      <c r="T1415" s="4"/>
      <c r="U1415" s="4"/>
      <c r="V1415" s="4"/>
      <c r="W1415" s="4"/>
    </row>
    <row r="1416" spans="14:23" x14ac:dyDescent="0.4">
      <c r="N1416" s="114"/>
      <c r="O1416" s="115"/>
      <c r="P1416" s="4"/>
      <c r="Q1416" s="4"/>
      <c r="R1416" s="4"/>
      <c r="S1416" s="4"/>
      <c r="T1416" s="4"/>
      <c r="U1416" s="4"/>
      <c r="V1416" s="4"/>
      <c r="W1416" s="4"/>
    </row>
    <row r="1417" spans="14:23" x14ac:dyDescent="0.4">
      <c r="N1417" s="114"/>
      <c r="O1417" s="115"/>
      <c r="P1417" s="4"/>
      <c r="Q1417" s="4"/>
      <c r="R1417" s="4"/>
      <c r="S1417" s="4"/>
      <c r="T1417" s="4"/>
      <c r="U1417" s="4"/>
      <c r="V1417" s="4"/>
      <c r="W1417" s="4"/>
    </row>
    <row r="1418" spans="14:23" x14ac:dyDescent="0.4">
      <c r="N1418" s="114"/>
      <c r="O1418" s="115"/>
      <c r="P1418" s="4"/>
      <c r="Q1418" s="4"/>
      <c r="R1418" s="4"/>
      <c r="S1418" s="4"/>
      <c r="T1418" s="4"/>
      <c r="U1418" s="4"/>
      <c r="V1418" s="4"/>
      <c r="W1418" s="4"/>
    </row>
    <row r="1419" spans="14:23" x14ac:dyDescent="0.4">
      <c r="N1419" s="114"/>
      <c r="O1419" s="115"/>
      <c r="P1419" s="4"/>
      <c r="Q1419" s="4"/>
      <c r="R1419" s="4"/>
      <c r="S1419" s="4"/>
      <c r="T1419" s="4"/>
      <c r="U1419" s="4"/>
      <c r="V1419" s="4"/>
      <c r="W1419" s="4"/>
    </row>
    <row r="1420" spans="14:23" x14ac:dyDescent="0.4">
      <c r="N1420" s="114"/>
      <c r="O1420" s="115"/>
      <c r="P1420" s="4"/>
      <c r="Q1420" s="4"/>
      <c r="R1420" s="4"/>
      <c r="S1420" s="4"/>
      <c r="T1420" s="4"/>
      <c r="U1420" s="4"/>
      <c r="V1420" s="4"/>
      <c r="W1420" s="4"/>
    </row>
    <row r="1421" spans="14:23" x14ac:dyDescent="0.4">
      <c r="N1421" s="114"/>
      <c r="O1421" s="115"/>
      <c r="P1421" s="4"/>
      <c r="Q1421" s="4"/>
      <c r="R1421" s="4"/>
      <c r="S1421" s="4"/>
      <c r="T1421" s="4"/>
      <c r="U1421" s="4"/>
      <c r="V1421" s="4"/>
      <c r="W1421" s="4"/>
    </row>
    <row r="1422" spans="14:23" x14ac:dyDescent="0.4">
      <c r="N1422" s="114"/>
      <c r="O1422" s="115"/>
      <c r="P1422" s="4"/>
      <c r="Q1422" s="4"/>
      <c r="R1422" s="4"/>
      <c r="S1422" s="4"/>
      <c r="T1422" s="4"/>
      <c r="U1422" s="4"/>
      <c r="V1422" s="4"/>
      <c r="W1422" s="4"/>
    </row>
    <row r="1423" spans="14:23" x14ac:dyDescent="0.4">
      <c r="N1423" s="114"/>
      <c r="O1423" s="115"/>
      <c r="P1423" s="4"/>
      <c r="Q1423" s="4"/>
      <c r="R1423" s="4"/>
      <c r="S1423" s="4"/>
      <c r="T1423" s="4"/>
      <c r="U1423" s="4"/>
      <c r="V1423" s="4"/>
      <c r="W1423" s="4"/>
    </row>
    <row r="1424" spans="14:23" x14ac:dyDescent="0.4">
      <c r="N1424" s="114"/>
      <c r="O1424" s="115"/>
      <c r="P1424" s="4"/>
      <c r="Q1424" s="4"/>
      <c r="R1424" s="4"/>
      <c r="S1424" s="4"/>
      <c r="T1424" s="4"/>
      <c r="U1424" s="4"/>
      <c r="V1424" s="4"/>
      <c r="W1424" s="4"/>
    </row>
    <row r="1425" spans="14:23" x14ac:dyDescent="0.4">
      <c r="N1425" s="114"/>
      <c r="O1425" s="115"/>
      <c r="P1425" s="4"/>
      <c r="Q1425" s="4"/>
      <c r="R1425" s="4"/>
      <c r="S1425" s="4"/>
      <c r="T1425" s="4"/>
      <c r="U1425" s="4"/>
      <c r="V1425" s="4"/>
      <c r="W1425" s="4"/>
    </row>
    <row r="1426" spans="14:23" x14ac:dyDescent="0.4">
      <c r="N1426" s="114"/>
      <c r="O1426" s="115"/>
      <c r="P1426" s="4"/>
      <c r="Q1426" s="4"/>
      <c r="R1426" s="4"/>
      <c r="S1426" s="4"/>
      <c r="T1426" s="4"/>
      <c r="U1426" s="4"/>
      <c r="V1426" s="4"/>
      <c r="W1426" s="4"/>
    </row>
    <row r="1427" spans="14:23" x14ac:dyDescent="0.4">
      <c r="N1427" s="114"/>
      <c r="O1427" s="115"/>
      <c r="P1427" s="4"/>
      <c r="Q1427" s="4"/>
      <c r="R1427" s="4"/>
      <c r="S1427" s="4"/>
      <c r="T1427" s="4"/>
      <c r="U1427" s="4"/>
      <c r="V1427" s="4"/>
      <c r="W1427" s="4"/>
    </row>
    <row r="1428" spans="14:23" x14ac:dyDescent="0.4">
      <c r="N1428" s="114"/>
      <c r="O1428" s="115"/>
      <c r="P1428" s="4"/>
      <c r="Q1428" s="4"/>
      <c r="R1428" s="4"/>
      <c r="S1428" s="4"/>
      <c r="T1428" s="4"/>
      <c r="U1428" s="4"/>
      <c r="V1428" s="4"/>
      <c r="W1428" s="4"/>
    </row>
    <row r="1429" spans="14:23" x14ac:dyDescent="0.4">
      <c r="N1429" s="114"/>
      <c r="O1429" s="115"/>
      <c r="P1429" s="4"/>
      <c r="Q1429" s="4"/>
      <c r="R1429" s="4"/>
      <c r="S1429" s="4"/>
      <c r="T1429" s="4"/>
      <c r="U1429" s="4"/>
      <c r="V1429" s="4"/>
      <c r="W1429" s="4"/>
    </row>
    <row r="1430" spans="14:23" x14ac:dyDescent="0.4">
      <c r="N1430" s="114"/>
      <c r="O1430" s="115"/>
      <c r="P1430" s="4"/>
      <c r="Q1430" s="4"/>
      <c r="R1430" s="4"/>
      <c r="S1430" s="4"/>
      <c r="T1430" s="4"/>
      <c r="U1430" s="4"/>
      <c r="V1430" s="4"/>
      <c r="W1430" s="4"/>
    </row>
    <row r="1431" spans="14:23" x14ac:dyDescent="0.4">
      <c r="N1431" s="114"/>
      <c r="O1431" s="115"/>
      <c r="P1431" s="4"/>
      <c r="Q1431" s="4"/>
      <c r="R1431" s="4"/>
      <c r="S1431" s="4"/>
      <c r="T1431" s="4"/>
      <c r="U1431" s="4"/>
      <c r="V1431" s="4"/>
      <c r="W1431" s="4"/>
    </row>
    <row r="1432" spans="14:23" x14ac:dyDescent="0.4">
      <c r="N1432" s="114"/>
      <c r="O1432" s="115"/>
      <c r="P1432" s="4"/>
      <c r="Q1432" s="4"/>
      <c r="R1432" s="4"/>
      <c r="S1432" s="4"/>
      <c r="T1432" s="4"/>
      <c r="U1432" s="4"/>
      <c r="V1432" s="4"/>
      <c r="W1432" s="4"/>
    </row>
    <row r="1433" spans="14:23" x14ac:dyDescent="0.4">
      <c r="N1433" s="114"/>
      <c r="O1433" s="115"/>
      <c r="P1433" s="4"/>
      <c r="Q1433" s="4"/>
      <c r="R1433" s="4"/>
      <c r="S1433" s="4"/>
      <c r="T1433" s="4"/>
      <c r="U1433" s="4"/>
      <c r="V1433" s="4"/>
      <c r="W1433" s="4"/>
    </row>
    <row r="1434" spans="14:23" x14ac:dyDescent="0.4">
      <c r="N1434" s="114"/>
      <c r="O1434" s="115"/>
      <c r="P1434" s="4"/>
      <c r="Q1434" s="4"/>
      <c r="R1434" s="4"/>
      <c r="S1434" s="4"/>
      <c r="T1434" s="4"/>
      <c r="U1434" s="4"/>
      <c r="V1434" s="4"/>
      <c r="W1434" s="4"/>
    </row>
    <row r="1435" spans="14:23" x14ac:dyDescent="0.4">
      <c r="N1435" s="114"/>
      <c r="O1435" s="115"/>
      <c r="P1435" s="4"/>
      <c r="Q1435" s="4"/>
      <c r="R1435" s="4"/>
      <c r="S1435" s="4"/>
      <c r="T1435" s="4"/>
      <c r="U1435" s="4"/>
      <c r="V1435" s="4"/>
      <c r="W1435" s="4"/>
    </row>
    <row r="1436" spans="14:23" x14ac:dyDescent="0.4">
      <c r="N1436" s="114"/>
      <c r="O1436" s="115"/>
      <c r="P1436" s="4"/>
      <c r="Q1436" s="4"/>
      <c r="R1436" s="4"/>
      <c r="S1436" s="4"/>
      <c r="T1436" s="4"/>
      <c r="U1436" s="4"/>
      <c r="V1436" s="4"/>
      <c r="W1436" s="4"/>
    </row>
    <row r="1437" spans="14:23" x14ac:dyDescent="0.4">
      <c r="N1437" s="114"/>
      <c r="O1437" s="115"/>
      <c r="P1437" s="4"/>
      <c r="Q1437" s="4"/>
      <c r="R1437" s="4"/>
      <c r="S1437" s="4"/>
      <c r="T1437" s="4"/>
      <c r="U1437" s="4"/>
      <c r="V1437" s="4"/>
      <c r="W1437" s="4"/>
    </row>
    <row r="1438" spans="14:23" x14ac:dyDescent="0.4">
      <c r="N1438" s="114"/>
      <c r="O1438" s="115"/>
      <c r="P1438" s="4"/>
      <c r="Q1438" s="4"/>
      <c r="R1438" s="4"/>
      <c r="S1438" s="4"/>
      <c r="T1438" s="4"/>
      <c r="U1438" s="4"/>
      <c r="V1438" s="4"/>
      <c r="W1438" s="4"/>
    </row>
    <row r="1439" spans="14:23" x14ac:dyDescent="0.4">
      <c r="N1439" s="114"/>
      <c r="O1439" s="115"/>
      <c r="P1439" s="4"/>
      <c r="Q1439" s="4"/>
      <c r="R1439" s="4"/>
      <c r="S1439" s="4"/>
      <c r="T1439" s="4"/>
      <c r="U1439" s="4"/>
      <c r="V1439" s="4"/>
      <c r="W1439" s="4"/>
    </row>
    <row r="1440" spans="14:23" x14ac:dyDescent="0.4">
      <c r="N1440" s="114"/>
      <c r="O1440" s="115"/>
      <c r="P1440" s="4"/>
      <c r="Q1440" s="4"/>
      <c r="R1440" s="4"/>
      <c r="S1440" s="4"/>
      <c r="T1440" s="4"/>
      <c r="U1440" s="4"/>
      <c r="V1440" s="4"/>
      <c r="W1440" s="4"/>
    </row>
    <row r="1441" spans="14:23" x14ac:dyDescent="0.4">
      <c r="N1441" s="114"/>
      <c r="O1441" s="115"/>
      <c r="P1441" s="4"/>
      <c r="Q1441" s="4"/>
      <c r="R1441" s="4"/>
      <c r="S1441" s="4"/>
      <c r="T1441" s="4"/>
      <c r="U1441" s="4"/>
      <c r="V1441" s="4"/>
      <c r="W1441" s="4"/>
    </row>
    <row r="1442" spans="14:23" x14ac:dyDescent="0.4">
      <c r="N1442" s="114"/>
      <c r="O1442" s="115"/>
      <c r="P1442" s="4"/>
      <c r="Q1442" s="4"/>
      <c r="R1442" s="4"/>
      <c r="S1442" s="4"/>
      <c r="T1442" s="4"/>
      <c r="U1442" s="4"/>
      <c r="V1442" s="4"/>
      <c r="W1442" s="4"/>
    </row>
    <row r="1443" spans="14:23" x14ac:dyDescent="0.4">
      <c r="N1443" s="114"/>
      <c r="O1443" s="115"/>
      <c r="P1443" s="4"/>
      <c r="Q1443" s="4"/>
      <c r="R1443" s="4"/>
      <c r="S1443" s="4"/>
      <c r="T1443" s="4"/>
      <c r="U1443" s="4"/>
      <c r="V1443" s="4"/>
      <c r="W1443" s="4"/>
    </row>
    <row r="1444" spans="14:23" x14ac:dyDescent="0.4">
      <c r="N1444" s="114"/>
      <c r="O1444" s="115"/>
      <c r="P1444" s="4"/>
      <c r="Q1444" s="4"/>
      <c r="R1444" s="4"/>
      <c r="S1444" s="4"/>
      <c r="T1444" s="4"/>
      <c r="U1444" s="4"/>
      <c r="V1444" s="4"/>
      <c r="W1444" s="4"/>
    </row>
    <row r="1445" spans="14:23" x14ac:dyDescent="0.4">
      <c r="N1445" s="114"/>
      <c r="O1445" s="115"/>
      <c r="P1445" s="4"/>
      <c r="Q1445" s="4"/>
      <c r="R1445" s="4"/>
      <c r="S1445" s="4"/>
      <c r="T1445" s="4"/>
      <c r="U1445" s="4"/>
      <c r="V1445" s="4"/>
      <c r="W1445" s="4"/>
    </row>
    <row r="1446" spans="14:23" x14ac:dyDescent="0.4">
      <c r="N1446" s="114"/>
      <c r="O1446" s="115"/>
      <c r="P1446" s="4"/>
      <c r="Q1446" s="4"/>
      <c r="R1446" s="4"/>
      <c r="S1446" s="4"/>
      <c r="T1446" s="4"/>
      <c r="U1446" s="4"/>
      <c r="V1446" s="4"/>
      <c r="W1446" s="4"/>
    </row>
    <row r="1447" spans="14:23" x14ac:dyDescent="0.4">
      <c r="N1447" s="114"/>
      <c r="O1447" s="115"/>
      <c r="P1447" s="4"/>
      <c r="Q1447" s="4"/>
      <c r="R1447" s="4"/>
      <c r="S1447" s="4"/>
      <c r="T1447" s="4"/>
      <c r="U1447" s="4"/>
      <c r="V1447" s="4"/>
      <c r="W1447" s="4"/>
    </row>
    <row r="1448" spans="14:23" x14ac:dyDescent="0.4">
      <c r="N1448" s="114"/>
      <c r="O1448" s="115"/>
      <c r="P1448" s="4"/>
      <c r="Q1448" s="4"/>
      <c r="R1448" s="4"/>
      <c r="S1448" s="4"/>
      <c r="T1448" s="4"/>
      <c r="U1448" s="4"/>
      <c r="V1448" s="4"/>
      <c r="W1448" s="4"/>
    </row>
    <row r="1449" spans="14:23" x14ac:dyDescent="0.4">
      <c r="N1449" s="114"/>
      <c r="O1449" s="115"/>
      <c r="P1449" s="4"/>
      <c r="Q1449" s="4"/>
      <c r="R1449" s="4"/>
      <c r="S1449" s="4"/>
      <c r="T1449" s="4"/>
      <c r="U1449" s="4"/>
      <c r="V1449" s="4"/>
      <c r="W1449" s="4"/>
    </row>
    <row r="1450" spans="14:23" x14ac:dyDescent="0.4">
      <c r="N1450" s="114"/>
      <c r="O1450" s="115"/>
      <c r="P1450" s="4"/>
      <c r="Q1450" s="4"/>
      <c r="R1450" s="4"/>
      <c r="S1450" s="4"/>
      <c r="T1450" s="4"/>
      <c r="U1450" s="4"/>
      <c r="V1450" s="4"/>
      <c r="W1450" s="4"/>
    </row>
    <row r="1451" spans="14:23" x14ac:dyDescent="0.4">
      <c r="N1451" s="114"/>
      <c r="O1451" s="115"/>
      <c r="P1451" s="4"/>
      <c r="Q1451" s="4"/>
      <c r="R1451" s="4"/>
      <c r="S1451" s="4"/>
      <c r="T1451" s="4"/>
      <c r="U1451" s="4"/>
      <c r="V1451" s="4"/>
      <c r="W1451" s="4"/>
    </row>
    <row r="1452" spans="14:23" x14ac:dyDescent="0.4">
      <c r="N1452" s="114"/>
      <c r="O1452" s="115"/>
      <c r="P1452" s="4"/>
      <c r="Q1452" s="4"/>
      <c r="R1452" s="4"/>
      <c r="S1452" s="4"/>
      <c r="T1452" s="4"/>
      <c r="U1452" s="4"/>
      <c r="V1452" s="4"/>
      <c r="W1452" s="4"/>
    </row>
    <row r="1453" spans="14:23" x14ac:dyDescent="0.4">
      <c r="N1453" s="114"/>
      <c r="O1453" s="115"/>
      <c r="P1453" s="4"/>
      <c r="Q1453" s="4"/>
      <c r="R1453" s="4"/>
      <c r="S1453" s="4"/>
      <c r="T1453" s="4"/>
      <c r="U1453" s="4"/>
      <c r="V1453" s="4"/>
      <c r="W1453" s="4"/>
    </row>
    <row r="1454" spans="14:23" x14ac:dyDescent="0.4">
      <c r="N1454" s="114"/>
      <c r="O1454" s="115"/>
      <c r="P1454" s="4"/>
      <c r="Q1454" s="4"/>
      <c r="R1454" s="4"/>
      <c r="S1454" s="4"/>
      <c r="T1454" s="4"/>
      <c r="U1454" s="4"/>
      <c r="V1454" s="4"/>
      <c r="W1454" s="4"/>
    </row>
    <row r="1455" spans="14:23" x14ac:dyDescent="0.4">
      <c r="N1455" s="114"/>
      <c r="O1455" s="115"/>
      <c r="P1455" s="4"/>
      <c r="Q1455" s="4"/>
      <c r="R1455" s="4"/>
      <c r="S1455" s="4"/>
      <c r="T1455" s="4"/>
      <c r="U1455" s="4"/>
      <c r="V1455" s="4"/>
      <c r="W1455" s="4"/>
    </row>
    <row r="1456" spans="14:23" x14ac:dyDescent="0.4">
      <c r="N1456" s="114"/>
      <c r="O1456" s="115"/>
      <c r="P1456" s="4"/>
      <c r="Q1456" s="4"/>
      <c r="R1456" s="4"/>
      <c r="S1456" s="4"/>
      <c r="T1456" s="4"/>
      <c r="U1456" s="4"/>
      <c r="V1456" s="4"/>
      <c r="W1456" s="4"/>
    </row>
    <row r="1457" spans="14:23" x14ac:dyDescent="0.4">
      <c r="N1457" s="114"/>
      <c r="O1457" s="115"/>
      <c r="P1457" s="4"/>
      <c r="Q1457" s="4"/>
      <c r="R1457" s="4"/>
      <c r="S1457" s="4"/>
      <c r="T1457" s="4"/>
      <c r="U1457" s="4"/>
      <c r="V1457" s="4"/>
      <c r="W1457" s="4"/>
    </row>
    <row r="1458" spans="14:23" x14ac:dyDescent="0.4">
      <c r="N1458" s="114"/>
      <c r="O1458" s="115"/>
      <c r="P1458" s="4"/>
      <c r="Q1458" s="4"/>
      <c r="R1458" s="4"/>
      <c r="S1458" s="4"/>
      <c r="T1458" s="4"/>
      <c r="U1458" s="4"/>
      <c r="V1458" s="4"/>
      <c r="W1458" s="4"/>
    </row>
    <row r="1459" spans="14:23" x14ac:dyDescent="0.4">
      <c r="N1459" s="114"/>
      <c r="O1459" s="115"/>
      <c r="P1459" s="4"/>
      <c r="Q1459" s="4"/>
      <c r="R1459" s="4"/>
      <c r="S1459" s="4"/>
      <c r="T1459" s="4"/>
      <c r="U1459" s="4"/>
      <c r="V1459" s="4"/>
      <c r="W1459" s="4"/>
    </row>
    <row r="1460" spans="14:23" x14ac:dyDescent="0.4">
      <c r="N1460" s="114"/>
      <c r="O1460" s="115"/>
      <c r="P1460" s="4"/>
      <c r="Q1460" s="4"/>
      <c r="R1460" s="4"/>
      <c r="S1460" s="4"/>
      <c r="T1460" s="4"/>
      <c r="U1460" s="4"/>
      <c r="V1460" s="4"/>
      <c r="W1460" s="4"/>
    </row>
    <row r="1461" spans="14:23" x14ac:dyDescent="0.4">
      <c r="N1461" s="114"/>
      <c r="O1461" s="115"/>
      <c r="P1461" s="4"/>
      <c r="Q1461" s="4"/>
      <c r="R1461" s="4"/>
      <c r="S1461" s="4"/>
      <c r="T1461" s="4"/>
      <c r="U1461" s="4"/>
      <c r="V1461" s="4"/>
      <c r="W1461" s="4"/>
    </row>
    <row r="1462" spans="14:23" x14ac:dyDescent="0.4">
      <c r="N1462" s="114"/>
      <c r="O1462" s="115"/>
      <c r="P1462" s="4"/>
      <c r="Q1462" s="4"/>
      <c r="R1462" s="4"/>
      <c r="S1462" s="4"/>
      <c r="T1462" s="4"/>
      <c r="U1462" s="4"/>
      <c r="V1462" s="4"/>
      <c r="W1462" s="4"/>
    </row>
    <row r="1463" spans="14:23" x14ac:dyDescent="0.4">
      <c r="N1463" s="114"/>
      <c r="O1463" s="115"/>
      <c r="P1463" s="4"/>
      <c r="Q1463" s="4"/>
      <c r="R1463" s="4"/>
      <c r="S1463" s="4"/>
      <c r="T1463" s="4"/>
      <c r="U1463" s="4"/>
      <c r="V1463" s="4"/>
      <c r="W1463" s="4"/>
    </row>
    <row r="1464" spans="14:23" x14ac:dyDescent="0.4">
      <c r="N1464" s="114"/>
      <c r="O1464" s="115"/>
      <c r="P1464" s="4"/>
      <c r="Q1464" s="4"/>
      <c r="R1464" s="4"/>
      <c r="S1464" s="4"/>
      <c r="T1464" s="4"/>
      <c r="U1464" s="4"/>
      <c r="V1464" s="4"/>
      <c r="W1464" s="4"/>
    </row>
    <row r="1465" spans="14:23" x14ac:dyDescent="0.4">
      <c r="N1465" s="114"/>
      <c r="O1465" s="115"/>
      <c r="P1465" s="4"/>
      <c r="Q1465" s="4"/>
      <c r="R1465" s="4"/>
      <c r="S1465" s="4"/>
      <c r="T1465" s="4"/>
      <c r="U1465" s="4"/>
      <c r="V1465" s="4"/>
      <c r="W1465" s="4"/>
    </row>
    <row r="1466" spans="14:23" x14ac:dyDescent="0.4">
      <c r="N1466" s="114"/>
      <c r="O1466" s="115"/>
      <c r="P1466" s="4"/>
      <c r="Q1466" s="4"/>
      <c r="R1466" s="4"/>
      <c r="S1466" s="4"/>
      <c r="T1466" s="4"/>
      <c r="U1466" s="4"/>
      <c r="V1466" s="4"/>
      <c r="W1466" s="4"/>
    </row>
    <row r="1467" spans="14:23" x14ac:dyDescent="0.4">
      <c r="N1467" s="114"/>
      <c r="O1467" s="115"/>
      <c r="P1467" s="4"/>
      <c r="Q1467" s="4"/>
      <c r="R1467" s="4"/>
      <c r="S1467" s="4"/>
      <c r="T1467" s="4"/>
      <c r="U1467" s="4"/>
      <c r="V1467" s="4"/>
      <c r="W1467" s="4"/>
    </row>
    <row r="1468" spans="14:23" x14ac:dyDescent="0.4">
      <c r="N1468" s="114"/>
      <c r="O1468" s="115"/>
      <c r="P1468" s="4"/>
      <c r="Q1468" s="4"/>
      <c r="R1468" s="4"/>
      <c r="S1468" s="4"/>
      <c r="T1468" s="4"/>
      <c r="U1468" s="4"/>
      <c r="V1468" s="4"/>
      <c r="W1468" s="4"/>
    </row>
    <row r="1469" spans="14:23" x14ac:dyDescent="0.4">
      <c r="N1469" s="114"/>
      <c r="O1469" s="115"/>
      <c r="P1469" s="4"/>
      <c r="Q1469" s="4"/>
      <c r="R1469" s="4"/>
      <c r="S1469" s="4"/>
      <c r="T1469" s="4"/>
      <c r="U1469" s="4"/>
      <c r="V1469" s="4"/>
      <c r="W1469" s="4"/>
    </row>
    <row r="1470" spans="14:23" x14ac:dyDescent="0.4">
      <c r="N1470" s="114"/>
      <c r="O1470" s="115"/>
      <c r="P1470" s="4"/>
      <c r="Q1470" s="4"/>
      <c r="R1470" s="4"/>
      <c r="S1470" s="4"/>
      <c r="T1470" s="4"/>
      <c r="U1470" s="4"/>
      <c r="V1470" s="4"/>
      <c r="W1470" s="4"/>
    </row>
    <row r="1471" spans="14:23" x14ac:dyDescent="0.4">
      <c r="N1471" s="114"/>
      <c r="O1471" s="115"/>
      <c r="P1471" s="4"/>
      <c r="Q1471" s="4"/>
      <c r="R1471" s="4"/>
      <c r="S1471" s="4"/>
      <c r="T1471" s="4"/>
      <c r="U1471" s="4"/>
      <c r="V1471" s="4"/>
      <c r="W1471" s="4"/>
    </row>
    <row r="1472" spans="14:23" x14ac:dyDescent="0.4">
      <c r="N1472" s="114"/>
      <c r="O1472" s="115"/>
      <c r="P1472" s="4"/>
      <c r="Q1472" s="4"/>
      <c r="R1472" s="4"/>
      <c r="S1472" s="4"/>
      <c r="T1472" s="4"/>
      <c r="U1472" s="4"/>
      <c r="V1472" s="4"/>
      <c r="W1472" s="4"/>
    </row>
    <row r="1473" spans="14:23" x14ac:dyDescent="0.4">
      <c r="N1473" s="114"/>
      <c r="O1473" s="115"/>
      <c r="P1473" s="4"/>
      <c r="Q1473" s="4"/>
      <c r="R1473" s="4"/>
      <c r="S1473" s="4"/>
      <c r="T1473" s="4"/>
      <c r="U1473" s="4"/>
      <c r="V1473" s="4"/>
      <c r="W1473" s="4"/>
    </row>
    <row r="1474" spans="14:23" x14ac:dyDescent="0.4">
      <c r="N1474" s="114"/>
      <c r="O1474" s="115"/>
      <c r="P1474" s="4"/>
      <c r="Q1474" s="4"/>
      <c r="R1474" s="4"/>
      <c r="S1474" s="4"/>
      <c r="T1474" s="4"/>
      <c r="U1474" s="4"/>
      <c r="V1474" s="4"/>
      <c r="W1474" s="4"/>
    </row>
    <row r="1475" spans="14:23" x14ac:dyDescent="0.4">
      <c r="N1475" s="114"/>
      <c r="O1475" s="115"/>
      <c r="P1475" s="4"/>
      <c r="Q1475" s="4"/>
      <c r="R1475" s="4"/>
      <c r="S1475" s="4"/>
      <c r="T1475" s="4"/>
      <c r="U1475" s="4"/>
      <c r="V1475" s="4"/>
      <c r="W1475" s="4"/>
    </row>
    <row r="1476" spans="14:23" x14ac:dyDescent="0.4">
      <c r="N1476" s="114"/>
      <c r="O1476" s="115"/>
      <c r="P1476" s="4"/>
      <c r="Q1476" s="4"/>
      <c r="R1476" s="4"/>
      <c r="S1476" s="4"/>
      <c r="T1476" s="4"/>
      <c r="U1476" s="4"/>
      <c r="V1476" s="4"/>
      <c r="W1476" s="4"/>
    </row>
    <row r="1477" spans="14:23" x14ac:dyDescent="0.4">
      <c r="N1477" s="114"/>
      <c r="O1477" s="115"/>
      <c r="P1477" s="4"/>
      <c r="Q1477" s="4"/>
      <c r="R1477" s="4"/>
      <c r="S1477" s="4"/>
      <c r="T1477" s="4"/>
      <c r="U1477" s="4"/>
      <c r="V1477" s="4"/>
      <c r="W1477" s="4"/>
    </row>
    <row r="1478" spans="14:23" x14ac:dyDescent="0.4">
      <c r="N1478" s="114"/>
      <c r="O1478" s="115"/>
      <c r="P1478" s="4"/>
      <c r="Q1478" s="4"/>
      <c r="R1478" s="4"/>
      <c r="S1478" s="4"/>
      <c r="T1478" s="4"/>
      <c r="U1478" s="4"/>
      <c r="V1478" s="4"/>
      <c r="W1478" s="4"/>
    </row>
    <row r="1479" spans="14:23" x14ac:dyDescent="0.4">
      <c r="N1479" s="114"/>
      <c r="O1479" s="115"/>
      <c r="P1479" s="4"/>
      <c r="Q1479" s="4"/>
      <c r="R1479" s="4"/>
      <c r="S1479" s="4"/>
      <c r="T1479" s="4"/>
      <c r="U1479" s="4"/>
      <c r="V1479" s="4"/>
      <c r="W1479" s="4"/>
    </row>
    <row r="1480" spans="14:23" x14ac:dyDescent="0.4">
      <c r="N1480" s="114"/>
      <c r="O1480" s="115"/>
      <c r="P1480" s="4"/>
      <c r="Q1480" s="4"/>
      <c r="R1480" s="4"/>
      <c r="S1480" s="4"/>
      <c r="T1480" s="4"/>
      <c r="U1480" s="4"/>
      <c r="V1480" s="4"/>
      <c r="W1480" s="4"/>
    </row>
    <row r="1481" spans="14:23" x14ac:dyDescent="0.4">
      <c r="N1481" s="114"/>
      <c r="O1481" s="115"/>
      <c r="P1481" s="4"/>
      <c r="Q1481" s="4"/>
      <c r="R1481" s="4"/>
      <c r="S1481" s="4"/>
      <c r="T1481" s="4"/>
      <c r="U1481" s="4"/>
      <c r="V1481" s="4"/>
      <c r="W1481" s="4"/>
    </row>
    <row r="1482" spans="14:23" x14ac:dyDescent="0.4">
      <c r="N1482" s="114"/>
      <c r="O1482" s="115"/>
      <c r="P1482" s="4"/>
      <c r="Q1482" s="4"/>
      <c r="R1482" s="4"/>
      <c r="S1482" s="4"/>
      <c r="T1482" s="4"/>
      <c r="U1482" s="4"/>
      <c r="V1482" s="4"/>
      <c r="W1482" s="4"/>
    </row>
    <row r="1483" spans="14:23" x14ac:dyDescent="0.4">
      <c r="N1483" s="114"/>
      <c r="O1483" s="115"/>
      <c r="P1483" s="4"/>
      <c r="Q1483" s="4"/>
      <c r="R1483" s="4"/>
      <c r="S1483" s="4"/>
      <c r="T1483" s="4"/>
      <c r="U1483" s="4"/>
      <c r="V1483" s="4"/>
      <c r="W1483" s="4"/>
    </row>
    <row r="1484" spans="14:23" x14ac:dyDescent="0.4">
      <c r="N1484" s="114"/>
      <c r="O1484" s="115"/>
      <c r="P1484" s="4"/>
      <c r="Q1484" s="4"/>
      <c r="R1484" s="4"/>
      <c r="S1484" s="4"/>
      <c r="T1484" s="4"/>
      <c r="U1484" s="4"/>
      <c r="V1484" s="4"/>
      <c r="W1484" s="4"/>
    </row>
    <row r="1485" spans="14:23" x14ac:dyDescent="0.4">
      <c r="N1485" s="114"/>
      <c r="O1485" s="115"/>
      <c r="P1485" s="4"/>
      <c r="Q1485" s="4"/>
      <c r="R1485" s="4"/>
      <c r="S1485" s="4"/>
      <c r="T1485" s="4"/>
      <c r="U1485" s="4"/>
      <c r="V1485" s="4"/>
      <c r="W1485" s="4"/>
    </row>
    <row r="1486" spans="14:23" x14ac:dyDescent="0.4">
      <c r="N1486" s="114"/>
      <c r="O1486" s="115"/>
      <c r="P1486" s="4"/>
      <c r="Q1486" s="4"/>
      <c r="R1486" s="4"/>
      <c r="S1486" s="4"/>
      <c r="T1486" s="4"/>
      <c r="U1486" s="4"/>
      <c r="V1486" s="4"/>
      <c r="W1486" s="4"/>
    </row>
    <row r="1487" spans="14:23" x14ac:dyDescent="0.4">
      <c r="N1487" s="114"/>
      <c r="O1487" s="115"/>
      <c r="P1487" s="4"/>
      <c r="Q1487" s="4"/>
      <c r="R1487" s="4"/>
      <c r="S1487" s="4"/>
      <c r="T1487" s="4"/>
      <c r="U1487" s="4"/>
      <c r="V1487" s="4"/>
      <c r="W1487" s="4"/>
    </row>
    <row r="1488" spans="14:23" x14ac:dyDescent="0.4">
      <c r="N1488" s="114"/>
      <c r="O1488" s="115"/>
      <c r="P1488" s="4"/>
      <c r="Q1488" s="4"/>
      <c r="R1488" s="4"/>
      <c r="S1488" s="4"/>
      <c r="T1488" s="4"/>
      <c r="U1488" s="4"/>
      <c r="V1488" s="4"/>
      <c r="W1488" s="4"/>
    </row>
    <row r="1489" spans="14:23" x14ac:dyDescent="0.4">
      <c r="N1489" s="114"/>
      <c r="O1489" s="115"/>
      <c r="P1489" s="4"/>
      <c r="Q1489" s="4"/>
      <c r="R1489" s="4"/>
      <c r="S1489" s="4"/>
      <c r="T1489" s="4"/>
      <c r="U1489" s="4"/>
      <c r="V1489" s="4"/>
      <c r="W1489" s="4"/>
    </row>
    <row r="1490" spans="14:23" x14ac:dyDescent="0.4">
      <c r="N1490" s="114"/>
      <c r="O1490" s="115"/>
      <c r="P1490" s="4"/>
      <c r="Q1490" s="4"/>
      <c r="R1490" s="4"/>
      <c r="S1490" s="4"/>
      <c r="T1490" s="4"/>
      <c r="U1490" s="4"/>
      <c r="V1490" s="4"/>
      <c r="W1490" s="4"/>
    </row>
    <row r="1491" spans="14:23" x14ac:dyDescent="0.4">
      <c r="N1491" s="114"/>
      <c r="O1491" s="115"/>
      <c r="P1491" s="4"/>
      <c r="Q1491" s="4"/>
      <c r="R1491" s="4"/>
      <c r="S1491" s="4"/>
      <c r="T1491" s="4"/>
      <c r="U1491" s="4"/>
      <c r="V1491" s="4"/>
      <c r="W1491" s="4"/>
    </row>
    <row r="1492" spans="14:23" x14ac:dyDescent="0.4">
      <c r="N1492" s="114"/>
      <c r="O1492" s="115"/>
      <c r="P1492" s="4"/>
      <c r="Q1492" s="4"/>
      <c r="R1492" s="4"/>
      <c r="S1492" s="4"/>
      <c r="T1492" s="4"/>
      <c r="U1492" s="4"/>
      <c r="V1492" s="4"/>
      <c r="W1492" s="4"/>
    </row>
    <row r="1493" spans="14:23" x14ac:dyDescent="0.4">
      <c r="N1493" s="114"/>
      <c r="O1493" s="115"/>
      <c r="P1493" s="4"/>
      <c r="Q1493" s="4"/>
      <c r="R1493" s="4"/>
      <c r="S1493" s="4"/>
      <c r="T1493" s="4"/>
      <c r="U1493" s="4"/>
      <c r="V1493" s="4"/>
      <c r="W1493" s="4"/>
    </row>
    <row r="1494" spans="14:23" x14ac:dyDescent="0.4">
      <c r="N1494" s="114"/>
      <c r="O1494" s="115"/>
      <c r="P1494" s="4"/>
      <c r="Q1494" s="4"/>
      <c r="R1494" s="4"/>
      <c r="S1494" s="4"/>
      <c r="T1494" s="4"/>
      <c r="U1494" s="4"/>
      <c r="V1494" s="4"/>
      <c r="W1494" s="4"/>
    </row>
    <row r="1495" spans="14:23" x14ac:dyDescent="0.4">
      <c r="N1495" s="114"/>
      <c r="O1495" s="115"/>
      <c r="P1495" s="4"/>
      <c r="Q1495" s="4"/>
      <c r="R1495" s="4"/>
      <c r="S1495" s="4"/>
      <c r="T1495" s="4"/>
      <c r="U1495" s="4"/>
      <c r="V1495" s="4"/>
      <c r="W1495" s="4"/>
    </row>
    <row r="1496" spans="14:23" x14ac:dyDescent="0.4">
      <c r="N1496" s="114"/>
      <c r="O1496" s="115"/>
      <c r="P1496" s="4"/>
      <c r="Q1496" s="4"/>
      <c r="R1496" s="4"/>
      <c r="S1496" s="4"/>
      <c r="T1496" s="4"/>
      <c r="U1496" s="4"/>
      <c r="V1496" s="4"/>
      <c r="W1496" s="4"/>
    </row>
    <row r="1497" spans="14:23" x14ac:dyDescent="0.4">
      <c r="N1497" s="114"/>
      <c r="O1497" s="115"/>
      <c r="P1497" s="4"/>
      <c r="Q1497" s="4"/>
      <c r="R1497" s="4"/>
      <c r="S1497" s="4"/>
      <c r="T1497" s="4"/>
      <c r="U1497" s="4"/>
      <c r="V1497" s="4"/>
      <c r="W1497" s="4"/>
    </row>
    <row r="1498" spans="14:23" x14ac:dyDescent="0.4">
      <c r="N1498" s="114"/>
      <c r="O1498" s="115"/>
      <c r="P1498" s="4"/>
      <c r="Q1498" s="4"/>
      <c r="R1498" s="4"/>
      <c r="S1498" s="4"/>
      <c r="T1498" s="4"/>
      <c r="U1498" s="4"/>
      <c r="V1498" s="4"/>
      <c r="W1498" s="4"/>
    </row>
    <row r="1499" spans="14:23" x14ac:dyDescent="0.4">
      <c r="N1499" s="114"/>
      <c r="O1499" s="115"/>
      <c r="P1499" s="4"/>
      <c r="Q1499" s="4"/>
      <c r="R1499" s="4"/>
      <c r="S1499" s="4"/>
      <c r="T1499" s="4"/>
      <c r="U1499" s="4"/>
      <c r="V1499" s="4"/>
      <c r="W1499" s="4"/>
    </row>
    <row r="1500" spans="14:23" x14ac:dyDescent="0.4">
      <c r="N1500" s="114"/>
      <c r="O1500" s="115"/>
      <c r="P1500" s="4"/>
      <c r="Q1500" s="4"/>
      <c r="R1500" s="4"/>
      <c r="S1500" s="4"/>
      <c r="T1500" s="4"/>
      <c r="U1500" s="4"/>
      <c r="V1500" s="4"/>
      <c r="W1500" s="4"/>
    </row>
    <row r="1501" spans="14:23" x14ac:dyDescent="0.4">
      <c r="N1501" s="114"/>
      <c r="O1501" s="115"/>
      <c r="P1501" s="4"/>
      <c r="Q1501" s="4"/>
      <c r="R1501" s="4"/>
      <c r="S1501" s="4"/>
      <c r="T1501" s="4"/>
      <c r="U1501" s="4"/>
      <c r="V1501" s="4"/>
      <c r="W1501" s="4"/>
    </row>
    <row r="1502" spans="14:23" x14ac:dyDescent="0.4">
      <c r="N1502" s="114"/>
      <c r="O1502" s="115"/>
      <c r="P1502" s="4"/>
      <c r="Q1502" s="4"/>
      <c r="R1502" s="4"/>
      <c r="S1502" s="4"/>
      <c r="T1502" s="4"/>
      <c r="U1502" s="4"/>
      <c r="V1502" s="4"/>
      <c r="W1502" s="4"/>
    </row>
    <row r="1503" spans="14:23" x14ac:dyDescent="0.4">
      <c r="N1503" s="114"/>
      <c r="O1503" s="115"/>
      <c r="P1503" s="4"/>
      <c r="Q1503" s="4"/>
      <c r="R1503" s="4"/>
      <c r="S1503" s="4"/>
      <c r="T1503" s="4"/>
      <c r="U1503" s="4"/>
      <c r="V1503" s="4"/>
      <c r="W1503" s="4"/>
    </row>
    <row r="1504" spans="14:23" x14ac:dyDescent="0.4">
      <c r="N1504" s="114"/>
      <c r="O1504" s="115"/>
      <c r="P1504" s="4"/>
      <c r="Q1504" s="4"/>
      <c r="R1504" s="4"/>
      <c r="S1504" s="4"/>
      <c r="T1504" s="4"/>
      <c r="U1504" s="4"/>
      <c r="V1504" s="4"/>
      <c r="W1504" s="4"/>
    </row>
    <row r="1505" spans="14:23" x14ac:dyDescent="0.4">
      <c r="N1505" s="114"/>
      <c r="O1505" s="115"/>
      <c r="P1505" s="4"/>
      <c r="Q1505" s="4"/>
      <c r="R1505" s="4"/>
      <c r="S1505" s="4"/>
      <c r="T1505" s="4"/>
      <c r="U1505" s="4"/>
      <c r="V1505" s="4"/>
      <c r="W1505" s="4"/>
    </row>
    <row r="1506" spans="14:23" x14ac:dyDescent="0.4">
      <c r="N1506" s="114"/>
      <c r="O1506" s="115"/>
      <c r="P1506" s="4"/>
      <c r="Q1506" s="4"/>
      <c r="R1506" s="4"/>
      <c r="S1506" s="4"/>
      <c r="T1506" s="4"/>
      <c r="U1506" s="4"/>
      <c r="V1506" s="4"/>
      <c r="W1506" s="4"/>
    </row>
    <row r="1507" spans="14:23" x14ac:dyDescent="0.4">
      <c r="N1507" s="114"/>
      <c r="O1507" s="115"/>
      <c r="P1507" s="4"/>
      <c r="Q1507" s="4"/>
      <c r="R1507" s="4"/>
      <c r="S1507" s="4"/>
      <c r="T1507" s="4"/>
      <c r="U1507" s="4"/>
      <c r="V1507" s="4"/>
      <c r="W1507" s="4"/>
    </row>
    <row r="1508" spans="14:23" x14ac:dyDescent="0.4">
      <c r="N1508" s="114"/>
      <c r="O1508" s="115"/>
      <c r="P1508" s="4"/>
      <c r="Q1508" s="4"/>
      <c r="R1508" s="4"/>
      <c r="S1508" s="4"/>
      <c r="T1508" s="4"/>
      <c r="U1508" s="4"/>
      <c r="V1508" s="4"/>
      <c r="W1508" s="4"/>
    </row>
    <row r="1509" spans="14:23" x14ac:dyDescent="0.4">
      <c r="N1509" s="114"/>
      <c r="O1509" s="115"/>
      <c r="P1509" s="4"/>
      <c r="Q1509" s="4"/>
      <c r="R1509" s="4"/>
      <c r="S1509" s="4"/>
      <c r="T1509" s="4"/>
      <c r="U1509" s="4"/>
      <c r="V1509" s="4"/>
      <c r="W1509" s="4"/>
    </row>
    <row r="1510" spans="14:23" x14ac:dyDescent="0.4">
      <c r="N1510" s="114"/>
      <c r="O1510" s="115"/>
      <c r="P1510" s="4"/>
      <c r="Q1510" s="4"/>
      <c r="R1510" s="4"/>
      <c r="S1510" s="4"/>
      <c r="T1510" s="4"/>
      <c r="U1510" s="4"/>
      <c r="V1510" s="4"/>
      <c r="W1510" s="4"/>
    </row>
    <row r="1511" spans="14:23" x14ac:dyDescent="0.4">
      <c r="N1511" s="114"/>
      <c r="O1511" s="115"/>
      <c r="P1511" s="4"/>
      <c r="Q1511" s="4"/>
      <c r="R1511" s="4"/>
      <c r="S1511" s="4"/>
      <c r="T1511" s="4"/>
      <c r="U1511" s="4"/>
      <c r="V1511" s="4"/>
      <c r="W1511" s="4"/>
    </row>
    <row r="1512" spans="14:23" x14ac:dyDescent="0.4">
      <c r="N1512" s="114"/>
      <c r="O1512" s="115"/>
      <c r="P1512" s="4"/>
      <c r="Q1512" s="4"/>
      <c r="R1512" s="4"/>
      <c r="S1512" s="4"/>
      <c r="T1512" s="4"/>
      <c r="U1512" s="4"/>
      <c r="V1512" s="4"/>
      <c r="W1512" s="4"/>
    </row>
    <row r="1513" spans="14:23" x14ac:dyDescent="0.4">
      <c r="N1513" s="114"/>
      <c r="O1513" s="115"/>
      <c r="P1513" s="4"/>
      <c r="Q1513" s="4"/>
      <c r="R1513" s="4"/>
      <c r="S1513" s="4"/>
      <c r="T1513" s="4"/>
      <c r="U1513" s="4"/>
      <c r="V1513" s="4"/>
      <c r="W1513" s="4"/>
    </row>
    <row r="1514" spans="14:23" x14ac:dyDescent="0.4">
      <c r="N1514" s="114"/>
      <c r="O1514" s="115"/>
      <c r="P1514" s="4"/>
      <c r="Q1514" s="4"/>
      <c r="R1514" s="4"/>
      <c r="S1514" s="4"/>
      <c r="T1514" s="4"/>
      <c r="U1514" s="4"/>
      <c r="V1514" s="4"/>
      <c r="W1514" s="4"/>
    </row>
    <row r="1515" spans="14:23" x14ac:dyDescent="0.4">
      <c r="N1515" s="114"/>
      <c r="O1515" s="115"/>
      <c r="P1515" s="4"/>
      <c r="Q1515" s="4"/>
      <c r="R1515" s="4"/>
      <c r="S1515" s="4"/>
      <c r="T1515" s="4"/>
      <c r="U1515" s="4"/>
      <c r="V1515" s="4"/>
      <c r="W1515" s="4"/>
    </row>
    <row r="1516" spans="14:23" x14ac:dyDescent="0.4">
      <c r="N1516" s="114"/>
      <c r="O1516" s="115"/>
      <c r="P1516" s="4"/>
      <c r="Q1516" s="4"/>
      <c r="R1516" s="4"/>
      <c r="S1516" s="4"/>
      <c r="T1516" s="4"/>
      <c r="U1516" s="4"/>
      <c r="V1516" s="4"/>
      <c r="W1516" s="4"/>
    </row>
    <row r="1517" spans="14:23" x14ac:dyDescent="0.4">
      <c r="N1517" s="114"/>
      <c r="O1517" s="115"/>
      <c r="P1517" s="4"/>
      <c r="Q1517" s="4"/>
      <c r="R1517" s="4"/>
      <c r="S1517" s="4"/>
      <c r="T1517" s="4"/>
      <c r="U1517" s="4"/>
      <c r="V1517" s="4"/>
      <c r="W1517" s="4"/>
    </row>
    <row r="1518" spans="14:23" x14ac:dyDescent="0.4">
      <c r="N1518" s="114"/>
      <c r="O1518" s="115"/>
      <c r="P1518" s="4"/>
      <c r="Q1518" s="4"/>
      <c r="R1518" s="4"/>
      <c r="S1518" s="4"/>
      <c r="T1518" s="4"/>
      <c r="U1518" s="4"/>
      <c r="V1518" s="4"/>
      <c r="W1518" s="4"/>
    </row>
    <row r="1519" spans="14:23" x14ac:dyDescent="0.4">
      <c r="N1519" s="114"/>
      <c r="O1519" s="115"/>
      <c r="P1519" s="4"/>
      <c r="Q1519" s="4"/>
      <c r="R1519" s="4"/>
      <c r="S1519" s="4"/>
      <c r="T1519" s="4"/>
      <c r="U1519" s="4"/>
      <c r="V1519" s="4"/>
      <c r="W1519" s="4"/>
    </row>
    <row r="1520" spans="14:23" x14ac:dyDescent="0.4">
      <c r="N1520" s="114"/>
      <c r="O1520" s="115"/>
      <c r="P1520" s="4"/>
      <c r="Q1520" s="4"/>
      <c r="R1520" s="4"/>
      <c r="S1520" s="4"/>
      <c r="T1520" s="4"/>
      <c r="U1520" s="4"/>
      <c r="V1520" s="4"/>
      <c r="W1520" s="4"/>
    </row>
    <row r="1521" spans="14:23" x14ac:dyDescent="0.4">
      <c r="N1521" s="114"/>
      <c r="O1521" s="115"/>
      <c r="P1521" s="4"/>
      <c r="Q1521" s="4"/>
      <c r="R1521" s="4"/>
      <c r="S1521" s="4"/>
      <c r="T1521" s="4"/>
      <c r="U1521" s="4"/>
      <c r="V1521" s="4"/>
      <c r="W1521" s="4"/>
    </row>
    <row r="1522" spans="14:23" x14ac:dyDescent="0.4">
      <c r="N1522" s="114"/>
      <c r="O1522" s="115"/>
      <c r="P1522" s="4"/>
      <c r="Q1522" s="4"/>
      <c r="R1522" s="4"/>
      <c r="S1522" s="4"/>
      <c r="T1522" s="4"/>
      <c r="U1522" s="4"/>
      <c r="V1522" s="4"/>
      <c r="W1522" s="4"/>
    </row>
    <row r="1523" spans="14:23" x14ac:dyDescent="0.4">
      <c r="N1523" s="114"/>
      <c r="O1523" s="115"/>
      <c r="P1523" s="4"/>
      <c r="Q1523" s="4"/>
      <c r="R1523" s="4"/>
      <c r="S1523" s="4"/>
      <c r="T1523" s="4"/>
      <c r="U1523" s="4"/>
      <c r="V1523" s="4"/>
      <c r="W1523" s="4"/>
    </row>
    <row r="1524" spans="14:23" x14ac:dyDescent="0.4">
      <c r="N1524" s="114"/>
      <c r="O1524" s="115"/>
      <c r="P1524" s="4"/>
      <c r="Q1524" s="4"/>
      <c r="R1524" s="4"/>
      <c r="S1524" s="4"/>
      <c r="T1524" s="4"/>
      <c r="U1524" s="4"/>
      <c r="V1524" s="4"/>
      <c r="W1524" s="4"/>
    </row>
    <row r="1525" spans="14:23" x14ac:dyDescent="0.4">
      <c r="N1525" s="114"/>
      <c r="O1525" s="115"/>
      <c r="P1525" s="4"/>
      <c r="Q1525" s="4"/>
      <c r="R1525" s="4"/>
      <c r="S1525" s="4"/>
      <c r="T1525" s="4"/>
      <c r="U1525" s="4"/>
      <c r="V1525" s="4"/>
      <c r="W1525" s="4"/>
    </row>
    <row r="1526" spans="14:23" x14ac:dyDescent="0.4">
      <c r="N1526" s="114"/>
      <c r="O1526" s="115"/>
      <c r="P1526" s="4"/>
      <c r="Q1526" s="4"/>
      <c r="R1526" s="4"/>
      <c r="S1526" s="4"/>
      <c r="T1526" s="4"/>
      <c r="U1526" s="4"/>
      <c r="V1526" s="4"/>
      <c r="W1526" s="4"/>
    </row>
    <row r="1527" spans="14:23" x14ac:dyDescent="0.4">
      <c r="N1527" s="114"/>
      <c r="O1527" s="115"/>
      <c r="P1527" s="4"/>
      <c r="Q1527" s="4"/>
      <c r="R1527" s="4"/>
      <c r="S1527" s="4"/>
      <c r="T1527" s="4"/>
      <c r="U1527" s="4"/>
      <c r="V1527" s="4"/>
      <c r="W1527" s="4"/>
    </row>
    <row r="1528" spans="14:23" x14ac:dyDescent="0.4">
      <c r="N1528" s="114"/>
      <c r="O1528" s="115"/>
      <c r="P1528" s="4"/>
      <c r="Q1528" s="4"/>
      <c r="R1528" s="4"/>
      <c r="S1528" s="4"/>
      <c r="T1528" s="4"/>
      <c r="U1528" s="4"/>
      <c r="V1528" s="4"/>
      <c r="W1528" s="4"/>
    </row>
    <row r="1529" spans="14:23" x14ac:dyDescent="0.4">
      <c r="N1529" s="114"/>
      <c r="O1529" s="115"/>
      <c r="P1529" s="4"/>
      <c r="Q1529" s="4"/>
      <c r="R1529" s="4"/>
      <c r="S1529" s="4"/>
      <c r="T1529" s="4"/>
      <c r="U1529" s="4"/>
      <c r="V1529" s="4"/>
      <c r="W1529" s="4"/>
    </row>
    <row r="1530" spans="14:23" x14ac:dyDescent="0.4">
      <c r="N1530" s="114"/>
      <c r="O1530" s="115"/>
      <c r="P1530" s="4"/>
      <c r="Q1530" s="4"/>
      <c r="R1530" s="4"/>
      <c r="S1530" s="4"/>
      <c r="T1530" s="4"/>
      <c r="U1530" s="4"/>
      <c r="V1530" s="4"/>
      <c r="W1530" s="4"/>
    </row>
    <row r="1531" spans="14:23" x14ac:dyDescent="0.4">
      <c r="N1531" s="114"/>
      <c r="O1531" s="115"/>
      <c r="P1531" s="4"/>
      <c r="Q1531" s="4"/>
      <c r="R1531" s="4"/>
      <c r="S1531" s="4"/>
      <c r="T1531" s="4"/>
      <c r="U1531" s="4"/>
      <c r="V1531" s="4"/>
      <c r="W1531" s="4"/>
    </row>
    <row r="1532" spans="14:23" x14ac:dyDescent="0.4">
      <c r="N1532" s="114"/>
      <c r="O1532" s="115"/>
      <c r="P1532" s="4"/>
      <c r="Q1532" s="4"/>
      <c r="R1532" s="4"/>
      <c r="S1532" s="4"/>
      <c r="T1532" s="4"/>
      <c r="U1532" s="4"/>
      <c r="V1532" s="4"/>
      <c r="W1532" s="4"/>
    </row>
    <row r="1533" spans="14:23" x14ac:dyDescent="0.4">
      <c r="N1533" s="114"/>
      <c r="O1533" s="115"/>
      <c r="P1533" s="4"/>
      <c r="Q1533" s="4"/>
      <c r="R1533" s="4"/>
      <c r="S1533" s="4"/>
      <c r="T1533" s="4"/>
      <c r="U1533" s="4"/>
      <c r="V1533" s="4"/>
      <c r="W1533" s="4"/>
    </row>
    <row r="1534" spans="14:23" x14ac:dyDescent="0.4">
      <c r="N1534" s="114"/>
      <c r="O1534" s="115"/>
      <c r="P1534" s="4"/>
      <c r="Q1534" s="4"/>
      <c r="R1534" s="4"/>
      <c r="S1534" s="4"/>
      <c r="T1534" s="4"/>
      <c r="U1534" s="4"/>
      <c r="V1534" s="4"/>
      <c r="W1534" s="4"/>
    </row>
    <row r="1535" spans="14:23" x14ac:dyDescent="0.4">
      <c r="N1535" s="114"/>
      <c r="O1535" s="115"/>
      <c r="P1535" s="4"/>
      <c r="Q1535" s="4"/>
      <c r="R1535" s="4"/>
      <c r="S1535" s="4"/>
      <c r="T1535" s="4"/>
      <c r="U1535" s="4"/>
      <c r="V1535" s="4"/>
      <c r="W1535" s="4"/>
    </row>
    <row r="1536" spans="14:23" x14ac:dyDescent="0.4">
      <c r="N1536" s="114"/>
      <c r="O1536" s="115"/>
      <c r="P1536" s="4"/>
      <c r="Q1536" s="4"/>
      <c r="R1536" s="4"/>
      <c r="S1536" s="4"/>
      <c r="T1536" s="4"/>
      <c r="U1536" s="4"/>
      <c r="V1536" s="4"/>
      <c r="W1536" s="4"/>
    </row>
    <row r="1537" spans="14:23" x14ac:dyDescent="0.4">
      <c r="N1537" s="114"/>
      <c r="O1537" s="115"/>
      <c r="P1537" s="4"/>
      <c r="Q1537" s="4"/>
      <c r="R1537" s="4"/>
      <c r="S1537" s="4"/>
      <c r="T1537" s="4"/>
      <c r="U1537" s="4"/>
      <c r="V1537" s="4"/>
      <c r="W1537" s="4"/>
    </row>
    <row r="1538" spans="14:23" x14ac:dyDescent="0.4">
      <c r="N1538" s="114"/>
      <c r="O1538" s="115"/>
      <c r="P1538" s="4"/>
      <c r="Q1538" s="4"/>
      <c r="R1538" s="4"/>
      <c r="S1538" s="4"/>
      <c r="T1538" s="4"/>
      <c r="U1538" s="4"/>
      <c r="V1538" s="4"/>
      <c r="W1538" s="4"/>
    </row>
    <row r="1539" spans="14:23" x14ac:dyDescent="0.4">
      <c r="N1539" s="114"/>
      <c r="O1539" s="115"/>
      <c r="P1539" s="4"/>
      <c r="Q1539" s="4"/>
      <c r="R1539" s="4"/>
      <c r="S1539" s="4"/>
      <c r="T1539" s="4"/>
      <c r="U1539" s="4"/>
      <c r="V1539" s="4"/>
      <c r="W1539" s="4"/>
    </row>
    <row r="1540" spans="14:23" x14ac:dyDescent="0.4">
      <c r="N1540" s="114"/>
      <c r="O1540" s="115"/>
      <c r="P1540" s="4"/>
      <c r="Q1540" s="4"/>
      <c r="R1540" s="4"/>
      <c r="S1540" s="4"/>
      <c r="T1540" s="4"/>
      <c r="U1540" s="4"/>
      <c r="V1540" s="4"/>
      <c r="W1540" s="4"/>
    </row>
    <row r="1541" spans="14:23" x14ac:dyDescent="0.4">
      <c r="N1541" s="114"/>
      <c r="O1541" s="115"/>
      <c r="P1541" s="4"/>
      <c r="Q1541" s="4"/>
      <c r="R1541" s="4"/>
      <c r="S1541" s="4"/>
      <c r="T1541" s="4"/>
      <c r="U1541" s="4"/>
      <c r="V1541" s="4"/>
      <c r="W1541" s="4"/>
    </row>
    <row r="1542" spans="14:23" x14ac:dyDescent="0.4">
      <c r="N1542" s="114"/>
      <c r="O1542" s="115"/>
      <c r="P1542" s="4"/>
      <c r="Q1542" s="4"/>
      <c r="R1542" s="4"/>
      <c r="S1542" s="4"/>
      <c r="T1542" s="4"/>
      <c r="U1542" s="4"/>
      <c r="V1542" s="4"/>
      <c r="W1542" s="4"/>
    </row>
    <row r="1543" spans="14:23" x14ac:dyDescent="0.4">
      <c r="N1543" s="114"/>
      <c r="O1543" s="115"/>
      <c r="P1543" s="4"/>
      <c r="Q1543" s="4"/>
      <c r="R1543" s="4"/>
      <c r="S1543" s="4"/>
      <c r="T1543" s="4"/>
      <c r="U1543" s="4"/>
      <c r="V1543" s="4"/>
      <c r="W1543" s="4"/>
    </row>
    <row r="1544" spans="14:23" x14ac:dyDescent="0.4">
      <c r="N1544" s="114"/>
      <c r="O1544" s="115"/>
      <c r="P1544" s="4"/>
      <c r="Q1544" s="4"/>
      <c r="R1544" s="4"/>
      <c r="S1544" s="4"/>
      <c r="T1544" s="4"/>
      <c r="U1544" s="4"/>
      <c r="V1544" s="4"/>
      <c r="W1544" s="4"/>
    </row>
    <row r="1545" spans="14:23" x14ac:dyDescent="0.4">
      <c r="N1545" s="114"/>
      <c r="O1545" s="115"/>
      <c r="P1545" s="4"/>
      <c r="Q1545" s="4"/>
      <c r="R1545" s="4"/>
      <c r="S1545" s="4"/>
      <c r="T1545" s="4"/>
      <c r="U1545" s="4"/>
      <c r="V1545" s="4"/>
      <c r="W1545" s="4"/>
    </row>
    <row r="1546" spans="14:23" x14ac:dyDescent="0.4">
      <c r="N1546" s="114"/>
      <c r="O1546" s="115"/>
      <c r="P1546" s="4"/>
      <c r="Q1546" s="4"/>
      <c r="R1546" s="4"/>
      <c r="S1546" s="4"/>
      <c r="T1546" s="4"/>
      <c r="U1546" s="4"/>
      <c r="V1546" s="4"/>
      <c r="W1546" s="4"/>
    </row>
    <row r="1547" spans="14:23" x14ac:dyDescent="0.4">
      <c r="N1547" s="114"/>
      <c r="O1547" s="115"/>
      <c r="P1547" s="4"/>
      <c r="Q1547" s="4"/>
      <c r="R1547" s="4"/>
      <c r="S1547" s="4"/>
      <c r="T1547" s="4"/>
      <c r="U1547" s="4"/>
      <c r="V1547" s="4"/>
      <c r="W1547" s="4"/>
    </row>
    <row r="1548" spans="14:23" x14ac:dyDescent="0.4">
      <c r="N1548" s="114"/>
      <c r="O1548" s="115"/>
      <c r="P1548" s="4"/>
      <c r="Q1548" s="4"/>
      <c r="R1548" s="4"/>
      <c r="S1548" s="4"/>
      <c r="T1548" s="4"/>
      <c r="U1548" s="4"/>
      <c r="V1548" s="4"/>
      <c r="W1548" s="4"/>
    </row>
    <row r="1549" spans="14:23" x14ac:dyDescent="0.4">
      <c r="N1549" s="114"/>
      <c r="O1549" s="115"/>
      <c r="P1549" s="4"/>
      <c r="Q1549" s="4"/>
      <c r="R1549" s="4"/>
      <c r="S1549" s="4"/>
      <c r="T1549" s="4"/>
      <c r="U1549" s="4"/>
      <c r="V1549" s="4"/>
      <c r="W1549" s="4"/>
    </row>
    <row r="1550" spans="14:23" x14ac:dyDescent="0.4">
      <c r="N1550" s="114"/>
      <c r="O1550" s="115"/>
      <c r="P1550" s="4"/>
      <c r="Q1550" s="4"/>
      <c r="R1550" s="4"/>
      <c r="S1550" s="4"/>
      <c r="T1550" s="4"/>
      <c r="U1550" s="4"/>
      <c r="V1550" s="4"/>
      <c r="W1550" s="4"/>
    </row>
    <row r="1551" spans="14:23" x14ac:dyDescent="0.4">
      <c r="N1551" s="114"/>
      <c r="O1551" s="115"/>
      <c r="P1551" s="4"/>
      <c r="Q1551" s="4"/>
      <c r="R1551" s="4"/>
      <c r="S1551" s="4"/>
      <c r="T1551" s="4"/>
      <c r="U1551" s="4"/>
      <c r="V1551" s="4"/>
      <c r="W1551" s="4"/>
    </row>
    <row r="1552" spans="14:23" x14ac:dyDescent="0.4">
      <c r="N1552" s="114"/>
      <c r="O1552" s="115"/>
      <c r="P1552" s="4"/>
      <c r="Q1552" s="4"/>
      <c r="R1552" s="4"/>
      <c r="S1552" s="4"/>
      <c r="T1552" s="4"/>
      <c r="U1552" s="4"/>
      <c r="V1552" s="4"/>
      <c r="W1552" s="4"/>
    </row>
    <row r="1553" spans="14:23" x14ac:dyDescent="0.4">
      <c r="N1553" s="114"/>
      <c r="O1553" s="115"/>
      <c r="P1553" s="4"/>
      <c r="Q1553" s="4"/>
      <c r="R1553" s="4"/>
      <c r="S1553" s="4"/>
      <c r="T1553" s="4"/>
      <c r="U1553" s="4"/>
      <c r="V1553" s="4"/>
      <c r="W1553" s="4"/>
    </row>
    <row r="1554" spans="14:23" x14ac:dyDescent="0.4">
      <c r="N1554" s="114"/>
      <c r="O1554" s="115"/>
      <c r="P1554" s="4"/>
      <c r="Q1554" s="4"/>
      <c r="R1554" s="4"/>
      <c r="S1554" s="4"/>
      <c r="T1554" s="4"/>
      <c r="U1554" s="4"/>
      <c r="V1554" s="4"/>
      <c r="W1554" s="4"/>
    </row>
    <row r="1555" spans="14:23" x14ac:dyDescent="0.4">
      <c r="N1555" s="114"/>
      <c r="O1555" s="115"/>
      <c r="P1555" s="4"/>
      <c r="Q1555" s="4"/>
      <c r="R1555" s="4"/>
      <c r="S1555" s="4"/>
      <c r="T1555" s="4"/>
      <c r="U1555" s="4"/>
      <c r="V1555" s="4"/>
      <c r="W1555" s="4"/>
    </row>
    <row r="1556" spans="14:23" x14ac:dyDescent="0.4">
      <c r="N1556" s="114"/>
      <c r="O1556" s="115"/>
      <c r="P1556" s="4"/>
      <c r="Q1556" s="4"/>
      <c r="R1556" s="4"/>
      <c r="S1556" s="4"/>
      <c r="T1556" s="4"/>
      <c r="U1556" s="4"/>
      <c r="V1556" s="4"/>
      <c r="W1556" s="4"/>
    </row>
    <row r="1557" spans="14:23" x14ac:dyDescent="0.4">
      <c r="N1557" s="114"/>
      <c r="O1557" s="115"/>
      <c r="P1557" s="4"/>
      <c r="Q1557" s="4"/>
      <c r="R1557" s="4"/>
      <c r="S1557" s="4"/>
      <c r="T1557" s="4"/>
      <c r="U1557" s="4"/>
      <c r="V1557" s="4"/>
      <c r="W1557" s="4"/>
    </row>
    <row r="1558" spans="14:23" x14ac:dyDescent="0.4">
      <c r="N1558" s="114"/>
      <c r="O1558" s="115"/>
      <c r="P1558" s="4"/>
      <c r="Q1558" s="4"/>
      <c r="R1558" s="4"/>
      <c r="S1558" s="4"/>
      <c r="T1558" s="4"/>
      <c r="U1558" s="4"/>
      <c r="V1558" s="4"/>
      <c r="W1558" s="4"/>
    </row>
    <row r="1559" spans="14:23" x14ac:dyDescent="0.4">
      <c r="N1559" s="114"/>
      <c r="O1559" s="115"/>
      <c r="P1559" s="4"/>
      <c r="Q1559" s="4"/>
      <c r="R1559" s="4"/>
      <c r="S1559" s="4"/>
      <c r="T1559" s="4"/>
      <c r="U1559" s="4"/>
      <c r="V1559" s="4"/>
      <c r="W1559" s="4"/>
    </row>
    <row r="1560" spans="14:23" x14ac:dyDescent="0.4">
      <c r="N1560" s="114"/>
      <c r="O1560" s="115"/>
      <c r="P1560" s="4"/>
      <c r="Q1560" s="4"/>
      <c r="R1560" s="4"/>
      <c r="S1560" s="4"/>
      <c r="T1560" s="4"/>
      <c r="U1560" s="4"/>
      <c r="V1560" s="4"/>
      <c r="W1560" s="4"/>
    </row>
    <row r="1561" spans="14:23" x14ac:dyDescent="0.4">
      <c r="N1561" s="114"/>
      <c r="O1561" s="115"/>
      <c r="P1561" s="4"/>
      <c r="Q1561" s="4"/>
      <c r="R1561" s="4"/>
      <c r="S1561" s="4"/>
      <c r="T1561" s="4"/>
      <c r="U1561" s="4"/>
      <c r="V1561" s="4"/>
      <c r="W1561" s="4"/>
    </row>
    <row r="1562" spans="14:23" x14ac:dyDescent="0.4">
      <c r="N1562" s="114"/>
      <c r="O1562" s="115"/>
      <c r="P1562" s="4"/>
      <c r="Q1562" s="4"/>
      <c r="R1562" s="4"/>
      <c r="S1562" s="4"/>
      <c r="T1562" s="4"/>
      <c r="U1562" s="4"/>
      <c r="V1562" s="4"/>
      <c r="W1562" s="4"/>
    </row>
    <row r="1563" spans="14:23" x14ac:dyDescent="0.4">
      <c r="N1563" s="114"/>
      <c r="O1563" s="115"/>
      <c r="P1563" s="4"/>
      <c r="Q1563" s="4"/>
      <c r="R1563" s="4"/>
      <c r="S1563" s="4"/>
      <c r="T1563" s="4"/>
      <c r="U1563" s="4"/>
      <c r="V1563" s="4"/>
      <c r="W1563" s="4"/>
    </row>
    <row r="1564" spans="14:23" x14ac:dyDescent="0.4">
      <c r="N1564" s="114"/>
      <c r="O1564" s="115"/>
      <c r="P1564" s="4"/>
      <c r="Q1564" s="4"/>
      <c r="R1564" s="4"/>
      <c r="S1564" s="4"/>
      <c r="T1564" s="4"/>
      <c r="U1564" s="4"/>
      <c r="V1564" s="4"/>
      <c r="W1564" s="4"/>
    </row>
    <row r="1565" spans="14:23" x14ac:dyDescent="0.4">
      <c r="N1565" s="114"/>
      <c r="O1565" s="115"/>
      <c r="P1565" s="4"/>
      <c r="Q1565" s="4"/>
      <c r="R1565" s="4"/>
      <c r="S1565" s="4"/>
      <c r="T1565" s="4"/>
      <c r="U1565" s="4"/>
      <c r="V1565" s="4"/>
      <c r="W1565" s="4"/>
    </row>
    <row r="1566" spans="14:23" x14ac:dyDescent="0.4">
      <c r="N1566" s="114"/>
      <c r="O1566" s="115"/>
      <c r="P1566" s="4"/>
      <c r="Q1566" s="4"/>
      <c r="R1566" s="4"/>
      <c r="S1566" s="4"/>
      <c r="T1566" s="4"/>
      <c r="U1566" s="4"/>
      <c r="V1566" s="4"/>
      <c r="W1566" s="4"/>
    </row>
    <row r="1567" spans="14:23" x14ac:dyDescent="0.4">
      <c r="N1567" s="114"/>
      <c r="O1567" s="115"/>
      <c r="P1567" s="4"/>
      <c r="Q1567" s="4"/>
      <c r="R1567" s="4"/>
      <c r="S1567" s="4"/>
      <c r="T1567" s="4"/>
      <c r="U1567" s="4"/>
      <c r="V1567" s="4"/>
      <c r="W1567" s="4"/>
    </row>
    <row r="1568" spans="14:23" x14ac:dyDescent="0.4">
      <c r="N1568" s="114"/>
      <c r="O1568" s="115"/>
      <c r="P1568" s="4"/>
      <c r="Q1568" s="4"/>
      <c r="R1568" s="4"/>
      <c r="S1568" s="4"/>
      <c r="T1568" s="4"/>
      <c r="U1568" s="4"/>
      <c r="V1568" s="4"/>
      <c r="W1568" s="4"/>
    </row>
    <row r="1569" spans="14:23" x14ac:dyDescent="0.4">
      <c r="N1569" s="114"/>
      <c r="O1569" s="115"/>
      <c r="P1569" s="4"/>
      <c r="Q1569" s="4"/>
      <c r="R1569" s="4"/>
      <c r="S1569" s="4"/>
      <c r="T1569" s="4"/>
      <c r="U1569" s="4"/>
      <c r="V1569" s="4"/>
      <c r="W1569" s="4"/>
    </row>
    <row r="1570" spans="14:23" x14ac:dyDescent="0.4">
      <c r="N1570" s="114"/>
      <c r="O1570" s="115"/>
      <c r="P1570" s="4"/>
      <c r="Q1570" s="4"/>
      <c r="R1570" s="4"/>
      <c r="S1570" s="4"/>
      <c r="T1570" s="4"/>
      <c r="U1570" s="4"/>
      <c r="V1570" s="4"/>
      <c r="W1570" s="4"/>
    </row>
    <row r="1571" spans="14:23" x14ac:dyDescent="0.4">
      <c r="N1571" s="114"/>
      <c r="O1571" s="115"/>
      <c r="P1571" s="4"/>
      <c r="Q1571" s="4"/>
      <c r="R1571" s="4"/>
      <c r="S1571" s="4"/>
      <c r="T1571" s="4"/>
      <c r="U1571" s="4"/>
      <c r="V1571" s="4"/>
      <c r="W1571" s="4"/>
    </row>
    <row r="1572" spans="14:23" x14ac:dyDescent="0.4">
      <c r="N1572" s="114"/>
      <c r="O1572" s="115"/>
      <c r="P1572" s="4"/>
      <c r="Q1572" s="4"/>
      <c r="R1572" s="4"/>
      <c r="S1572" s="4"/>
      <c r="T1572" s="4"/>
      <c r="U1572" s="4"/>
      <c r="V1572" s="4"/>
      <c r="W1572" s="4"/>
    </row>
    <row r="1573" spans="14:23" x14ac:dyDescent="0.4">
      <c r="N1573" s="114"/>
      <c r="O1573" s="115"/>
      <c r="P1573" s="4"/>
      <c r="Q1573" s="4"/>
      <c r="R1573" s="4"/>
      <c r="S1573" s="4"/>
      <c r="T1573" s="4"/>
      <c r="U1573" s="4"/>
      <c r="V1573" s="4"/>
      <c r="W1573" s="4"/>
    </row>
    <row r="1574" spans="14:23" x14ac:dyDescent="0.4">
      <c r="N1574" s="114"/>
      <c r="O1574" s="115"/>
      <c r="P1574" s="4"/>
      <c r="Q1574" s="4"/>
      <c r="R1574" s="4"/>
      <c r="S1574" s="4"/>
      <c r="T1574" s="4"/>
      <c r="U1574" s="4"/>
      <c r="V1574" s="4"/>
      <c r="W1574" s="4"/>
    </row>
    <row r="1575" spans="14:23" x14ac:dyDescent="0.4">
      <c r="N1575" s="114"/>
      <c r="O1575" s="115"/>
      <c r="P1575" s="4"/>
      <c r="Q1575" s="4"/>
      <c r="R1575" s="4"/>
      <c r="S1575" s="4"/>
      <c r="T1575" s="4"/>
      <c r="U1575" s="4"/>
      <c r="V1575" s="4"/>
      <c r="W1575" s="4"/>
    </row>
    <row r="1576" spans="14:23" x14ac:dyDescent="0.4">
      <c r="N1576" s="114"/>
      <c r="O1576" s="115"/>
      <c r="P1576" s="4"/>
      <c r="Q1576" s="4"/>
      <c r="R1576" s="4"/>
      <c r="S1576" s="4"/>
      <c r="T1576" s="4"/>
      <c r="U1576" s="4"/>
      <c r="V1576" s="4"/>
      <c r="W1576" s="4"/>
    </row>
    <row r="1577" spans="14:23" x14ac:dyDescent="0.4">
      <c r="N1577" s="114"/>
      <c r="O1577" s="115"/>
      <c r="P1577" s="4"/>
      <c r="Q1577" s="4"/>
      <c r="R1577" s="4"/>
      <c r="S1577" s="4"/>
      <c r="T1577" s="4"/>
      <c r="U1577" s="4"/>
      <c r="V1577" s="4"/>
      <c r="W1577" s="4"/>
    </row>
    <row r="1578" spans="14:23" x14ac:dyDescent="0.4">
      <c r="N1578" s="114"/>
      <c r="O1578" s="115"/>
      <c r="P1578" s="4"/>
      <c r="Q1578" s="4"/>
      <c r="R1578" s="4"/>
      <c r="S1578" s="4"/>
      <c r="T1578" s="4"/>
      <c r="U1578" s="4"/>
      <c r="V1578" s="4"/>
      <c r="W1578" s="4"/>
    </row>
    <row r="1579" spans="14:23" x14ac:dyDescent="0.4">
      <c r="N1579" s="114"/>
      <c r="O1579" s="115"/>
      <c r="P1579" s="4"/>
      <c r="Q1579" s="4"/>
      <c r="R1579" s="4"/>
      <c r="S1579" s="4"/>
      <c r="T1579" s="4"/>
      <c r="U1579" s="4"/>
      <c r="V1579" s="4"/>
      <c r="W1579" s="4"/>
    </row>
    <row r="1580" spans="14:23" x14ac:dyDescent="0.4">
      <c r="N1580" s="114"/>
      <c r="O1580" s="115"/>
      <c r="P1580" s="4"/>
      <c r="Q1580" s="4"/>
      <c r="R1580" s="4"/>
      <c r="S1580" s="4"/>
      <c r="T1580" s="4"/>
      <c r="U1580" s="4"/>
      <c r="V1580" s="4"/>
      <c r="W1580" s="4"/>
    </row>
    <row r="1581" spans="14:23" x14ac:dyDescent="0.4">
      <c r="N1581" s="114"/>
      <c r="O1581" s="115"/>
      <c r="P1581" s="4"/>
      <c r="Q1581" s="4"/>
      <c r="R1581" s="4"/>
      <c r="S1581" s="4"/>
      <c r="T1581" s="4"/>
      <c r="U1581" s="4"/>
      <c r="V1581" s="4"/>
      <c r="W1581" s="4"/>
    </row>
    <row r="1582" spans="14:23" x14ac:dyDescent="0.4">
      <c r="N1582" s="114"/>
      <c r="O1582" s="115"/>
      <c r="P1582" s="4"/>
      <c r="Q1582" s="4"/>
      <c r="R1582" s="4"/>
      <c r="S1582" s="4"/>
      <c r="T1582" s="4"/>
      <c r="U1582" s="4"/>
      <c r="V1582" s="4"/>
      <c r="W1582" s="4"/>
    </row>
    <row r="1583" spans="14:23" x14ac:dyDescent="0.4">
      <c r="N1583" s="114"/>
      <c r="O1583" s="115"/>
      <c r="P1583" s="4"/>
      <c r="Q1583" s="4"/>
      <c r="R1583" s="4"/>
      <c r="S1583" s="4"/>
      <c r="T1583" s="4"/>
      <c r="U1583" s="4"/>
      <c r="V1583" s="4"/>
      <c r="W1583" s="4"/>
    </row>
    <row r="1584" spans="14:23" x14ac:dyDescent="0.4">
      <c r="N1584" s="114"/>
      <c r="O1584" s="115"/>
      <c r="P1584" s="4"/>
      <c r="Q1584" s="4"/>
      <c r="R1584" s="4"/>
      <c r="S1584" s="4"/>
      <c r="T1584" s="4"/>
      <c r="U1584" s="4"/>
      <c r="V1584" s="4"/>
      <c r="W1584" s="4"/>
    </row>
    <row r="1585" spans="14:23" x14ac:dyDescent="0.4">
      <c r="N1585" s="114"/>
      <c r="O1585" s="115"/>
      <c r="P1585" s="4"/>
      <c r="Q1585" s="4"/>
      <c r="R1585" s="4"/>
      <c r="S1585" s="4"/>
      <c r="T1585" s="4"/>
      <c r="U1585" s="4"/>
      <c r="V1585" s="4"/>
      <c r="W1585" s="4"/>
    </row>
    <row r="1586" spans="14:23" x14ac:dyDescent="0.4">
      <c r="N1586" s="114"/>
      <c r="O1586" s="115"/>
      <c r="P1586" s="4"/>
      <c r="Q1586" s="4"/>
      <c r="R1586" s="4"/>
      <c r="S1586" s="4"/>
      <c r="T1586" s="4"/>
      <c r="U1586" s="4"/>
      <c r="V1586" s="4"/>
      <c r="W1586" s="4"/>
    </row>
    <row r="1587" spans="14:23" x14ac:dyDescent="0.4">
      <c r="N1587" s="114"/>
      <c r="O1587" s="115"/>
      <c r="P1587" s="4"/>
      <c r="Q1587" s="4"/>
      <c r="R1587" s="4"/>
      <c r="S1587" s="4"/>
      <c r="T1587" s="4"/>
      <c r="U1587" s="4"/>
      <c r="V1587" s="4"/>
      <c r="W1587" s="4"/>
    </row>
    <row r="1588" spans="14:23" x14ac:dyDescent="0.4">
      <c r="N1588" s="114"/>
      <c r="O1588" s="115"/>
      <c r="P1588" s="4"/>
      <c r="Q1588" s="4"/>
      <c r="R1588" s="4"/>
      <c r="S1588" s="4"/>
      <c r="T1588" s="4"/>
      <c r="U1588" s="4"/>
      <c r="V1588" s="4"/>
      <c r="W1588" s="4"/>
    </row>
    <row r="1589" spans="14:23" x14ac:dyDescent="0.4">
      <c r="N1589" s="114"/>
      <c r="O1589" s="115"/>
      <c r="P1589" s="4"/>
      <c r="Q1589" s="4"/>
      <c r="R1589" s="4"/>
      <c r="S1589" s="4"/>
      <c r="T1589" s="4"/>
      <c r="U1589" s="4"/>
      <c r="V1589" s="4"/>
      <c r="W1589" s="4"/>
    </row>
    <row r="1590" spans="14:23" x14ac:dyDescent="0.4">
      <c r="N1590" s="114"/>
      <c r="O1590" s="115"/>
      <c r="P1590" s="4"/>
      <c r="Q1590" s="4"/>
      <c r="R1590" s="4"/>
      <c r="S1590" s="4"/>
      <c r="T1590" s="4"/>
      <c r="U1590" s="4"/>
      <c r="V1590" s="4"/>
      <c r="W1590" s="4"/>
    </row>
    <row r="1591" spans="14:23" x14ac:dyDescent="0.4">
      <c r="N1591" s="114"/>
      <c r="O1591" s="115"/>
      <c r="P1591" s="4"/>
      <c r="Q1591" s="4"/>
      <c r="R1591" s="4"/>
      <c r="S1591" s="4"/>
      <c r="T1591" s="4"/>
      <c r="U1591" s="4"/>
      <c r="V1591" s="4"/>
      <c r="W1591" s="4"/>
    </row>
    <row r="1592" spans="14:23" x14ac:dyDescent="0.4">
      <c r="N1592" s="114"/>
      <c r="O1592" s="115"/>
      <c r="P1592" s="4"/>
      <c r="Q1592" s="4"/>
      <c r="R1592" s="4"/>
      <c r="S1592" s="4"/>
      <c r="T1592" s="4"/>
      <c r="U1592" s="4"/>
      <c r="V1592" s="4"/>
      <c r="W1592" s="4"/>
    </row>
  </sheetData>
  <autoFilter ref="N2:Y2" xr:uid="{31338C2F-AE37-4D01-A865-F8B453055962}"/>
  <mergeCells count="3">
    <mergeCell ref="O1:P1"/>
    <mergeCell ref="A19:D19"/>
    <mergeCell ref="I20:J20"/>
  </mergeCells>
  <phoneticPr fontId="2" type="noConversion"/>
  <conditionalFormatting sqref="G75:G81 I75:I81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I3:I18">
    <cfRule type="cellIs" dxfId="13" priority="4" operator="greaterThan">
      <formula>0</formula>
    </cfRule>
    <cfRule type="cellIs" dxfId="12" priority="5" operator="lessThan">
      <formula>0</formula>
    </cfRule>
  </conditionalFormatting>
  <conditionalFormatting sqref="K6:K20">
    <cfRule type="cellIs" dxfId="11" priority="3" operator="lessThan">
      <formula>0</formula>
    </cfRule>
  </conditionalFormatting>
  <conditionalFormatting sqref="L3:L20">
    <cfRule type="cellIs" dxfId="10" priority="6" operator="greaterThan">
      <formula>1</formula>
    </cfRule>
    <cfRule type="cellIs" dxfId="9" priority="7" operator="equal">
      <formula>1</formula>
    </cfRule>
    <cfRule type="cellIs" dxfId="8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DD49-3E69-4C87-BC3D-9853B28CC296}">
  <dimension ref="A1:Y217"/>
  <sheetViews>
    <sheetView workbookViewId="0">
      <pane ySplit="2" topLeftCell="A5" activePane="bottomLeft" state="frozen"/>
      <selection activeCell="E1" sqref="E1"/>
      <selection pane="bottomLeft" activeCell="L1" sqref="L1"/>
    </sheetView>
  </sheetViews>
  <sheetFormatPr defaultRowHeight="17.399999999999999" x14ac:dyDescent="0.4"/>
  <cols>
    <col min="1" max="1" width="7.3984375" bestFit="1" customWidth="1"/>
    <col min="2" max="2" width="3.69921875" bestFit="1" customWidth="1"/>
    <col min="3" max="3" width="11.8984375" bestFit="1" customWidth="1"/>
    <col min="4" max="4" width="12.3984375" bestFit="1" customWidth="1"/>
    <col min="5" max="7" width="10.5" customWidth="1"/>
    <col min="8" max="8" width="12.09765625" bestFit="1" customWidth="1"/>
    <col min="9" max="9" width="12.8984375" bestFit="1" customWidth="1"/>
    <col min="10" max="10" width="11.8984375" customWidth="1"/>
    <col min="11" max="11" width="11.69921875" bestFit="1" customWidth="1"/>
    <col min="12" max="12" width="8.5" bestFit="1" customWidth="1"/>
    <col min="13" max="13" width="3" customWidth="1"/>
    <col min="14" max="14" width="11.19921875" bestFit="1" customWidth="1"/>
    <col min="15" max="16" width="9.19921875" bestFit="1" customWidth="1"/>
    <col min="17" max="17" width="11.59765625" bestFit="1" customWidth="1"/>
    <col min="18" max="18" width="13" bestFit="1" customWidth="1"/>
    <col min="19" max="19" width="31.19921875" bestFit="1" customWidth="1"/>
    <col min="20" max="21" width="9.19921875" bestFit="1" customWidth="1"/>
    <col min="22" max="22" width="29.8984375" customWidth="1"/>
    <col min="23" max="23" width="38.09765625" customWidth="1"/>
    <col min="24" max="24" width="9.19921875" bestFit="1" customWidth="1"/>
    <col min="25" max="25" width="11.09765625" style="1" bestFit="1" customWidth="1"/>
    <col min="27" max="27" width="12.3984375" bestFit="1" customWidth="1"/>
    <col min="28" max="28" width="10.19921875" bestFit="1" customWidth="1"/>
  </cols>
  <sheetData>
    <row r="1" spans="1:25" x14ac:dyDescent="0.4">
      <c r="A1" s="3" t="s">
        <v>978</v>
      </c>
      <c r="I1" s="46" t="s">
        <v>924</v>
      </c>
      <c r="J1" s="46">
        <v>202412</v>
      </c>
      <c r="K1" s="46" t="s">
        <v>923</v>
      </c>
      <c r="L1" s="46">
        <v>202501</v>
      </c>
      <c r="N1" s="27" t="s">
        <v>950</v>
      </c>
      <c r="O1" s="133">
        <f>SUMIF(P3:P233,"지출",T3:T233)</f>
        <v>0</v>
      </c>
      <c r="P1" s="133"/>
      <c r="S1" s="17"/>
    </row>
    <row r="2" spans="1:25" ht="18" thickBot="1" x14ac:dyDescent="0.45">
      <c r="A2" s="31" t="s">
        <v>900</v>
      </c>
      <c r="B2" s="31" t="s">
        <v>901</v>
      </c>
      <c r="C2" s="31" t="s">
        <v>22</v>
      </c>
      <c r="D2" s="31" t="s">
        <v>23</v>
      </c>
      <c r="E2" s="31" t="s">
        <v>903</v>
      </c>
      <c r="F2" s="31" t="s">
        <v>904</v>
      </c>
      <c r="G2" s="31" t="s">
        <v>905</v>
      </c>
      <c r="H2" s="31" t="s">
        <v>906</v>
      </c>
      <c r="I2" s="31" t="s">
        <v>945</v>
      </c>
      <c r="J2" s="31" t="s">
        <v>908</v>
      </c>
      <c r="K2" s="31" t="s">
        <v>909</v>
      </c>
      <c r="L2" s="31" t="s">
        <v>910</v>
      </c>
      <c r="N2" s="32" t="s">
        <v>914</v>
      </c>
      <c r="O2" s="32" t="s">
        <v>915</v>
      </c>
      <c r="P2" s="32" t="s">
        <v>916</v>
      </c>
      <c r="Q2" s="32" t="s">
        <v>21</v>
      </c>
      <c r="R2" s="32" t="s">
        <v>23</v>
      </c>
      <c r="S2" s="32" t="s">
        <v>963</v>
      </c>
      <c r="T2" s="32" t="s">
        <v>929</v>
      </c>
      <c r="U2" s="32" t="s">
        <v>964</v>
      </c>
      <c r="V2" s="32" t="s">
        <v>918</v>
      </c>
      <c r="W2" s="32" t="s">
        <v>919</v>
      </c>
      <c r="X2" s="32" t="s">
        <v>902</v>
      </c>
      <c r="Y2" s="32" t="s">
        <v>943</v>
      </c>
    </row>
    <row r="3" spans="1:25" ht="18" thickTop="1" x14ac:dyDescent="0.4">
      <c r="A3" s="7">
        <f>$L$1</f>
        <v>202501</v>
      </c>
      <c r="B3" s="7">
        <f>ROW()-2</f>
        <v>1</v>
      </c>
      <c r="C3" s="7" t="s">
        <v>15</v>
      </c>
      <c r="D3" s="7" t="s">
        <v>911</v>
      </c>
      <c r="E3" s="23">
        <f>SUMIFS('수입&amp;예산'!$C$15:$C$34,'수입&amp;예산'!$A$15:$A$34,C3,'수입&amp;예산'!$B$15:$B$34,D3)*10000</f>
        <v>900000</v>
      </c>
      <c r="F3" s="23">
        <v>0</v>
      </c>
      <c r="G3" s="23">
        <f>SUM(E3:F3)</f>
        <v>900000</v>
      </c>
      <c r="H3" s="41">
        <f ca="1">INDIRECT($J$1&amp;"!J"&amp;ROW())</f>
        <v>-895849</v>
      </c>
      <c r="I3" s="41">
        <f ca="1">J3-H3</f>
        <v>0</v>
      </c>
      <c r="J3" s="43">
        <f>VLOOKUP(A3,대출!$B$4:$G$363,3,FALSE)*-1</f>
        <v>-895849</v>
      </c>
      <c r="K3" s="43">
        <f>G3+J3</f>
        <v>4151</v>
      </c>
      <c r="L3" s="24">
        <f>IF(G3=0,0,-J3/G3)</f>
        <v>0.99538777777777776</v>
      </c>
      <c r="N3" s="25"/>
      <c r="O3" s="26"/>
      <c r="P3" s="50"/>
      <c r="Q3" s="50"/>
      <c r="R3" s="50"/>
      <c r="S3" s="50"/>
      <c r="T3" s="50"/>
      <c r="U3" s="50"/>
      <c r="V3" s="50"/>
      <c r="W3" s="50"/>
      <c r="X3" s="50"/>
      <c r="Y3" s="6"/>
    </row>
    <row r="4" spans="1:25" x14ac:dyDescent="0.4">
      <c r="A4" s="4">
        <f t="shared" ref="A4:A18" si="0">$L$1</f>
        <v>202501</v>
      </c>
      <c r="B4" s="4">
        <f>ROW()-2</f>
        <v>2</v>
      </c>
      <c r="C4" s="4" t="s">
        <v>9</v>
      </c>
      <c r="D4" s="4" t="s">
        <v>18</v>
      </c>
      <c r="E4" s="18">
        <f>SUMIFS('수입&amp;예산'!$G$15:$G$27,'수입&amp;예산'!$A$15:$A$27,C4,'수입&amp;예산'!$B$15:$B$27,D4)*10000</f>
        <v>100000</v>
      </c>
      <c r="F4" s="18">
        <v>0</v>
      </c>
      <c r="G4" s="18">
        <f t="shared" ref="G4:G18" si="1">SUM(E4:F4)</f>
        <v>100000</v>
      </c>
      <c r="H4" s="41">
        <f t="shared" ref="H4:H18" ca="1" si="2">INDIRECT($J$1&amp;"!J"&amp;ROW())</f>
        <v>0</v>
      </c>
      <c r="I4" s="41">
        <f ca="1">J4-H4</f>
        <v>0</v>
      </c>
      <c r="J4" s="44">
        <f t="shared" ref="J4:J11" si="3">SUMIFS($T$3:$T$233,$P$3:$P$233,"지출",$Q$3:$Q$233,C4,$R$3:$R$233,D4)</f>
        <v>0</v>
      </c>
      <c r="K4" s="44">
        <f t="shared" ref="K4:K18" si="4">G4+J4</f>
        <v>100000</v>
      </c>
      <c r="L4" s="19">
        <f t="shared" ref="L4:L18" si="5">IF(G4=0,0,-J4/G4)</f>
        <v>0</v>
      </c>
      <c r="N4" s="25"/>
      <c r="O4" s="26"/>
      <c r="P4" s="50"/>
      <c r="Q4" s="50"/>
      <c r="R4" s="50"/>
      <c r="S4" s="50"/>
      <c r="T4" s="50"/>
      <c r="U4" s="50"/>
      <c r="V4" s="50"/>
      <c r="W4" s="50"/>
      <c r="X4" s="50"/>
      <c r="Y4" s="4"/>
    </row>
    <row r="5" spans="1:25" x14ac:dyDescent="0.4">
      <c r="A5" s="4">
        <f t="shared" si="0"/>
        <v>202501</v>
      </c>
      <c r="B5" s="4">
        <f t="shared" ref="B5:B18" si="6">ROW()-2</f>
        <v>3</v>
      </c>
      <c r="C5" s="4" t="s">
        <v>9</v>
      </c>
      <c r="D5" s="4" t="s">
        <v>10</v>
      </c>
      <c r="E5" s="18">
        <f>SUMIFS('수입&amp;예산'!$G$15:$G$27,'수입&amp;예산'!$A$15:$A$27,C5,'수입&amp;예산'!$B$15:$B$27,D5)*10000</f>
        <v>0</v>
      </c>
      <c r="F5" s="18">
        <v>0</v>
      </c>
      <c r="G5" s="18">
        <f t="shared" si="1"/>
        <v>0</v>
      </c>
      <c r="H5" s="41">
        <f t="shared" ca="1" si="2"/>
        <v>0</v>
      </c>
      <c r="I5" s="41">
        <f ca="1">J5-H5</f>
        <v>0</v>
      </c>
      <c r="J5" s="44">
        <f t="shared" si="3"/>
        <v>0</v>
      </c>
      <c r="K5" s="44">
        <f t="shared" si="4"/>
        <v>0</v>
      </c>
      <c r="L5" s="19">
        <f t="shared" si="5"/>
        <v>0</v>
      </c>
      <c r="N5" s="25"/>
      <c r="O5" s="26"/>
      <c r="P5" s="50"/>
      <c r="Q5" s="85"/>
      <c r="R5" s="50"/>
      <c r="S5" s="50"/>
      <c r="T5" s="50"/>
      <c r="U5" s="50"/>
      <c r="V5" s="50"/>
      <c r="W5" s="50"/>
      <c r="X5" s="50"/>
      <c r="Y5" s="6"/>
    </row>
    <row r="6" spans="1:25" x14ac:dyDescent="0.4">
      <c r="A6" s="4">
        <f t="shared" si="0"/>
        <v>202501</v>
      </c>
      <c r="B6" s="4">
        <f t="shared" si="6"/>
        <v>4</v>
      </c>
      <c r="C6" s="4" t="s">
        <v>9</v>
      </c>
      <c r="D6" s="4" t="s">
        <v>16</v>
      </c>
      <c r="E6" s="18">
        <f>SUMIFS('수입&amp;예산'!$G$15:$G$27,'수입&amp;예산'!$A$15:$A$27,C6,'수입&amp;예산'!$B$15:$B$27,D6)*10000</f>
        <v>330000</v>
      </c>
      <c r="F6" s="18">
        <v>0</v>
      </c>
      <c r="G6" s="18">
        <f t="shared" si="1"/>
        <v>330000</v>
      </c>
      <c r="H6" s="41">
        <f t="shared" ca="1" si="2"/>
        <v>0</v>
      </c>
      <c r="I6" s="41">
        <f t="shared" ref="I6:I18" ca="1" si="7">J6-H6</f>
        <v>0</v>
      </c>
      <c r="J6" s="44">
        <f t="shared" si="3"/>
        <v>0</v>
      </c>
      <c r="K6" s="44">
        <f t="shared" si="4"/>
        <v>330000</v>
      </c>
      <c r="L6" s="19">
        <f t="shared" si="5"/>
        <v>0</v>
      </c>
      <c r="N6" s="25"/>
      <c r="O6" s="26"/>
      <c r="P6" s="50"/>
      <c r="Q6" s="50"/>
      <c r="R6" s="50"/>
      <c r="S6" s="50"/>
      <c r="T6" s="50"/>
      <c r="U6" s="50"/>
      <c r="V6" s="50"/>
      <c r="W6" s="50"/>
      <c r="X6" s="50"/>
      <c r="Y6" s="6"/>
    </row>
    <row r="7" spans="1:25" x14ac:dyDescent="0.4">
      <c r="A7" s="4">
        <f t="shared" si="0"/>
        <v>202501</v>
      </c>
      <c r="B7" s="4">
        <f t="shared" si="6"/>
        <v>5</v>
      </c>
      <c r="C7" s="4" t="s">
        <v>9</v>
      </c>
      <c r="D7" s="4" t="s">
        <v>912</v>
      </c>
      <c r="E7" s="18">
        <f>SUMIFS('수입&amp;예산'!$G$15:$G$27,'수입&amp;예산'!$A$15:$A$27,C7,'수입&amp;예산'!$B$15:$B$27,D7)*10000</f>
        <v>130000</v>
      </c>
      <c r="F7" s="18">
        <v>0</v>
      </c>
      <c r="G7" s="18">
        <f t="shared" si="1"/>
        <v>130000</v>
      </c>
      <c r="H7" s="41">
        <f t="shared" ca="1" si="2"/>
        <v>0</v>
      </c>
      <c r="I7" s="41">
        <f t="shared" ca="1" si="7"/>
        <v>0</v>
      </c>
      <c r="J7" s="44">
        <f t="shared" si="3"/>
        <v>0</v>
      </c>
      <c r="K7" s="44">
        <f t="shared" si="4"/>
        <v>130000</v>
      </c>
      <c r="L7" s="19">
        <f t="shared" si="5"/>
        <v>0</v>
      </c>
      <c r="N7" s="25"/>
      <c r="O7" s="26"/>
      <c r="P7" s="50"/>
      <c r="Q7" s="50"/>
      <c r="R7" s="50"/>
      <c r="S7" s="50"/>
      <c r="T7" s="50"/>
      <c r="U7" s="50"/>
      <c r="V7" s="50"/>
      <c r="W7" s="50"/>
      <c r="X7" s="50"/>
      <c r="Y7" s="6"/>
    </row>
    <row r="8" spans="1:25" x14ac:dyDescent="0.4">
      <c r="A8" s="4">
        <f>$L$1</f>
        <v>202501</v>
      </c>
      <c r="B8" s="4">
        <f t="shared" si="6"/>
        <v>6</v>
      </c>
      <c r="C8" s="4" t="s">
        <v>9</v>
      </c>
      <c r="D8" s="4" t="s">
        <v>956</v>
      </c>
      <c r="E8" s="18">
        <f>SUMIFS('수입&amp;예산'!$G$15:$G$27,'수입&amp;예산'!$A$15:$A$27,C8,'수입&amp;예산'!$B$15:$B$27,D8)*10000</f>
        <v>171000</v>
      </c>
      <c r="F8" s="18">
        <v>0</v>
      </c>
      <c r="G8" s="18">
        <f t="shared" si="1"/>
        <v>171000</v>
      </c>
      <c r="H8" s="41">
        <f t="shared" ca="1" si="2"/>
        <v>0</v>
      </c>
      <c r="I8" s="41">
        <f t="shared" ca="1" si="7"/>
        <v>0</v>
      </c>
      <c r="J8" s="44">
        <f t="shared" si="3"/>
        <v>0</v>
      </c>
      <c r="K8" s="44">
        <f t="shared" si="4"/>
        <v>171000</v>
      </c>
      <c r="L8" s="19">
        <f t="shared" si="5"/>
        <v>0</v>
      </c>
      <c r="N8" s="25"/>
      <c r="O8" s="26"/>
      <c r="P8" s="50"/>
      <c r="Q8" s="50"/>
      <c r="R8" s="50"/>
      <c r="S8" s="50"/>
      <c r="T8" s="50"/>
      <c r="U8" s="50"/>
      <c r="V8" s="50"/>
      <c r="W8" s="50"/>
      <c r="X8" s="50"/>
      <c r="Y8" s="4"/>
    </row>
    <row r="9" spans="1:25" x14ac:dyDescent="0.4">
      <c r="A9" s="4">
        <f t="shared" si="0"/>
        <v>202501</v>
      </c>
      <c r="B9" s="4">
        <f t="shared" si="6"/>
        <v>7</v>
      </c>
      <c r="C9" s="4" t="s">
        <v>9</v>
      </c>
      <c r="D9" s="4" t="s">
        <v>947</v>
      </c>
      <c r="E9" s="18">
        <f>SUMIFS('수입&amp;예산'!$G$15:$G$27,'수입&amp;예산'!$A$15:$A$27,C9,'수입&amp;예산'!$B$15:$B$27,D9)*10000</f>
        <v>246000</v>
      </c>
      <c r="F9" s="18">
        <v>0</v>
      </c>
      <c r="G9" s="18">
        <f t="shared" si="1"/>
        <v>246000</v>
      </c>
      <c r="H9" s="41">
        <f t="shared" ca="1" si="2"/>
        <v>0</v>
      </c>
      <c r="I9" s="41">
        <f t="shared" ca="1" si="7"/>
        <v>0</v>
      </c>
      <c r="J9" s="44">
        <f t="shared" si="3"/>
        <v>0</v>
      </c>
      <c r="K9" s="44">
        <f t="shared" si="4"/>
        <v>246000</v>
      </c>
      <c r="L9" s="19">
        <f t="shared" si="5"/>
        <v>0</v>
      </c>
      <c r="N9" s="25"/>
      <c r="O9" s="26"/>
      <c r="P9" s="50"/>
      <c r="Q9" s="50"/>
      <c r="R9" s="50"/>
      <c r="S9" s="50"/>
      <c r="T9" s="50"/>
      <c r="U9" s="50"/>
      <c r="V9" s="50"/>
      <c r="W9" s="50"/>
      <c r="X9" s="50"/>
      <c r="Y9" s="4"/>
    </row>
    <row r="10" spans="1:25" x14ac:dyDescent="0.4">
      <c r="A10" s="4">
        <f t="shared" si="0"/>
        <v>202501</v>
      </c>
      <c r="B10" s="4">
        <f t="shared" si="6"/>
        <v>8</v>
      </c>
      <c r="C10" s="4" t="s">
        <v>9</v>
      </c>
      <c r="D10" s="4" t="s">
        <v>12</v>
      </c>
      <c r="E10" s="18">
        <f>SUMIFS('수입&amp;예산'!$G$15:$G$27,'수입&amp;예산'!$A$15:$A$27,C10,'수입&amp;예산'!$B$15:$B$27,D10)*10000</f>
        <v>160000</v>
      </c>
      <c r="F10" s="18">
        <v>0</v>
      </c>
      <c r="G10" s="18">
        <f t="shared" si="1"/>
        <v>160000</v>
      </c>
      <c r="H10" s="41">
        <f t="shared" ca="1" si="2"/>
        <v>0</v>
      </c>
      <c r="I10" s="41">
        <f t="shared" ca="1" si="7"/>
        <v>0</v>
      </c>
      <c r="J10" s="44">
        <f t="shared" si="3"/>
        <v>0</v>
      </c>
      <c r="K10" s="44">
        <f t="shared" si="4"/>
        <v>160000</v>
      </c>
      <c r="L10" s="19">
        <f t="shared" si="5"/>
        <v>0</v>
      </c>
      <c r="N10" s="25"/>
      <c r="O10" s="26"/>
      <c r="P10" s="50"/>
      <c r="Q10" s="50"/>
      <c r="R10" s="50"/>
      <c r="S10" s="50"/>
      <c r="T10" s="50"/>
      <c r="U10" s="50"/>
      <c r="V10" s="50"/>
      <c r="W10" s="50"/>
      <c r="X10" s="50"/>
      <c r="Y10" s="6"/>
    </row>
    <row r="11" spans="1:25" x14ac:dyDescent="0.4">
      <c r="A11" s="4">
        <f t="shared" si="0"/>
        <v>202501</v>
      </c>
      <c r="B11" s="4">
        <f t="shared" si="6"/>
        <v>9</v>
      </c>
      <c r="C11" s="4" t="s">
        <v>9</v>
      </c>
      <c r="D11" s="4" t="s">
        <v>949</v>
      </c>
      <c r="E11" s="18">
        <f>SUMIFS('수입&amp;예산'!$G$15:$G$27,'수입&amp;예산'!$A$15:$A$27,C11,'수입&amp;예산'!$B$15:$B$27,D11)*10000</f>
        <v>44000</v>
      </c>
      <c r="F11" s="18">
        <v>0</v>
      </c>
      <c r="G11" s="18">
        <f t="shared" si="1"/>
        <v>44000</v>
      </c>
      <c r="H11" s="41">
        <f t="shared" ca="1" si="2"/>
        <v>0</v>
      </c>
      <c r="I11" s="41">
        <f t="shared" ca="1" si="7"/>
        <v>0</v>
      </c>
      <c r="J11" s="44">
        <f t="shared" si="3"/>
        <v>0</v>
      </c>
      <c r="K11" s="44">
        <f t="shared" si="4"/>
        <v>44000</v>
      </c>
      <c r="L11" s="19">
        <f t="shared" si="5"/>
        <v>0</v>
      </c>
      <c r="N11" s="25"/>
      <c r="O11" s="26"/>
      <c r="P11" s="50"/>
      <c r="Q11" s="50"/>
      <c r="R11" s="50"/>
      <c r="S11" s="50"/>
      <c r="T11" s="50"/>
      <c r="U11" s="50"/>
      <c r="V11" s="50"/>
      <c r="W11" s="50"/>
      <c r="X11" s="50"/>
      <c r="Y11" s="6"/>
    </row>
    <row r="12" spans="1:25" x14ac:dyDescent="0.4">
      <c r="A12" s="4">
        <f t="shared" si="0"/>
        <v>202501</v>
      </c>
      <c r="B12" s="4">
        <f t="shared" si="6"/>
        <v>10</v>
      </c>
      <c r="C12" s="5" t="s">
        <v>19</v>
      </c>
      <c r="D12" s="4"/>
      <c r="E12" s="18">
        <f>SUMIFS('수입&amp;예산'!$G$15:$G$27,'수입&amp;예산'!$A$15:$A$27,C12)*10000</f>
        <v>350000</v>
      </c>
      <c r="F12" s="18">
        <v>0</v>
      </c>
      <c r="G12" s="18">
        <f t="shared" si="1"/>
        <v>350000</v>
      </c>
      <c r="H12" s="41">
        <f t="shared" ca="1" si="2"/>
        <v>0</v>
      </c>
      <c r="I12" s="41">
        <f t="shared" ca="1" si="7"/>
        <v>0</v>
      </c>
      <c r="J12" s="44">
        <f t="shared" ref="J12:J18" si="8">SUMIFS($T$3:$T$233,$P$3:$P$233,"지출",$Q$3:$Q$233,C12)</f>
        <v>0</v>
      </c>
      <c r="K12" s="45">
        <f t="shared" si="4"/>
        <v>350000</v>
      </c>
      <c r="L12" s="19">
        <f t="shared" si="5"/>
        <v>0</v>
      </c>
      <c r="N12" s="25"/>
      <c r="O12" s="26"/>
      <c r="P12" s="50"/>
      <c r="Q12" s="50"/>
      <c r="R12" s="50"/>
      <c r="S12" s="50"/>
      <c r="T12" s="50"/>
      <c r="U12" s="50"/>
      <c r="V12" s="50"/>
      <c r="W12" s="50"/>
      <c r="X12" s="50"/>
      <c r="Y12" s="6"/>
    </row>
    <row r="13" spans="1:25" x14ac:dyDescent="0.4">
      <c r="A13" s="4">
        <f t="shared" si="0"/>
        <v>202501</v>
      </c>
      <c r="B13" s="4">
        <f t="shared" si="6"/>
        <v>11</v>
      </c>
      <c r="C13" s="4" t="s">
        <v>955</v>
      </c>
      <c r="D13" s="4"/>
      <c r="E13" s="18">
        <f>SUMIFS('수입&amp;예산'!$G$15:$G$27,'수입&amp;예산'!$A$15:$A$27,C13)*10000</f>
        <v>0</v>
      </c>
      <c r="F13" s="18">
        <f>-J13</f>
        <v>0</v>
      </c>
      <c r="G13" s="18">
        <f t="shared" si="1"/>
        <v>0</v>
      </c>
      <c r="H13" s="41">
        <f t="shared" ca="1" si="2"/>
        <v>0</v>
      </c>
      <c r="I13" s="41">
        <f t="shared" ca="1" si="7"/>
        <v>0</v>
      </c>
      <c r="J13" s="44">
        <f t="shared" si="8"/>
        <v>0</v>
      </c>
      <c r="K13" s="44">
        <f t="shared" si="4"/>
        <v>0</v>
      </c>
      <c r="L13" s="19">
        <f t="shared" si="5"/>
        <v>0</v>
      </c>
      <c r="N13" s="25"/>
      <c r="O13" s="26"/>
      <c r="P13" s="50"/>
      <c r="Q13" s="50"/>
      <c r="R13" s="50"/>
      <c r="S13" s="50"/>
      <c r="T13" s="50"/>
      <c r="U13" s="50"/>
      <c r="V13" s="50"/>
      <c r="W13" s="50"/>
      <c r="X13" s="50"/>
      <c r="Y13" s="6"/>
    </row>
    <row r="14" spans="1:25" x14ac:dyDescent="0.4">
      <c r="A14" s="4">
        <f t="shared" si="0"/>
        <v>202501</v>
      </c>
      <c r="B14" s="4">
        <f t="shared" si="6"/>
        <v>12</v>
      </c>
      <c r="C14" s="4" t="s">
        <v>954</v>
      </c>
      <c r="D14" s="4"/>
      <c r="E14" s="18">
        <f>SUMIFS('수입&amp;예산'!$G$15:$G$27,'수입&amp;예산'!$A$15:$A$27,C14)*10000</f>
        <v>0</v>
      </c>
      <c r="F14" s="18">
        <f>-J14</f>
        <v>0</v>
      </c>
      <c r="G14" s="18">
        <f t="shared" si="1"/>
        <v>0</v>
      </c>
      <c r="H14" s="41">
        <f ca="1">INDIRECT($J$1&amp;"!J"&amp;ROW())</f>
        <v>0</v>
      </c>
      <c r="I14" s="41">
        <f t="shared" ca="1" si="7"/>
        <v>0</v>
      </c>
      <c r="J14" s="44">
        <f t="shared" si="8"/>
        <v>0</v>
      </c>
      <c r="K14" s="44">
        <f t="shared" si="4"/>
        <v>0</v>
      </c>
      <c r="L14" s="19">
        <f t="shared" si="5"/>
        <v>0</v>
      </c>
      <c r="N14" s="25"/>
      <c r="O14" s="26"/>
      <c r="P14" s="50"/>
      <c r="Q14" s="50"/>
      <c r="R14" s="50"/>
      <c r="S14" s="50"/>
      <c r="T14" s="50"/>
      <c r="U14" s="50"/>
      <c r="V14" s="50"/>
      <c r="W14" s="50"/>
      <c r="X14" s="50"/>
      <c r="Y14" s="6"/>
    </row>
    <row r="15" spans="1:25" x14ac:dyDescent="0.4">
      <c r="A15" s="4">
        <f t="shared" si="0"/>
        <v>202501</v>
      </c>
      <c r="B15" s="4">
        <f t="shared" si="6"/>
        <v>13</v>
      </c>
      <c r="C15" s="4" t="s">
        <v>1</v>
      </c>
      <c r="D15" s="4"/>
      <c r="E15" s="18">
        <f>SUMIFS('수입&amp;예산'!$G$15:$G$27,'수입&amp;예산'!A15:A27,C15,'수입&amp;예산'!$H$15:$H$27,L1)*10000</f>
        <v>0</v>
      </c>
      <c r="F15" s="18">
        <v>0</v>
      </c>
      <c r="G15" s="18">
        <f t="shared" si="1"/>
        <v>0</v>
      </c>
      <c r="H15" s="41">
        <f t="shared" ca="1" si="2"/>
        <v>0</v>
      </c>
      <c r="I15" s="41">
        <f t="shared" ca="1" si="7"/>
        <v>0</v>
      </c>
      <c r="J15" s="44">
        <f t="shared" si="8"/>
        <v>0</v>
      </c>
      <c r="K15" s="44">
        <f t="shared" si="4"/>
        <v>0</v>
      </c>
      <c r="L15" s="19">
        <f t="shared" si="5"/>
        <v>0</v>
      </c>
      <c r="N15" s="25"/>
      <c r="O15" s="26"/>
      <c r="P15" s="50"/>
      <c r="Q15" s="50"/>
      <c r="R15" s="50"/>
      <c r="S15" s="50"/>
      <c r="T15" s="50"/>
      <c r="U15" s="50"/>
      <c r="V15" s="50"/>
      <c r="W15" s="50"/>
      <c r="X15" s="50"/>
      <c r="Y15" s="6"/>
    </row>
    <row r="16" spans="1:25" x14ac:dyDescent="0.4">
      <c r="A16" s="4">
        <f t="shared" si="0"/>
        <v>202501</v>
      </c>
      <c r="B16" s="4">
        <f t="shared" si="6"/>
        <v>14</v>
      </c>
      <c r="C16" s="4" t="s">
        <v>2</v>
      </c>
      <c r="D16" s="4"/>
      <c r="E16" s="18">
        <f>SUMIFS('수입&amp;예산'!$G$15:$G$27,'수입&amp;예산'!A16:A28,C16,'수입&amp;예산'!$H$15:$H$27,L2)*10000</f>
        <v>0</v>
      </c>
      <c r="F16" s="18">
        <v>0</v>
      </c>
      <c r="G16" s="18">
        <f t="shared" si="1"/>
        <v>0</v>
      </c>
      <c r="H16" s="41">
        <f t="shared" ca="1" si="2"/>
        <v>0</v>
      </c>
      <c r="I16" s="41">
        <f t="shared" ca="1" si="7"/>
        <v>0</v>
      </c>
      <c r="J16" s="44">
        <f t="shared" si="8"/>
        <v>0</v>
      </c>
      <c r="K16" s="44">
        <f t="shared" si="4"/>
        <v>0</v>
      </c>
      <c r="L16" s="19">
        <f t="shared" si="5"/>
        <v>0</v>
      </c>
      <c r="N16" s="25"/>
      <c r="O16" s="26"/>
      <c r="P16" s="50"/>
      <c r="Q16" s="50"/>
      <c r="R16" s="50"/>
      <c r="S16" s="50"/>
      <c r="T16" s="50"/>
      <c r="U16" s="50"/>
      <c r="V16" s="50"/>
      <c r="W16" s="50"/>
      <c r="X16" s="50"/>
      <c r="Y16" s="6"/>
    </row>
    <row r="17" spans="1:25" x14ac:dyDescent="0.4">
      <c r="A17" s="4">
        <f t="shared" si="0"/>
        <v>202501</v>
      </c>
      <c r="B17" s="4">
        <f t="shared" si="6"/>
        <v>15</v>
      </c>
      <c r="C17" s="4" t="s">
        <v>20</v>
      </c>
      <c r="D17" s="4"/>
      <c r="E17" s="18">
        <f>SUMIFS('수입&amp;예산'!$G$15:$G$27,'수입&amp;예산'!A16:A28,C17,'수입&amp;예산'!$H$15:$H$27,L2)*10000</f>
        <v>0</v>
      </c>
      <c r="F17" s="18">
        <v>0</v>
      </c>
      <c r="G17" s="18">
        <f t="shared" si="1"/>
        <v>0</v>
      </c>
      <c r="H17" s="41">
        <f t="shared" ca="1" si="2"/>
        <v>0</v>
      </c>
      <c r="I17" s="41">
        <f t="shared" ca="1" si="7"/>
        <v>0</v>
      </c>
      <c r="J17" s="44">
        <f t="shared" si="8"/>
        <v>0</v>
      </c>
      <c r="K17" s="44">
        <f t="shared" si="4"/>
        <v>0</v>
      </c>
      <c r="L17" s="19">
        <f t="shared" si="5"/>
        <v>0</v>
      </c>
      <c r="N17" s="25"/>
      <c r="O17" s="26"/>
      <c r="P17" s="50"/>
      <c r="Q17" s="50"/>
      <c r="R17" s="50"/>
      <c r="S17" s="50"/>
      <c r="T17" s="50"/>
      <c r="U17" s="50"/>
      <c r="V17" s="50"/>
      <c r="W17" s="50"/>
      <c r="X17" s="50"/>
      <c r="Y17" s="6"/>
    </row>
    <row r="18" spans="1:25" x14ac:dyDescent="0.4">
      <c r="A18" s="4">
        <f t="shared" si="0"/>
        <v>202501</v>
      </c>
      <c r="B18" s="4">
        <f t="shared" si="6"/>
        <v>16</v>
      </c>
      <c r="C18" s="4" t="s">
        <v>5</v>
      </c>
      <c r="D18" s="4"/>
      <c r="E18" s="18">
        <f>SUMIFS('수입&amp;예산'!$G$15:$G$27,'수입&amp;예산'!$A$15:$A$27,C18)*10000</f>
        <v>350000</v>
      </c>
      <c r="F18" s="18">
        <f>-J18</f>
        <v>0</v>
      </c>
      <c r="G18" s="18">
        <f t="shared" si="1"/>
        <v>350000</v>
      </c>
      <c r="H18" s="41">
        <f t="shared" ca="1" si="2"/>
        <v>0</v>
      </c>
      <c r="I18" s="41">
        <f t="shared" ca="1" si="7"/>
        <v>0</v>
      </c>
      <c r="J18" s="44">
        <f t="shared" si="8"/>
        <v>0</v>
      </c>
      <c r="K18" s="44">
        <f t="shared" si="4"/>
        <v>350000</v>
      </c>
      <c r="L18" s="19">
        <f t="shared" si="5"/>
        <v>0</v>
      </c>
      <c r="N18" s="25"/>
      <c r="O18" s="26"/>
      <c r="P18" s="50"/>
      <c r="Q18" s="50"/>
      <c r="R18" s="50"/>
      <c r="S18" s="50"/>
      <c r="T18" s="50"/>
      <c r="U18" s="50"/>
      <c r="V18" s="50"/>
      <c r="W18" s="50"/>
      <c r="X18" s="50"/>
      <c r="Y18" s="6"/>
    </row>
    <row r="19" spans="1:25" x14ac:dyDescent="0.4">
      <c r="A19" s="131" t="s">
        <v>14</v>
      </c>
      <c r="B19" s="131"/>
      <c r="C19" s="131"/>
      <c r="D19" s="131"/>
      <c r="E19" s="20">
        <f t="shared" ref="E19:K19" si="9">SUM(E3:E17)</f>
        <v>2431000</v>
      </c>
      <c r="F19" s="20">
        <f t="shared" si="9"/>
        <v>0</v>
      </c>
      <c r="G19" s="20">
        <f t="shared" si="9"/>
        <v>2431000</v>
      </c>
      <c r="H19" s="42">
        <f t="shared" ca="1" si="9"/>
        <v>-895849</v>
      </c>
      <c r="I19" s="42">
        <f t="shared" ca="1" si="9"/>
        <v>0</v>
      </c>
      <c r="J19" s="45">
        <f t="shared" si="9"/>
        <v>-895849</v>
      </c>
      <c r="K19" s="45">
        <f t="shared" si="9"/>
        <v>1535151</v>
      </c>
      <c r="L19" s="21">
        <f>IF(G19=0,0,-J19/G19)</f>
        <v>0.36851048951048954</v>
      </c>
      <c r="N19" s="25"/>
      <c r="O19" s="26"/>
      <c r="P19" s="50"/>
      <c r="Q19" s="50"/>
      <c r="R19" s="50"/>
      <c r="S19" s="50"/>
      <c r="T19" s="50"/>
      <c r="U19" s="50"/>
      <c r="V19" s="50"/>
      <c r="W19" s="50"/>
      <c r="X19" s="50"/>
      <c r="Y19" s="6"/>
    </row>
    <row r="20" spans="1:25" x14ac:dyDescent="0.4">
      <c r="I20" s="132" t="s">
        <v>920</v>
      </c>
      <c r="J20" s="132"/>
      <c r="K20" s="17">
        <f>E19+J19</f>
        <v>1535151</v>
      </c>
      <c r="L20" s="22">
        <f>IF(E19=0,0,-J19/E19)</f>
        <v>0.36851048951048954</v>
      </c>
      <c r="N20" s="25"/>
      <c r="O20" s="26"/>
      <c r="P20" s="50"/>
      <c r="Q20" s="50"/>
      <c r="R20" s="50"/>
      <c r="S20" s="50"/>
      <c r="T20" s="50"/>
      <c r="U20" s="50"/>
      <c r="V20" s="50"/>
      <c r="W20" s="50"/>
      <c r="X20" s="50"/>
      <c r="Y20" s="6"/>
    </row>
    <row r="21" spans="1:25" x14ac:dyDescent="0.4">
      <c r="N21" s="25"/>
      <c r="O21" s="26"/>
      <c r="P21" s="50"/>
      <c r="Q21" s="50"/>
      <c r="R21" s="50"/>
      <c r="S21" s="50"/>
      <c r="T21" s="50"/>
      <c r="U21" s="50"/>
      <c r="V21" s="50"/>
      <c r="W21" s="50"/>
      <c r="X21" s="50"/>
      <c r="Y21" s="6"/>
    </row>
    <row r="22" spans="1:25" x14ac:dyDescent="0.4">
      <c r="A22" s="27" t="s">
        <v>979</v>
      </c>
      <c r="C22" s="32" t="s">
        <v>22</v>
      </c>
      <c r="D22" s="32" t="s">
        <v>23</v>
      </c>
      <c r="E22" s="32" t="s">
        <v>961</v>
      </c>
      <c r="N22" s="25"/>
      <c r="O22" s="26"/>
      <c r="P22" s="50"/>
      <c r="Q22" s="50"/>
      <c r="R22" s="50"/>
      <c r="S22" s="50"/>
      <c r="T22" s="50"/>
      <c r="U22" s="50"/>
      <c r="V22" s="50"/>
      <c r="W22" s="50"/>
      <c r="X22" s="50"/>
      <c r="Y22" s="6"/>
    </row>
    <row r="23" spans="1:25" x14ac:dyDescent="0.4">
      <c r="C23" s="4" t="s">
        <v>19</v>
      </c>
      <c r="D23" s="4" t="s">
        <v>939</v>
      </c>
      <c r="E23" s="23">
        <f>SUMIFS($T$3:$T$233,$P$3:$P$233,"지출",$Q$3:$Q$233,C23,$R$3:$R$233,D23)</f>
        <v>0</v>
      </c>
      <c r="N23" s="25"/>
      <c r="O23" s="26"/>
      <c r="P23" s="50"/>
      <c r="Q23" s="50"/>
      <c r="R23" s="50"/>
      <c r="S23" s="50"/>
      <c r="T23" s="50"/>
      <c r="U23" s="50"/>
      <c r="V23" s="50"/>
      <c r="W23" s="50"/>
      <c r="X23" s="50"/>
      <c r="Y23" s="6"/>
    </row>
    <row r="24" spans="1:25" x14ac:dyDescent="0.4">
      <c r="C24" s="4" t="s">
        <v>19</v>
      </c>
      <c r="D24" s="4" t="s">
        <v>938</v>
      </c>
      <c r="E24" s="23">
        <f>SUMIFS($T$3:$T$233,$P$3:$P$233,"지출",$Q$3:$Q$233,C24,$R$3:$R$233,D24)</f>
        <v>0</v>
      </c>
      <c r="N24" s="25"/>
      <c r="O24" s="26"/>
      <c r="P24" s="50"/>
      <c r="Q24" s="50"/>
      <c r="R24" s="50"/>
      <c r="S24" s="50"/>
      <c r="T24" s="50"/>
      <c r="U24" s="50"/>
      <c r="V24" s="50"/>
      <c r="W24" s="50"/>
      <c r="X24" s="50"/>
      <c r="Y24" s="4"/>
    </row>
    <row r="25" spans="1:25" x14ac:dyDescent="0.4">
      <c r="C25" s="4" t="s">
        <v>19</v>
      </c>
      <c r="D25" s="4" t="s">
        <v>944</v>
      </c>
      <c r="E25" s="23">
        <f>SUMIFS($T$3:$T$233,$P$3:$P$233,"지출",$Q$3:$Q$233,C25,$R$3:$R$233,D25)</f>
        <v>0</v>
      </c>
      <c r="N25" s="25"/>
      <c r="O25" s="26"/>
      <c r="P25" s="50"/>
      <c r="Q25" s="50"/>
      <c r="R25" s="50"/>
      <c r="S25" s="50"/>
      <c r="T25" s="50"/>
      <c r="U25" s="50"/>
      <c r="V25" s="50"/>
      <c r="W25" s="50"/>
      <c r="X25" s="50"/>
      <c r="Y25" s="6"/>
    </row>
    <row r="26" spans="1:25" x14ac:dyDescent="0.4">
      <c r="C26" s="4" t="s">
        <v>19</v>
      </c>
      <c r="D26" s="4" t="s">
        <v>5</v>
      </c>
      <c r="E26" s="23">
        <f>SUMIFS($T$3:$T$233,$P$3:$P$233,"지출",$Q$3:$Q$233,C26,$R$3:$R$233,D26)</f>
        <v>0</v>
      </c>
      <c r="N26" s="25"/>
      <c r="O26" s="26"/>
      <c r="P26" s="50"/>
      <c r="Q26" s="50"/>
      <c r="R26" s="50"/>
      <c r="S26" s="50"/>
      <c r="T26" s="50"/>
      <c r="U26" s="50"/>
      <c r="V26" s="50"/>
      <c r="W26" s="50"/>
      <c r="X26" s="50"/>
      <c r="Y26" s="6"/>
    </row>
    <row r="27" spans="1:25" x14ac:dyDescent="0.4">
      <c r="C27" s="92" t="s">
        <v>959</v>
      </c>
      <c r="D27" s="68"/>
      <c r="E27" s="49">
        <f>SUM(E22:E26)</f>
        <v>0</v>
      </c>
      <c r="N27" s="25"/>
      <c r="O27" s="26"/>
      <c r="P27" s="50"/>
      <c r="Q27" s="50"/>
      <c r="R27" s="50"/>
      <c r="S27" s="50"/>
      <c r="T27" s="50"/>
      <c r="U27" s="50"/>
      <c r="V27" s="50"/>
      <c r="W27" s="50"/>
      <c r="X27" s="50"/>
      <c r="Y27" s="6"/>
    </row>
    <row r="28" spans="1:25" x14ac:dyDescent="0.4">
      <c r="C28" s="4" t="s">
        <v>954</v>
      </c>
      <c r="D28" s="4" t="s">
        <v>951</v>
      </c>
      <c r="E28" s="23">
        <f>SUMIFS($T$3:$T$233,$P$3:$P$233,"지출",$Q$3:$Q$233,C28,$R$3:$R$233,D28)</f>
        <v>0</v>
      </c>
      <c r="N28" s="25"/>
      <c r="O28" s="26"/>
      <c r="P28" s="50"/>
      <c r="Q28" s="50"/>
      <c r="R28" s="50"/>
      <c r="S28" s="50"/>
      <c r="T28" s="50"/>
      <c r="U28" s="50"/>
      <c r="V28" s="50"/>
      <c r="W28" s="50"/>
      <c r="X28" s="50"/>
      <c r="Y28" s="6"/>
    </row>
    <row r="29" spans="1:25" x14ac:dyDescent="0.4">
      <c r="C29" s="4" t="s">
        <v>954</v>
      </c>
      <c r="D29" s="4" t="s">
        <v>957</v>
      </c>
      <c r="E29" s="23">
        <f>SUMIFS($T$3:$T$233,$P$3:$P$233,"지출",$Q$3:$Q$233,C29,$R$3:$R$233,D29)</f>
        <v>0</v>
      </c>
      <c r="N29" s="25"/>
      <c r="O29" s="26"/>
      <c r="P29" s="50"/>
      <c r="Q29" s="50"/>
      <c r="R29" s="50"/>
      <c r="S29" s="50"/>
      <c r="T29" s="50"/>
      <c r="U29" s="50"/>
      <c r="V29" s="50"/>
      <c r="W29" s="50"/>
      <c r="X29" s="50"/>
      <c r="Y29" s="6"/>
    </row>
    <row r="30" spans="1:25" x14ac:dyDescent="0.4">
      <c r="C30" s="4" t="s">
        <v>954</v>
      </c>
      <c r="D30" s="4" t="s">
        <v>5</v>
      </c>
      <c r="E30" s="23">
        <f>SUMIFS($T$3:$T$233,$P$3:$P$233,"지출",$Q$3:$Q$233,C30,$R$3:$R$233,D30)</f>
        <v>0</v>
      </c>
      <c r="N30" s="25"/>
      <c r="O30" s="26"/>
      <c r="P30" s="50"/>
      <c r="Q30" s="50"/>
      <c r="R30" s="50"/>
      <c r="S30" s="50"/>
      <c r="T30" s="50"/>
      <c r="U30" s="50"/>
      <c r="V30" s="50"/>
      <c r="W30" s="50"/>
      <c r="X30" s="50"/>
      <c r="Y30" s="6"/>
    </row>
    <row r="31" spans="1:25" x14ac:dyDescent="0.4">
      <c r="C31" s="92" t="s">
        <v>960</v>
      </c>
      <c r="D31" s="68"/>
      <c r="E31" s="49">
        <f>SUM(E28:E30)</f>
        <v>0</v>
      </c>
      <c r="N31" s="25"/>
      <c r="O31" s="26"/>
      <c r="P31" s="50"/>
      <c r="Q31" s="50"/>
      <c r="R31" s="50"/>
      <c r="S31" s="50"/>
      <c r="T31" s="50"/>
      <c r="U31" s="50"/>
      <c r="V31" s="50"/>
      <c r="W31" s="50"/>
      <c r="X31" s="50"/>
      <c r="Y31" s="6"/>
    </row>
    <row r="32" spans="1:25" x14ac:dyDescent="0.4">
      <c r="C32" s="4" t="s">
        <v>5</v>
      </c>
      <c r="D32" s="4" t="s">
        <v>913</v>
      </c>
      <c r="E32" s="23">
        <f t="shared" ref="E32:E39" si="10">SUMIFS($T$3:$T$233,$P$3:$P$233,"지출",$Q$3:$Q$233,C32,$R$3:$R$233,D32)</f>
        <v>0</v>
      </c>
      <c r="N32" s="25"/>
      <c r="O32" s="26"/>
      <c r="P32" s="50"/>
      <c r="Q32" s="50"/>
      <c r="R32" s="50"/>
      <c r="S32" s="50"/>
      <c r="T32" s="50"/>
      <c r="U32" s="50"/>
      <c r="V32" s="50"/>
      <c r="W32" s="50"/>
      <c r="X32" s="50"/>
      <c r="Y32" s="6"/>
    </row>
    <row r="33" spans="3:25" x14ac:dyDescent="0.4">
      <c r="C33" s="4" t="s">
        <v>5</v>
      </c>
      <c r="D33" s="4" t="s">
        <v>925</v>
      </c>
      <c r="E33" s="23">
        <f t="shared" si="10"/>
        <v>0</v>
      </c>
      <c r="N33" s="25"/>
      <c r="O33" s="26"/>
      <c r="P33" s="50"/>
      <c r="Q33" s="50"/>
      <c r="R33" s="50"/>
      <c r="S33" s="50"/>
      <c r="T33" s="50"/>
      <c r="U33" s="50"/>
      <c r="V33" s="50"/>
      <c r="W33" s="50"/>
      <c r="X33" s="50"/>
      <c r="Y33" s="6"/>
    </row>
    <row r="34" spans="3:25" x14ac:dyDescent="0.4">
      <c r="C34" s="4" t="s">
        <v>5</v>
      </c>
      <c r="D34" s="4" t="s">
        <v>958</v>
      </c>
      <c r="E34" s="23">
        <f t="shared" si="10"/>
        <v>0</v>
      </c>
      <c r="N34" s="25"/>
      <c r="O34" s="26"/>
      <c r="P34" s="50"/>
      <c r="Q34" s="50"/>
      <c r="R34" s="50"/>
      <c r="S34" s="50"/>
      <c r="T34" s="50"/>
      <c r="U34" s="50"/>
      <c r="V34" s="50"/>
      <c r="W34" s="50"/>
      <c r="X34" s="50"/>
      <c r="Y34" s="6"/>
    </row>
    <row r="35" spans="3:25" x14ac:dyDescent="0.4">
      <c r="C35" s="4" t="s">
        <v>5</v>
      </c>
      <c r="D35" s="4" t="s">
        <v>953</v>
      </c>
      <c r="E35" s="23">
        <f t="shared" si="10"/>
        <v>0</v>
      </c>
      <c r="N35" s="25"/>
      <c r="O35" s="26"/>
      <c r="P35" s="50"/>
      <c r="Q35" s="50"/>
      <c r="R35" s="50"/>
      <c r="S35" s="50"/>
      <c r="T35" s="50"/>
      <c r="U35" s="50"/>
      <c r="V35" s="50"/>
      <c r="W35" s="50"/>
      <c r="X35" s="50"/>
      <c r="Y35" s="6"/>
    </row>
    <row r="36" spans="3:25" x14ac:dyDescent="0.4">
      <c r="C36" s="4" t="s">
        <v>5</v>
      </c>
      <c r="D36" s="95" t="s">
        <v>1009</v>
      </c>
      <c r="E36" s="23">
        <f t="shared" si="10"/>
        <v>0</v>
      </c>
      <c r="N36" s="25"/>
      <c r="O36" s="26"/>
      <c r="P36" s="50"/>
      <c r="Q36" s="50"/>
      <c r="R36" s="50"/>
      <c r="S36" s="50"/>
      <c r="T36" s="50"/>
      <c r="U36" s="50"/>
      <c r="V36" s="50"/>
      <c r="W36" s="50"/>
      <c r="X36" s="50"/>
      <c r="Y36" s="6"/>
    </row>
    <row r="37" spans="3:25" x14ac:dyDescent="0.4">
      <c r="C37" s="4" t="s">
        <v>5</v>
      </c>
      <c r="D37" s="95" t="s">
        <v>5</v>
      </c>
      <c r="E37" s="23">
        <f t="shared" si="10"/>
        <v>0</v>
      </c>
      <c r="N37" s="25"/>
      <c r="O37" s="26"/>
      <c r="P37" s="50"/>
      <c r="Q37" s="50"/>
      <c r="R37" s="50"/>
      <c r="S37" s="50"/>
      <c r="T37" s="50"/>
      <c r="U37" s="50"/>
      <c r="V37" s="50"/>
      <c r="W37" s="50"/>
      <c r="X37" s="50"/>
      <c r="Y37" s="6"/>
    </row>
    <row r="38" spans="3:25" x14ac:dyDescent="0.4">
      <c r="C38" s="4" t="s">
        <v>5</v>
      </c>
      <c r="D38" s="95" t="s">
        <v>1011</v>
      </c>
      <c r="E38" s="23">
        <f t="shared" si="10"/>
        <v>0</v>
      </c>
      <c r="N38" s="25"/>
      <c r="O38" s="26"/>
      <c r="P38" s="50"/>
      <c r="Q38" s="50"/>
      <c r="R38" s="50"/>
      <c r="S38" s="50"/>
      <c r="T38" s="50"/>
      <c r="U38" s="50"/>
      <c r="V38" s="50"/>
      <c r="W38" s="50"/>
      <c r="X38" s="50"/>
      <c r="Y38" s="6"/>
    </row>
    <row r="39" spans="3:25" x14ac:dyDescent="0.4">
      <c r="C39" s="4" t="s">
        <v>5</v>
      </c>
      <c r="D39" s="95" t="s">
        <v>1012</v>
      </c>
      <c r="E39" s="23">
        <f t="shared" si="10"/>
        <v>0</v>
      </c>
      <c r="N39" s="25"/>
      <c r="O39" s="26"/>
      <c r="P39" s="50"/>
      <c r="Q39" s="50"/>
      <c r="R39" s="50"/>
      <c r="S39" s="50"/>
      <c r="T39" s="50"/>
      <c r="U39" s="50"/>
      <c r="V39" s="50"/>
      <c r="W39" s="50"/>
      <c r="X39" s="50"/>
      <c r="Y39" s="6"/>
    </row>
    <row r="40" spans="3:25" x14ac:dyDescent="0.4">
      <c r="C40" s="94" t="s">
        <v>962</v>
      </c>
      <c r="D40" s="93"/>
      <c r="E40" s="20">
        <f>SUM(E32:E35)</f>
        <v>0</v>
      </c>
      <c r="N40" s="25"/>
      <c r="O40" s="26"/>
      <c r="P40" s="50"/>
      <c r="Q40" s="50"/>
      <c r="R40" s="50"/>
      <c r="S40" s="50"/>
      <c r="T40" s="50"/>
      <c r="U40" s="50"/>
      <c r="V40" s="50"/>
      <c r="W40" s="50"/>
      <c r="X40" s="50"/>
      <c r="Y40" s="6"/>
    </row>
    <row r="41" spans="3:25" x14ac:dyDescent="0.4">
      <c r="C41" s="4" t="s">
        <v>1</v>
      </c>
      <c r="D41" s="95" t="s">
        <v>1013</v>
      </c>
      <c r="E41" s="23">
        <f>SUMIFS($T$3:$T$233,$P$3:$P$233,"지출",$Q$3:$Q$233,C41,$R$3:$R$233,D41)</f>
        <v>0</v>
      </c>
      <c r="N41" s="25"/>
      <c r="O41" s="26"/>
      <c r="P41" s="50"/>
      <c r="Q41" s="50"/>
      <c r="R41" s="50"/>
      <c r="S41" s="50"/>
      <c r="T41" s="50"/>
      <c r="U41" s="50"/>
      <c r="V41" s="50"/>
      <c r="W41" s="50"/>
      <c r="X41" s="50"/>
      <c r="Y41" s="6"/>
    </row>
    <row r="42" spans="3:25" x14ac:dyDescent="0.4">
      <c r="C42" s="4" t="s">
        <v>1</v>
      </c>
      <c r="D42" s="95" t="s">
        <v>954</v>
      </c>
      <c r="E42" s="23">
        <f>SUMIFS($T$3:$T$233,$P$3:$P$233,"지출",$Q$3:$Q$233,C42,$R$3:$R$233,D42)</f>
        <v>0</v>
      </c>
      <c r="N42" s="25"/>
      <c r="O42" s="26"/>
      <c r="P42" s="50"/>
      <c r="Q42" s="50"/>
      <c r="R42" s="50"/>
      <c r="S42" s="50"/>
      <c r="T42" s="50"/>
      <c r="U42" s="50"/>
      <c r="V42" s="50"/>
      <c r="W42" s="50"/>
      <c r="X42" s="50"/>
      <c r="Y42" s="6"/>
    </row>
    <row r="43" spans="3:25" x14ac:dyDescent="0.4">
      <c r="C43" s="4" t="s">
        <v>1</v>
      </c>
      <c r="D43" s="95" t="s">
        <v>1015</v>
      </c>
      <c r="E43" s="23">
        <f>SUMIFS($T$3:$T$233,$P$3:$P$233,"지출",$Q$3:$Q$233,C43,$R$3:$R$233,D43)</f>
        <v>0</v>
      </c>
      <c r="N43" s="25"/>
      <c r="O43" s="26"/>
      <c r="P43" s="50"/>
      <c r="Q43" s="50"/>
      <c r="R43" s="50"/>
      <c r="S43" s="50"/>
      <c r="T43" s="50"/>
      <c r="U43" s="50"/>
      <c r="V43" s="50"/>
      <c r="W43" s="50"/>
      <c r="X43" s="50"/>
      <c r="Y43" s="6"/>
    </row>
    <row r="44" spans="3:25" x14ac:dyDescent="0.4">
      <c r="C44" s="4" t="s">
        <v>1</v>
      </c>
      <c r="D44" s="95" t="s">
        <v>5</v>
      </c>
      <c r="E44" s="23">
        <f>SUMIFS($T$3:$T$233,$P$3:$P$233,"지출",$Q$3:$Q$233,C44,$R$3:$R$233,D44)</f>
        <v>0</v>
      </c>
      <c r="N44" s="25"/>
      <c r="O44" s="26"/>
      <c r="P44" s="50"/>
      <c r="Q44" s="50"/>
      <c r="R44" s="50"/>
      <c r="S44" s="50"/>
      <c r="T44" s="50"/>
      <c r="U44" s="50"/>
      <c r="V44" s="50"/>
      <c r="W44" s="50"/>
      <c r="X44" s="50"/>
      <c r="Y44" s="6"/>
    </row>
    <row r="45" spans="3:25" x14ac:dyDescent="0.4">
      <c r="C45" s="94" t="s">
        <v>1016</v>
      </c>
      <c r="D45" s="93"/>
      <c r="E45" s="20">
        <f>SUM(E37:E40)</f>
        <v>0</v>
      </c>
      <c r="N45" s="25"/>
      <c r="O45" s="26"/>
      <c r="P45" s="50"/>
      <c r="Q45" s="50"/>
      <c r="R45" s="50"/>
      <c r="S45" s="50"/>
      <c r="T45" s="50"/>
      <c r="U45" s="50"/>
      <c r="V45" s="50"/>
      <c r="W45" s="50"/>
      <c r="X45" s="50"/>
      <c r="Y45" s="6"/>
    </row>
    <row r="46" spans="3:25" x14ac:dyDescent="0.4">
      <c r="C46" s="4" t="s">
        <v>2</v>
      </c>
      <c r="D46" s="95" t="s">
        <v>1013</v>
      </c>
      <c r="E46" s="23">
        <f>SUMIFS($T$3:$T$233,$P$3:$P$233,"지출",$Q$3:$Q$233,C46,$R$3:$R$233,D46)</f>
        <v>0</v>
      </c>
      <c r="N46" s="25"/>
      <c r="O46" s="26"/>
      <c r="P46" s="50"/>
      <c r="Q46" s="50"/>
      <c r="R46" s="50"/>
      <c r="S46" s="50"/>
      <c r="T46" s="50"/>
      <c r="U46" s="50"/>
      <c r="V46" s="50"/>
      <c r="W46" s="50"/>
      <c r="X46" s="50"/>
      <c r="Y46" s="6"/>
    </row>
    <row r="47" spans="3:25" x14ac:dyDescent="0.4">
      <c r="C47" s="4" t="s">
        <v>2</v>
      </c>
      <c r="D47" s="95" t="s">
        <v>954</v>
      </c>
      <c r="E47" s="23">
        <f>SUMIFS($T$3:$T$233,$P$3:$P$233,"지출",$Q$3:$Q$233,C47,$R$3:$R$233,D47)</f>
        <v>0</v>
      </c>
      <c r="N47" s="25"/>
      <c r="O47" s="26"/>
      <c r="P47" s="50"/>
      <c r="Q47" s="50"/>
      <c r="R47" s="50"/>
      <c r="S47" s="50"/>
      <c r="T47" s="50"/>
      <c r="U47" s="50"/>
      <c r="V47" s="50"/>
      <c r="W47" s="50"/>
      <c r="X47" s="50"/>
      <c r="Y47" s="6"/>
    </row>
    <row r="48" spans="3:25" x14ac:dyDescent="0.4">
      <c r="C48" s="4" t="s">
        <v>2</v>
      </c>
      <c r="D48" s="95" t="s">
        <v>1015</v>
      </c>
      <c r="E48" s="23">
        <f>SUMIFS($T$3:$T$233,$P$3:$P$233,"지출",$Q$3:$Q$233,C48,$R$3:$R$233,D48)</f>
        <v>0</v>
      </c>
      <c r="N48" s="25"/>
      <c r="O48" s="26"/>
      <c r="P48" s="50"/>
      <c r="Q48" s="50"/>
      <c r="R48" s="50"/>
      <c r="S48" s="50"/>
      <c r="T48" s="50"/>
      <c r="U48" s="50"/>
      <c r="V48" s="50"/>
      <c r="W48" s="50"/>
      <c r="X48" s="50"/>
      <c r="Y48" s="6"/>
    </row>
    <row r="49" spans="1:25" x14ac:dyDescent="0.4">
      <c r="C49" s="4" t="s">
        <v>2</v>
      </c>
      <c r="D49" s="95" t="s">
        <v>5</v>
      </c>
      <c r="E49" s="23">
        <f>SUMIFS($T$3:$T$233,$P$3:$P$233,"지출",$Q$3:$Q$233,C49,$R$3:$R$233,D49)</f>
        <v>0</v>
      </c>
      <c r="N49" s="25"/>
      <c r="O49" s="26"/>
      <c r="P49" s="50"/>
      <c r="Q49" s="50"/>
      <c r="R49" s="50"/>
      <c r="S49" s="50"/>
      <c r="T49" s="50"/>
      <c r="U49" s="50"/>
      <c r="V49" s="50"/>
      <c r="W49" s="50"/>
      <c r="X49" s="50"/>
      <c r="Y49" s="6"/>
    </row>
    <row r="50" spans="1:25" x14ac:dyDescent="0.4">
      <c r="C50" s="94" t="s">
        <v>1017</v>
      </c>
      <c r="D50" s="93"/>
      <c r="E50" s="20">
        <f>SUM(E42:E45)</f>
        <v>0</v>
      </c>
      <c r="J50" s="53"/>
      <c r="K50" s="54"/>
      <c r="N50" s="25"/>
      <c r="O50" s="26"/>
      <c r="P50" s="50"/>
      <c r="Q50" s="50"/>
      <c r="R50" s="50"/>
      <c r="S50" s="50"/>
      <c r="T50" s="50"/>
      <c r="U50" s="50"/>
      <c r="V50" s="50"/>
      <c r="W50" s="50"/>
      <c r="X50" s="50"/>
      <c r="Y50" s="6"/>
    </row>
    <row r="51" spans="1:25" ht="18" thickBot="1" x14ac:dyDescent="0.45">
      <c r="J51" s="53"/>
      <c r="K51" s="54"/>
      <c r="N51" s="25"/>
      <c r="O51" s="26"/>
      <c r="P51" s="50"/>
      <c r="Q51" s="50"/>
      <c r="R51" s="50"/>
      <c r="S51" s="50"/>
      <c r="T51" s="50"/>
      <c r="U51" s="50"/>
      <c r="V51" s="50"/>
      <c r="W51" s="50"/>
      <c r="X51" s="50"/>
      <c r="Y51" s="6"/>
    </row>
    <row r="52" spans="1:25" ht="18" thickBot="1" x14ac:dyDescent="0.45">
      <c r="A52" s="3" t="s">
        <v>1008</v>
      </c>
      <c r="C52" s="55" t="s">
        <v>966</v>
      </c>
      <c r="D52" s="55"/>
      <c r="E52" s="55"/>
      <c r="F52" s="55"/>
      <c r="H52" s="96" t="s">
        <v>922</v>
      </c>
      <c r="I52" s="29">
        <f ca="1">INDIRECT(J1&amp;"!I53")</f>
        <v>138057062</v>
      </c>
      <c r="N52" s="25"/>
      <c r="O52" s="26"/>
      <c r="P52" s="50"/>
      <c r="Q52" s="50"/>
      <c r="R52" s="50"/>
      <c r="S52" s="50"/>
      <c r="T52" s="50"/>
      <c r="U52" s="50"/>
      <c r="V52" s="50"/>
      <c r="W52" s="50"/>
      <c r="X52" s="50"/>
      <c r="Y52" s="6"/>
    </row>
    <row r="53" spans="1:25" x14ac:dyDescent="0.4">
      <c r="C53" s="55" t="s">
        <v>967</v>
      </c>
      <c r="D53" s="55" t="s">
        <v>968</v>
      </c>
      <c r="E53" s="55" t="s">
        <v>1006</v>
      </c>
      <c r="F53" s="55" t="s">
        <v>917</v>
      </c>
      <c r="H53" s="97" t="s">
        <v>921</v>
      </c>
      <c r="I53" s="29">
        <f>SUM(F54:F71)</f>
        <v>138057062</v>
      </c>
      <c r="N53" s="25"/>
      <c r="O53" s="26"/>
      <c r="P53" s="50"/>
      <c r="Q53" s="50"/>
      <c r="R53" s="50"/>
      <c r="S53" s="50"/>
      <c r="T53" s="50"/>
      <c r="U53" s="50"/>
      <c r="V53" s="50"/>
      <c r="W53" s="50"/>
      <c r="X53" s="50"/>
      <c r="Y53" s="6"/>
    </row>
    <row r="54" spans="1:25" ht="18" thickBot="1" x14ac:dyDescent="0.45">
      <c r="C54" s="79" t="s">
        <v>991</v>
      </c>
      <c r="D54" s="50" t="s">
        <v>993</v>
      </c>
      <c r="E54" s="86"/>
      <c r="F54" s="51">
        <v>2257943</v>
      </c>
      <c r="H54" s="98" t="s">
        <v>907</v>
      </c>
      <c r="I54" s="30">
        <f ca="1">I53-I52</f>
        <v>0</v>
      </c>
      <c r="J54" s="53"/>
      <c r="K54" s="54"/>
      <c r="N54" s="25"/>
      <c r="O54" s="26"/>
      <c r="P54" s="50"/>
      <c r="Q54" s="50"/>
      <c r="R54" s="50"/>
      <c r="S54" s="50"/>
      <c r="T54" s="50"/>
      <c r="U54" s="50"/>
      <c r="V54" s="50"/>
      <c r="W54" s="50"/>
      <c r="X54" s="50"/>
      <c r="Y54" s="6"/>
    </row>
    <row r="55" spans="1:25" x14ac:dyDescent="0.4">
      <c r="C55" s="83"/>
      <c r="D55" s="50" t="s">
        <v>994</v>
      </c>
      <c r="E55" s="86"/>
      <c r="F55" s="51">
        <v>50108414</v>
      </c>
      <c r="H55" s="52"/>
      <c r="I55" s="53"/>
      <c r="J55" s="53"/>
      <c r="K55" s="54"/>
      <c r="N55" s="25"/>
      <c r="O55" s="26"/>
      <c r="P55" s="50"/>
      <c r="Q55" s="50"/>
      <c r="R55" s="50"/>
      <c r="S55" s="50"/>
      <c r="T55" s="50"/>
      <c r="U55" s="50"/>
      <c r="V55" s="50"/>
      <c r="W55" s="50"/>
      <c r="X55" s="50"/>
      <c r="Y55" s="6"/>
    </row>
    <row r="56" spans="1:25" x14ac:dyDescent="0.4">
      <c r="C56" s="83"/>
      <c r="D56" s="84" t="s">
        <v>996</v>
      </c>
      <c r="E56" s="87"/>
      <c r="F56" s="51">
        <v>0</v>
      </c>
      <c r="H56" s="52"/>
      <c r="I56" s="53"/>
      <c r="J56" s="53"/>
      <c r="K56" s="54"/>
      <c r="N56" s="25"/>
      <c r="O56" s="26"/>
      <c r="P56" s="50"/>
      <c r="Q56" s="50"/>
      <c r="R56" s="50"/>
      <c r="S56" s="50"/>
      <c r="T56" s="50"/>
      <c r="U56" s="50"/>
      <c r="V56" s="50"/>
      <c r="W56" s="50"/>
      <c r="X56" s="50"/>
      <c r="Y56" s="6"/>
    </row>
    <row r="57" spans="1:25" x14ac:dyDescent="0.4">
      <c r="C57" s="80"/>
      <c r="D57" s="84" t="s">
        <v>1018</v>
      </c>
      <c r="E57" s="87"/>
      <c r="F57" s="51">
        <v>0</v>
      </c>
      <c r="H57" s="52"/>
      <c r="I57" s="53"/>
      <c r="J57" s="53"/>
      <c r="K57" s="54"/>
      <c r="N57" s="25"/>
      <c r="O57" s="26"/>
      <c r="P57" s="50"/>
      <c r="Q57" s="50"/>
      <c r="R57" s="50"/>
      <c r="S57" s="50"/>
      <c r="T57" s="50"/>
      <c r="U57" s="50"/>
      <c r="V57" s="50"/>
      <c r="W57" s="50"/>
      <c r="X57" s="50"/>
      <c r="Y57" s="6"/>
    </row>
    <row r="58" spans="1:25" x14ac:dyDescent="0.4">
      <c r="C58" s="81" t="s">
        <v>992</v>
      </c>
      <c r="D58" s="85" t="s">
        <v>1005</v>
      </c>
      <c r="E58" s="88"/>
      <c r="F58" s="51">
        <v>6000000</v>
      </c>
      <c r="H58" s="52"/>
      <c r="I58" s="53"/>
      <c r="J58" s="53"/>
      <c r="K58" s="54"/>
      <c r="N58" s="25"/>
      <c r="O58" s="26"/>
      <c r="P58" s="50"/>
      <c r="Q58" s="50"/>
      <c r="R58" s="50"/>
      <c r="S58" s="50"/>
      <c r="T58" s="50"/>
      <c r="U58" s="50"/>
      <c r="V58" s="50"/>
      <c r="W58" s="50"/>
      <c r="X58" s="50"/>
      <c r="Y58" s="6"/>
    </row>
    <row r="59" spans="1:25" x14ac:dyDescent="0.4">
      <c r="C59" s="79" t="s">
        <v>969</v>
      </c>
      <c r="D59" s="50" t="s">
        <v>989</v>
      </c>
      <c r="E59" s="89">
        <v>45676</v>
      </c>
      <c r="F59" s="51">
        <v>136580</v>
      </c>
      <c r="H59" s="52"/>
      <c r="I59" s="53"/>
      <c r="J59" s="53"/>
      <c r="K59" s="54"/>
      <c r="N59" s="25"/>
      <c r="O59" s="26"/>
      <c r="P59" s="50"/>
      <c r="Q59" s="50"/>
      <c r="R59" s="50"/>
      <c r="S59" s="50"/>
      <c r="T59" s="50"/>
      <c r="U59" s="50"/>
      <c r="V59" s="50"/>
      <c r="W59" s="50"/>
      <c r="X59" s="50"/>
      <c r="Y59" s="6"/>
    </row>
    <row r="60" spans="1:25" x14ac:dyDescent="0.4">
      <c r="C60" s="83"/>
      <c r="D60" s="50" t="s">
        <v>990</v>
      </c>
      <c r="E60" s="89">
        <v>45676</v>
      </c>
      <c r="F60" s="51">
        <v>51950</v>
      </c>
      <c r="H60" s="52"/>
      <c r="I60" s="53"/>
      <c r="J60" s="53"/>
      <c r="K60" s="54"/>
      <c r="N60" s="25"/>
      <c r="O60" s="26"/>
      <c r="P60" s="50"/>
      <c r="Q60" s="50"/>
      <c r="R60" s="50"/>
      <c r="S60" s="50"/>
      <c r="T60" s="50"/>
      <c r="U60" s="50"/>
      <c r="V60" s="50"/>
      <c r="W60" s="50"/>
      <c r="X60" s="50"/>
      <c r="Y60" s="6"/>
    </row>
    <row r="61" spans="1:25" x14ac:dyDescent="0.4">
      <c r="C61" s="83"/>
      <c r="D61" s="50" t="s">
        <v>946</v>
      </c>
      <c r="E61" s="89">
        <v>45676</v>
      </c>
      <c r="F61" s="51">
        <v>1000000</v>
      </c>
      <c r="H61" s="52"/>
      <c r="I61" s="53"/>
      <c r="J61" s="53"/>
      <c r="K61" s="54"/>
      <c r="N61" s="25"/>
      <c r="O61" s="26"/>
      <c r="P61" s="50"/>
      <c r="Q61" s="50"/>
      <c r="R61" s="50"/>
      <c r="S61" s="50"/>
      <c r="T61" s="50"/>
      <c r="U61" s="50"/>
      <c r="V61" s="50"/>
      <c r="W61" s="50"/>
      <c r="X61" s="50"/>
      <c r="Y61" s="6"/>
    </row>
    <row r="62" spans="1:25" x14ac:dyDescent="0.4">
      <c r="C62" s="83"/>
      <c r="D62" s="50" t="s">
        <v>995</v>
      </c>
      <c r="E62" s="89">
        <v>45676</v>
      </c>
      <c r="F62" s="51">
        <v>4500000</v>
      </c>
      <c r="H62" s="52"/>
      <c r="I62" s="53"/>
      <c r="J62" s="53"/>
      <c r="K62" s="54"/>
      <c r="N62" s="25"/>
      <c r="O62" s="26"/>
      <c r="P62" s="50"/>
      <c r="Q62" s="50"/>
      <c r="R62" s="50"/>
      <c r="S62" s="50"/>
      <c r="T62" s="50"/>
      <c r="U62" s="50"/>
      <c r="V62" s="50"/>
      <c r="W62" s="50"/>
      <c r="X62" s="50"/>
      <c r="Y62" s="6"/>
    </row>
    <row r="63" spans="1:25" x14ac:dyDescent="0.4">
      <c r="C63" s="80"/>
      <c r="D63" s="50" t="s">
        <v>1004</v>
      </c>
      <c r="E63" s="89">
        <v>45676</v>
      </c>
      <c r="F63" s="51">
        <v>782000</v>
      </c>
      <c r="H63" s="52"/>
      <c r="I63" s="53"/>
      <c r="J63" s="53"/>
      <c r="K63" s="54"/>
      <c r="N63" s="25"/>
      <c r="O63" s="26"/>
      <c r="P63" s="50"/>
      <c r="Q63" s="50"/>
      <c r="R63" s="50"/>
      <c r="S63" s="50"/>
      <c r="T63" s="50"/>
      <c r="U63" s="50"/>
      <c r="V63" s="50"/>
      <c r="W63" s="50"/>
      <c r="X63" s="50"/>
      <c r="Y63" s="6"/>
    </row>
    <row r="64" spans="1:25" x14ac:dyDescent="0.4">
      <c r="C64" s="79" t="s">
        <v>1001</v>
      </c>
      <c r="D64" s="50" t="s">
        <v>997</v>
      </c>
      <c r="E64" s="89">
        <v>45676</v>
      </c>
      <c r="F64" s="51">
        <v>22717000</v>
      </c>
      <c r="H64" s="52"/>
      <c r="I64" s="53"/>
      <c r="J64" s="53"/>
      <c r="K64" s="54"/>
      <c r="N64" s="25"/>
      <c r="O64" s="26"/>
      <c r="P64" s="50"/>
      <c r="Q64" s="50"/>
      <c r="R64" s="50"/>
      <c r="S64" s="50"/>
      <c r="T64" s="50"/>
      <c r="U64" s="50"/>
      <c r="V64" s="50"/>
      <c r="W64" s="50"/>
      <c r="X64" s="50"/>
      <c r="Y64" s="6"/>
    </row>
    <row r="65" spans="1:25" x14ac:dyDescent="0.4">
      <c r="C65" s="83"/>
      <c r="D65" s="85" t="s">
        <v>998</v>
      </c>
      <c r="E65" s="90">
        <v>45676</v>
      </c>
      <c r="F65" s="91">
        <v>34017825</v>
      </c>
      <c r="H65" s="52"/>
      <c r="I65" s="53"/>
      <c r="J65" s="53"/>
      <c r="K65" s="54"/>
      <c r="N65" s="25"/>
      <c r="O65" s="26"/>
      <c r="P65" s="50"/>
      <c r="Q65" s="50"/>
      <c r="R65" s="50"/>
      <c r="S65" s="50"/>
      <c r="T65" s="50"/>
      <c r="U65" s="50"/>
      <c r="V65" s="50"/>
      <c r="W65" s="50"/>
      <c r="X65" s="50"/>
      <c r="Y65" s="6"/>
    </row>
    <row r="66" spans="1:25" x14ac:dyDescent="0.4">
      <c r="C66" s="83"/>
      <c r="D66" s="50" t="s">
        <v>1003</v>
      </c>
      <c r="E66" s="89">
        <v>45676</v>
      </c>
      <c r="F66" s="51">
        <v>12823</v>
      </c>
      <c r="H66" s="52"/>
      <c r="I66" s="53"/>
      <c r="J66" s="53"/>
      <c r="K66" s="54"/>
      <c r="N66" s="25"/>
      <c r="O66" s="26"/>
      <c r="P66" s="50"/>
      <c r="Q66" s="50"/>
      <c r="R66" s="50"/>
      <c r="S66" s="50"/>
      <c r="T66" s="50"/>
      <c r="U66" s="50"/>
      <c r="V66" s="50"/>
      <c r="W66" s="50"/>
      <c r="X66" s="50"/>
      <c r="Y66" s="6"/>
    </row>
    <row r="67" spans="1:25" x14ac:dyDescent="0.4">
      <c r="C67" s="83"/>
      <c r="D67" s="85" t="s">
        <v>998</v>
      </c>
      <c r="E67" s="90">
        <v>45676</v>
      </c>
      <c r="F67" s="91">
        <v>41030</v>
      </c>
      <c r="H67" s="52"/>
      <c r="I67" s="53"/>
      <c r="J67" s="53"/>
      <c r="K67" s="54"/>
      <c r="N67" s="25"/>
      <c r="O67" s="26"/>
      <c r="P67" s="50"/>
      <c r="Q67" s="50"/>
      <c r="R67" s="50"/>
      <c r="S67" s="50"/>
      <c r="T67" s="50"/>
      <c r="U67" s="50"/>
      <c r="V67" s="50"/>
      <c r="W67" s="50"/>
      <c r="X67" s="50"/>
      <c r="Y67" s="6"/>
    </row>
    <row r="68" spans="1:25" x14ac:dyDescent="0.4">
      <c r="C68" s="80"/>
      <c r="D68" s="50" t="s">
        <v>1007</v>
      </c>
      <c r="E68" s="89">
        <v>45676</v>
      </c>
      <c r="F68" s="51">
        <v>1000080</v>
      </c>
      <c r="H68" s="52"/>
      <c r="I68" s="53"/>
      <c r="J68" s="53"/>
      <c r="K68" s="54"/>
      <c r="N68" s="25"/>
      <c r="O68" s="26"/>
      <c r="P68" s="50"/>
      <c r="Q68" s="50"/>
      <c r="R68" s="50"/>
      <c r="S68" s="50"/>
      <c r="T68" s="50"/>
      <c r="U68" s="50"/>
      <c r="V68" s="50"/>
      <c r="W68" s="50"/>
      <c r="X68" s="50"/>
      <c r="Y68" s="6"/>
    </row>
    <row r="69" spans="1:25" x14ac:dyDescent="0.4">
      <c r="C69" s="79" t="s">
        <v>1002</v>
      </c>
      <c r="D69" s="50" t="s">
        <v>999</v>
      </c>
      <c r="E69" s="89">
        <v>45676</v>
      </c>
      <c r="F69" s="51">
        <v>0</v>
      </c>
      <c r="H69" s="52"/>
      <c r="I69" s="53"/>
      <c r="J69" s="53"/>
      <c r="K69" s="54"/>
      <c r="N69" s="25"/>
      <c r="O69" s="26"/>
      <c r="P69" s="50"/>
      <c r="Q69" s="50"/>
      <c r="R69" s="50"/>
      <c r="S69" s="50"/>
      <c r="T69" s="50"/>
      <c r="U69" s="50"/>
      <c r="V69" s="50"/>
      <c r="W69" s="50"/>
      <c r="X69" s="50"/>
      <c r="Y69" s="6"/>
    </row>
    <row r="70" spans="1:25" x14ac:dyDescent="0.4">
      <c r="C70" s="80"/>
      <c r="D70" s="50" t="s">
        <v>1000</v>
      </c>
      <c r="E70" s="89">
        <v>45676</v>
      </c>
      <c r="F70" s="51">
        <v>15431417</v>
      </c>
      <c r="H70" s="52"/>
      <c r="I70" s="53"/>
      <c r="J70" s="53"/>
      <c r="K70" s="54"/>
      <c r="N70" s="25"/>
      <c r="O70" s="26"/>
      <c r="P70" s="50"/>
      <c r="Q70" s="50"/>
      <c r="R70" s="50"/>
      <c r="S70" s="50"/>
      <c r="T70" s="50"/>
      <c r="U70" s="50"/>
      <c r="V70" s="50"/>
      <c r="W70" s="50"/>
      <c r="X70" s="50"/>
      <c r="Y70" s="6"/>
    </row>
    <row r="71" spans="1:25" x14ac:dyDescent="0.4">
      <c r="C71" s="82"/>
      <c r="D71" s="53"/>
      <c r="E71" s="53"/>
      <c r="F71" s="54"/>
      <c r="H71" s="52"/>
      <c r="I71" s="53"/>
      <c r="J71" s="53"/>
      <c r="K71" s="54"/>
      <c r="N71" s="25"/>
      <c r="O71" s="26"/>
      <c r="P71" s="50"/>
      <c r="Q71" s="50"/>
      <c r="R71" s="50"/>
      <c r="S71" s="50"/>
      <c r="T71" s="50"/>
      <c r="U71" s="50"/>
      <c r="V71" s="50"/>
      <c r="W71" s="50"/>
      <c r="X71" s="50"/>
      <c r="Y71" s="6"/>
    </row>
    <row r="72" spans="1:25" x14ac:dyDescent="0.4">
      <c r="A72" s="3" t="s">
        <v>926</v>
      </c>
      <c r="H72" s="52"/>
      <c r="I72" s="53"/>
      <c r="J72" s="53"/>
      <c r="K72" s="54"/>
      <c r="N72" s="25"/>
      <c r="O72" s="26"/>
      <c r="P72" s="50"/>
      <c r="Q72" s="50"/>
      <c r="R72" s="50"/>
      <c r="S72" s="50"/>
      <c r="T72" s="50"/>
      <c r="U72" s="50"/>
      <c r="V72" s="50"/>
      <c r="W72" s="50"/>
      <c r="X72" s="50"/>
      <c r="Y72" s="6"/>
    </row>
    <row r="73" spans="1:25" ht="18" thickBot="1" x14ac:dyDescent="0.45">
      <c r="A73" s="31" t="s">
        <v>900</v>
      </c>
      <c r="B73" s="31" t="s">
        <v>901</v>
      </c>
      <c r="C73" s="61" t="s">
        <v>22</v>
      </c>
      <c r="D73" s="62"/>
      <c r="E73" s="31" t="s">
        <v>977</v>
      </c>
      <c r="F73" s="31" t="s">
        <v>981</v>
      </c>
      <c r="G73" s="31" t="s">
        <v>945</v>
      </c>
      <c r="H73" s="60" t="s">
        <v>0</v>
      </c>
      <c r="I73" s="31" t="s">
        <v>980</v>
      </c>
      <c r="J73" s="53"/>
      <c r="K73" s="54"/>
      <c r="N73" s="25"/>
      <c r="O73" s="26"/>
      <c r="P73" s="50"/>
      <c r="Q73" s="50"/>
      <c r="R73" s="50"/>
      <c r="S73" s="50"/>
      <c r="T73" s="50"/>
      <c r="U73" s="50"/>
      <c r="V73" s="50"/>
      <c r="W73" s="50"/>
      <c r="X73" s="50"/>
      <c r="Y73" s="6"/>
    </row>
    <row r="74" spans="1:25" ht="18" thickTop="1" x14ac:dyDescent="0.4">
      <c r="A74" s="7">
        <f>$L$1</f>
        <v>202501</v>
      </c>
      <c r="B74" s="7">
        <v>1</v>
      </c>
      <c r="C74" s="69" t="s">
        <v>4</v>
      </c>
      <c r="D74" s="70"/>
      <c r="E74" s="23">
        <f>SUMIFS('수입&amp;예산'!$C$4:$C$11,'수입&amp;예산'!$A$4:$A$11,C74,'수입&amp;예산'!$D$4:$D$11,"M")*10000+SUMIFS('수입&amp;예산'!$C$4:$C$11,'수입&amp;예산'!$A$4:$A$11,C74,'수입&amp;예산'!$D$4:$D$11,"Y",'수입&amp;예산'!$E$4:$E$11,$L$1)*10000</f>
        <v>5543000</v>
      </c>
      <c r="F74" s="41">
        <f ca="1">INDIRECT($J$1&amp;"!H"&amp;ROW())</f>
        <v>0</v>
      </c>
      <c r="G74" s="41">
        <f ca="1">H74-F74</f>
        <v>0</v>
      </c>
      <c r="H74" s="58">
        <f>SUMIFS($T$3:$T$233,$P$3:$P$233,"수입",$Q$3:$Q$233,C74)</f>
        <v>0</v>
      </c>
      <c r="I74" s="43">
        <f>H74-E74</f>
        <v>-5543000</v>
      </c>
      <c r="N74" s="25"/>
      <c r="O74" s="26"/>
      <c r="P74" s="50"/>
      <c r="Q74" s="50"/>
      <c r="R74" s="50"/>
      <c r="S74" s="50"/>
      <c r="T74" s="50"/>
      <c r="U74" s="50"/>
      <c r="V74" s="50"/>
      <c r="W74" s="50"/>
      <c r="X74" s="50"/>
      <c r="Y74" s="6"/>
    </row>
    <row r="75" spans="1:25" x14ac:dyDescent="0.4">
      <c r="A75" s="4">
        <f t="shared" ref="A75:A78" si="11">$L$1</f>
        <v>202501</v>
      </c>
      <c r="B75" s="4">
        <f>B74+1</f>
        <v>2</v>
      </c>
      <c r="C75" s="74" t="s">
        <v>975</v>
      </c>
      <c r="D75" s="75"/>
      <c r="E75" s="23">
        <f>SUMIFS('수입&amp;예산'!$C$4:$C$11,'수입&amp;예산'!$A$4:$A$11,C75,'수입&amp;예산'!$D$4:$D$11,"M")*10000+SUMIFS('수입&amp;예산'!$C$4:$C$11,'수입&amp;예산'!$A$4:$A$11,C75,'수입&amp;예산'!$D$4:$D$11,"Y",'수입&amp;예산'!$E$4:$E$11,$L$1)*10000</f>
        <v>19525199</v>
      </c>
      <c r="F75" s="41">
        <f ca="1">INDIRECT($J$1&amp;"!H"&amp;ROW())</f>
        <v>0</v>
      </c>
      <c r="G75" s="41">
        <f ca="1">H75-F75</f>
        <v>0</v>
      </c>
      <c r="H75" s="58">
        <f>SUMIFS($T$3:$T$233,$P$3:$P$233,"수입",$Q$3:$Q$233,C75)</f>
        <v>0</v>
      </c>
      <c r="I75" s="43">
        <f>H75-E75</f>
        <v>-19525199</v>
      </c>
      <c r="N75" s="25"/>
      <c r="O75" s="26"/>
      <c r="P75" s="50"/>
      <c r="Q75" s="50"/>
      <c r="R75" s="50"/>
      <c r="S75" s="50"/>
      <c r="T75" s="50"/>
      <c r="U75" s="50"/>
      <c r="V75" s="50"/>
      <c r="W75" s="50"/>
      <c r="X75" s="50"/>
      <c r="Y75" s="6"/>
    </row>
    <row r="76" spans="1:25" x14ac:dyDescent="0.4">
      <c r="A76" s="4">
        <f t="shared" si="11"/>
        <v>202501</v>
      </c>
      <c r="B76" s="4">
        <f>B75+1</f>
        <v>3</v>
      </c>
      <c r="C76" s="74" t="s">
        <v>11</v>
      </c>
      <c r="D76" s="75"/>
      <c r="E76" s="23">
        <f>SUMIFS('수입&amp;예산'!$C$4:$C$11,'수입&amp;예산'!$A$4:$A$11,C76,'수입&amp;예산'!$D$4:$D$11,"M")*10000+SUMIFS('수입&amp;예산'!$C$4:$C$11,'수입&amp;예산'!$A$4:$A$11,C76,'수입&amp;예산'!$D$4:$D$11,"Y",'수입&amp;예산'!$E$4:$E$11,$L$1)*10000</f>
        <v>0</v>
      </c>
      <c r="F76" s="41">
        <f ca="1">INDIRECT($J$1&amp;"!H"&amp;ROW())</f>
        <v>0</v>
      </c>
      <c r="G76" s="41">
        <f ca="1">H76-F76</f>
        <v>0</v>
      </c>
      <c r="H76" s="58">
        <f>SUMIFS($T$3:$T$233,$P$3:$P$233,"수입",$Q$3:$Q$233,C76)</f>
        <v>0</v>
      </c>
      <c r="I76" s="43">
        <f>H76-E76</f>
        <v>0</v>
      </c>
      <c r="N76" s="25"/>
      <c r="O76" s="26"/>
      <c r="P76" s="50"/>
      <c r="Q76" s="50"/>
      <c r="R76" s="50"/>
      <c r="S76" s="50"/>
      <c r="T76" s="50"/>
      <c r="U76" s="50"/>
      <c r="V76" s="50"/>
      <c r="W76" s="50"/>
      <c r="X76" s="50"/>
      <c r="Y76" s="6"/>
    </row>
    <row r="77" spans="1:25" x14ac:dyDescent="0.4">
      <c r="A77" s="4">
        <f t="shared" si="11"/>
        <v>202501</v>
      </c>
      <c r="B77" s="4">
        <f>B76+1</f>
        <v>4</v>
      </c>
      <c r="C77" s="74" t="s">
        <v>976</v>
      </c>
      <c r="D77" s="75"/>
      <c r="E77" s="23">
        <f>SUMIFS('수입&amp;예산'!$C$4:$C$11,'수입&amp;예산'!$A$4:$A$11,C77,'수입&amp;예산'!$D$4:$D$11,"M")*10000+SUMIFS('수입&amp;예산'!$C$4:$C$11,'수입&amp;예산'!$A$4:$A$11,C77,'수입&amp;예산'!$D$4:$D$11,"Y",'수입&amp;예산'!$E$4:$E$11,$L$1)*10000</f>
        <v>0</v>
      </c>
      <c r="F77" s="41">
        <f ca="1">INDIRECT($J$1&amp;"!H"&amp;ROW())</f>
        <v>0</v>
      </c>
      <c r="G77" s="41">
        <f ca="1">H77-F77</f>
        <v>0</v>
      </c>
      <c r="H77" s="58">
        <f>SUMIFS($T$3:$T$233,$P$3:$P$233,"수입",$Q$3:$Q$233,C77)</f>
        <v>0</v>
      </c>
      <c r="I77" s="43">
        <f>H77-E77</f>
        <v>0</v>
      </c>
      <c r="N77" s="25"/>
      <c r="O77" s="26"/>
      <c r="P77" s="50"/>
      <c r="Q77" s="50"/>
      <c r="R77" s="50"/>
      <c r="S77" s="50"/>
      <c r="T77" s="50"/>
      <c r="U77" s="50"/>
      <c r="V77" s="50"/>
      <c r="W77" s="50"/>
      <c r="X77" s="50"/>
      <c r="Y77" s="6"/>
    </row>
    <row r="78" spans="1:25" x14ac:dyDescent="0.4">
      <c r="A78" s="4">
        <f t="shared" si="11"/>
        <v>202501</v>
      </c>
      <c r="B78" s="4">
        <f>B77+1</f>
        <v>5</v>
      </c>
      <c r="C78" s="74" t="s">
        <v>5</v>
      </c>
      <c r="D78" s="75"/>
      <c r="E78" s="23">
        <f>SUMIFS('수입&amp;예산'!$C$4:$C$11,'수입&amp;예산'!$A$4:$A$11,C78,'수입&amp;예산'!$D$4:$D$11,"M")*10000+SUMIFS('수입&amp;예산'!$C$4:$C$11,'수입&amp;예산'!$A$4:$A$11,C78,'수입&amp;예산'!$D$4:$D$11,"Y",'수입&amp;예산'!$E$4:$E$11,$L$1)*10000</f>
        <v>0</v>
      </c>
      <c r="F78" s="41">
        <f ca="1">INDIRECT($J$1&amp;"!H"&amp;ROW())</f>
        <v>0</v>
      </c>
      <c r="G78" s="41">
        <f ca="1">H78-F78</f>
        <v>0</v>
      </c>
      <c r="H78" s="58">
        <f>SUMIFS($T$3:$T$233,$P$3:$P$233,"수입",$Q$3:$Q$233,C78)</f>
        <v>0</v>
      </c>
      <c r="I78" s="43">
        <f>H78-E78</f>
        <v>0</v>
      </c>
      <c r="N78" s="25"/>
      <c r="O78" s="26"/>
      <c r="P78" s="50"/>
      <c r="Q78" s="50"/>
      <c r="R78" s="50"/>
      <c r="S78" s="50"/>
      <c r="T78" s="50"/>
      <c r="U78" s="50"/>
      <c r="V78" s="50"/>
      <c r="W78" s="50"/>
      <c r="X78" s="50"/>
      <c r="Y78" s="6"/>
    </row>
    <row r="79" spans="1:25" x14ac:dyDescent="0.4">
      <c r="A79" s="71" t="s">
        <v>14</v>
      </c>
      <c r="B79" s="72"/>
      <c r="C79" s="72"/>
      <c r="D79" s="73"/>
      <c r="E79" s="56">
        <f>SUM(E74:E78)</f>
        <v>25068199</v>
      </c>
      <c r="F79" s="57">
        <f ca="1">SUM(F74:F78)</f>
        <v>0</v>
      </c>
      <c r="G79" s="57">
        <f ca="1">SUM(G74:G78)</f>
        <v>0</v>
      </c>
      <c r="H79" s="59">
        <f>SUM(H74:H78)</f>
        <v>0</v>
      </c>
      <c r="I79" s="43">
        <f>SUM(I74:I78)</f>
        <v>-25068199</v>
      </c>
      <c r="N79" s="25"/>
      <c r="O79" s="26"/>
      <c r="P79" s="50"/>
      <c r="Q79" s="50"/>
      <c r="R79" s="50"/>
      <c r="S79" s="50"/>
      <c r="T79" s="50"/>
      <c r="U79" s="50"/>
      <c r="V79" s="50"/>
      <c r="W79" s="50"/>
      <c r="X79" s="50"/>
      <c r="Y79" s="6"/>
    </row>
    <row r="80" spans="1:25" x14ac:dyDescent="0.4">
      <c r="N80" s="25"/>
      <c r="O80" s="26"/>
      <c r="P80" s="50"/>
      <c r="Q80" s="50"/>
      <c r="R80" s="50"/>
      <c r="S80" s="50"/>
      <c r="T80" s="50"/>
      <c r="U80" s="50"/>
      <c r="V80" s="50"/>
      <c r="W80" s="50"/>
      <c r="X80" s="50"/>
      <c r="Y80" s="4"/>
    </row>
    <row r="81" spans="14:25" x14ac:dyDescent="0.4">
      <c r="N81" s="25"/>
      <c r="O81" s="26"/>
      <c r="P81" s="50"/>
      <c r="Q81" s="50"/>
      <c r="R81" s="50"/>
      <c r="S81" s="50"/>
      <c r="T81" s="50"/>
      <c r="U81" s="50"/>
      <c r="V81" s="50"/>
      <c r="W81" s="50"/>
      <c r="X81" s="50"/>
      <c r="Y81" s="4"/>
    </row>
    <row r="82" spans="14:25" x14ac:dyDescent="0.4">
      <c r="N82" s="25"/>
      <c r="O82" s="26"/>
      <c r="P82" s="50"/>
      <c r="Q82" s="50"/>
      <c r="R82" s="50"/>
      <c r="S82" s="50"/>
      <c r="T82" s="50"/>
      <c r="U82" s="50"/>
      <c r="V82" s="50"/>
      <c r="W82" s="50"/>
      <c r="X82" s="50"/>
      <c r="Y82" s="4"/>
    </row>
    <row r="83" spans="14:25" x14ac:dyDescent="0.4">
      <c r="N83" s="25"/>
      <c r="O83" s="26"/>
      <c r="P83" s="50"/>
      <c r="Q83" s="50"/>
      <c r="R83" s="50"/>
      <c r="S83" s="50"/>
      <c r="T83" s="50"/>
      <c r="U83" s="50"/>
      <c r="V83" s="50"/>
      <c r="W83" s="50"/>
      <c r="X83" s="50"/>
      <c r="Y83" s="4"/>
    </row>
    <row r="84" spans="14:25" x14ac:dyDescent="0.4">
      <c r="N84" s="25"/>
      <c r="O84" s="26"/>
      <c r="P84" s="50"/>
      <c r="Q84" s="50"/>
      <c r="R84" s="50"/>
      <c r="S84" s="50"/>
      <c r="T84" s="50"/>
      <c r="U84" s="50"/>
      <c r="V84" s="50"/>
      <c r="W84" s="50"/>
      <c r="X84" s="50"/>
      <c r="Y84" s="4"/>
    </row>
    <row r="85" spans="14:25" x14ac:dyDescent="0.4">
      <c r="N85" s="25"/>
      <c r="O85" s="26"/>
      <c r="P85" s="50"/>
      <c r="Q85" s="50"/>
      <c r="R85" s="50"/>
      <c r="S85" s="50"/>
      <c r="T85" s="50"/>
      <c r="U85" s="50"/>
      <c r="V85" s="50"/>
      <c r="W85" s="50"/>
      <c r="X85" s="50"/>
      <c r="Y85" s="4"/>
    </row>
    <row r="86" spans="14:25" x14ac:dyDescent="0.4">
      <c r="N86" s="25"/>
      <c r="O86" s="26"/>
      <c r="P86" s="50"/>
      <c r="Q86" s="50"/>
      <c r="R86" s="50"/>
      <c r="S86" s="50"/>
      <c r="T86" s="50"/>
      <c r="U86" s="50"/>
      <c r="V86" s="50"/>
      <c r="W86" s="50"/>
      <c r="X86" s="50"/>
      <c r="Y86" s="4"/>
    </row>
    <row r="87" spans="14:25" x14ac:dyDescent="0.4">
      <c r="N87" s="25"/>
      <c r="O87" s="26"/>
      <c r="P87" s="50"/>
      <c r="Q87" s="50"/>
      <c r="R87" s="50"/>
      <c r="S87" s="50"/>
      <c r="T87" s="50"/>
      <c r="U87" s="50"/>
      <c r="V87" s="50"/>
      <c r="W87" s="50"/>
      <c r="X87" s="50"/>
      <c r="Y87" s="4"/>
    </row>
    <row r="88" spans="14:25" x14ac:dyDescent="0.4">
      <c r="N88" s="25"/>
      <c r="O88" s="26"/>
      <c r="P88" s="50"/>
      <c r="Q88" s="50"/>
      <c r="R88" s="50"/>
      <c r="S88" s="50"/>
      <c r="T88" s="50"/>
      <c r="U88" s="50"/>
      <c r="V88" s="50"/>
      <c r="W88" s="50"/>
      <c r="X88" s="50"/>
      <c r="Y88" s="4"/>
    </row>
    <row r="89" spans="14:25" x14ac:dyDescent="0.4">
      <c r="N89" s="25"/>
      <c r="O89" s="26"/>
      <c r="P89" s="50"/>
      <c r="Q89" s="50"/>
      <c r="R89" s="50"/>
      <c r="S89" s="50"/>
      <c r="T89" s="50"/>
      <c r="U89" s="50"/>
      <c r="V89" s="50"/>
      <c r="W89" s="50"/>
      <c r="X89" s="50"/>
      <c r="Y89" s="6"/>
    </row>
    <row r="90" spans="14:25" x14ac:dyDescent="0.4">
      <c r="N90" s="25"/>
      <c r="O90" s="26"/>
      <c r="P90" s="50"/>
      <c r="Q90" s="50"/>
      <c r="R90" s="50"/>
      <c r="S90" s="50"/>
      <c r="T90" s="50"/>
      <c r="U90" s="50"/>
      <c r="V90" s="50"/>
      <c r="W90" s="50"/>
      <c r="X90" s="50"/>
      <c r="Y90" s="6"/>
    </row>
    <row r="91" spans="14:25" x14ac:dyDescent="0.4">
      <c r="N91" s="25"/>
      <c r="O91" s="26"/>
      <c r="P91" s="50"/>
      <c r="Q91" s="50"/>
      <c r="R91" s="50"/>
      <c r="S91" s="50"/>
      <c r="T91" s="50"/>
      <c r="U91" s="50"/>
      <c r="V91" s="50"/>
      <c r="W91" s="50"/>
      <c r="X91" s="50"/>
      <c r="Y91" s="6"/>
    </row>
    <row r="92" spans="14:25" x14ac:dyDescent="0.4">
      <c r="N92" s="25"/>
      <c r="O92" s="26"/>
      <c r="P92" s="50"/>
      <c r="Q92" s="50"/>
      <c r="R92" s="50"/>
      <c r="S92" s="50"/>
      <c r="T92" s="50"/>
      <c r="U92" s="50"/>
      <c r="V92" s="50"/>
      <c r="W92" s="50"/>
      <c r="X92" s="50"/>
      <c r="Y92" s="6"/>
    </row>
    <row r="93" spans="14:25" x14ac:dyDescent="0.4">
      <c r="N93" s="25"/>
      <c r="O93" s="26"/>
      <c r="P93" s="50"/>
      <c r="Q93" s="50"/>
      <c r="R93" s="50"/>
      <c r="S93" s="50"/>
      <c r="T93" s="50"/>
      <c r="U93" s="50"/>
      <c r="V93" s="50"/>
      <c r="W93" s="50"/>
      <c r="X93" s="50"/>
      <c r="Y93" s="6"/>
    </row>
    <row r="94" spans="14:25" x14ac:dyDescent="0.4">
      <c r="N94" s="25"/>
      <c r="O94" s="26"/>
      <c r="P94" s="50"/>
      <c r="Q94" s="50"/>
      <c r="R94" s="50"/>
      <c r="S94" s="50"/>
      <c r="T94" s="50"/>
      <c r="U94" s="50"/>
      <c r="V94" s="50"/>
      <c r="W94" s="50"/>
      <c r="X94" s="50"/>
      <c r="Y94" s="6"/>
    </row>
    <row r="95" spans="14:25" x14ac:dyDescent="0.4">
      <c r="N95" s="25"/>
      <c r="O95" s="26"/>
      <c r="P95" s="50"/>
      <c r="Q95" s="50"/>
      <c r="R95" s="50"/>
      <c r="S95" s="50"/>
      <c r="T95" s="50"/>
      <c r="U95" s="50"/>
      <c r="V95" s="50"/>
      <c r="W95" s="50"/>
      <c r="X95" s="50"/>
      <c r="Y95" s="6"/>
    </row>
    <row r="96" spans="14:25" x14ac:dyDescent="0.4">
      <c r="N96" s="25"/>
      <c r="O96" s="26"/>
      <c r="P96" s="50"/>
      <c r="Q96" s="50"/>
      <c r="R96" s="50"/>
      <c r="S96" s="50"/>
      <c r="T96" s="50"/>
      <c r="U96" s="50"/>
      <c r="V96" s="50"/>
      <c r="W96" s="50"/>
      <c r="X96" s="50"/>
      <c r="Y96" s="6"/>
    </row>
    <row r="97" spans="14:25" x14ac:dyDescent="0.4">
      <c r="N97" s="25"/>
      <c r="O97" s="26"/>
      <c r="P97" s="50"/>
      <c r="Q97" s="50"/>
      <c r="R97" s="50"/>
      <c r="S97" s="50"/>
      <c r="T97" s="50"/>
      <c r="U97" s="50"/>
      <c r="V97" s="50"/>
      <c r="W97" s="50"/>
      <c r="X97" s="50"/>
      <c r="Y97" s="6"/>
    </row>
    <row r="98" spans="14:25" x14ac:dyDescent="0.4">
      <c r="N98" s="25"/>
      <c r="O98" s="26"/>
      <c r="P98" s="50"/>
      <c r="Q98" s="50"/>
      <c r="R98" s="50"/>
      <c r="S98" s="50"/>
      <c r="T98" s="50"/>
      <c r="U98" s="50"/>
      <c r="V98" s="50"/>
      <c r="W98" s="50"/>
      <c r="X98" s="50"/>
      <c r="Y98" s="6"/>
    </row>
    <row r="99" spans="14:25" x14ac:dyDescent="0.4">
      <c r="N99" s="25"/>
      <c r="O99" s="26"/>
      <c r="P99" s="50"/>
      <c r="Q99" s="50"/>
      <c r="R99" s="50"/>
      <c r="S99" s="50"/>
      <c r="T99" s="50"/>
      <c r="U99" s="50"/>
      <c r="V99" s="50"/>
      <c r="W99" s="50"/>
      <c r="X99" s="50"/>
      <c r="Y99" s="6"/>
    </row>
    <row r="100" spans="14:25" x14ac:dyDescent="0.4">
      <c r="N100" s="25"/>
      <c r="O100" s="26"/>
      <c r="P100" s="50"/>
      <c r="Q100" s="50"/>
      <c r="R100" s="50"/>
      <c r="S100" s="50"/>
      <c r="T100" s="50"/>
      <c r="U100" s="50"/>
      <c r="V100" s="50"/>
      <c r="W100" s="50"/>
      <c r="X100" s="50"/>
      <c r="Y100" s="6"/>
    </row>
    <row r="101" spans="14:25" x14ac:dyDescent="0.4">
      <c r="N101" s="25"/>
      <c r="O101" s="26"/>
      <c r="P101" s="50"/>
      <c r="Q101" s="50"/>
      <c r="R101" s="50"/>
      <c r="S101" s="50"/>
      <c r="T101" s="50"/>
      <c r="U101" s="50"/>
      <c r="V101" s="50"/>
      <c r="W101" s="50"/>
      <c r="X101" s="50"/>
      <c r="Y101" s="6"/>
    </row>
    <row r="102" spans="14:25" x14ac:dyDescent="0.4">
      <c r="N102" s="25"/>
      <c r="O102" s="26"/>
      <c r="P102" s="50"/>
      <c r="Q102" s="50"/>
      <c r="R102" s="50"/>
      <c r="S102" s="50"/>
      <c r="T102" s="50"/>
      <c r="U102" s="50"/>
      <c r="V102" s="50"/>
      <c r="W102" s="50"/>
      <c r="X102" s="50"/>
      <c r="Y102" s="6"/>
    </row>
    <row r="103" spans="14:25" x14ac:dyDescent="0.4">
      <c r="N103" s="25"/>
      <c r="O103" s="26"/>
      <c r="P103" s="50"/>
      <c r="Q103" s="50"/>
      <c r="R103" s="50"/>
      <c r="S103" s="50"/>
      <c r="T103" s="50"/>
      <c r="U103" s="50"/>
      <c r="V103" s="50"/>
      <c r="W103" s="50"/>
      <c r="X103" s="50"/>
      <c r="Y103" s="6"/>
    </row>
    <row r="104" spans="14:25" x14ac:dyDescent="0.4">
      <c r="N104" s="25"/>
      <c r="O104" s="26"/>
      <c r="P104" s="50"/>
      <c r="Q104" s="50"/>
      <c r="R104" s="50"/>
      <c r="S104" s="50"/>
      <c r="T104" s="50"/>
      <c r="U104" s="50"/>
      <c r="V104" s="50"/>
      <c r="W104" s="50"/>
      <c r="X104" s="50"/>
      <c r="Y104" s="6"/>
    </row>
    <row r="105" spans="14:25" x14ac:dyDescent="0.4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6"/>
    </row>
    <row r="106" spans="14:25" x14ac:dyDescent="0.4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6"/>
    </row>
    <row r="107" spans="14:25" x14ac:dyDescent="0.4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6"/>
    </row>
    <row r="108" spans="14:25" x14ac:dyDescent="0.4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6"/>
    </row>
    <row r="109" spans="14:25" x14ac:dyDescent="0.4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6"/>
    </row>
    <row r="110" spans="14:25" x14ac:dyDescent="0.4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6"/>
    </row>
    <row r="111" spans="14:25" x14ac:dyDescent="0.4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6"/>
    </row>
    <row r="112" spans="14:25" x14ac:dyDescent="0.4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6"/>
    </row>
    <row r="113" spans="14:25" x14ac:dyDescent="0.4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6"/>
    </row>
    <row r="114" spans="14:25" x14ac:dyDescent="0.4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"/>
    </row>
    <row r="115" spans="14:25" x14ac:dyDescent="0.4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6"/>
    </row>
    <row r="116" spans="14:25" x14ac:dyDescent="0.4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6"/>
    </row>
    <row r="117" spans="14:25" x14ac:dyDescent="0.4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6"/>
    </row>
    <row r="118" spans="14:25" x14ac:dyDescent="0.4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6"/>
    </row>
    <row r="119" spans="14:25" x14ac:dyDescent="0.4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6"/>
    </row>
    <row r="120" spans="14:25" x14ac:dyDescent="0.4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6"/>
    </row>
    <row r="121" spans="14:25" x14ac:dyDescent="0.4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6"/>
    </row>
    <row r="122" spans="14:25" x14ac:dyDescent="0.4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6"/>
    </row>
    <row r="123" spans="14:25" x14ac:dyDescent="0.4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6"/>
    </row>
    <row r="124" spans="14:25" x14ac:dyDescent="0.4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6"/>
    </row>
    <row r="125" spans="14:25" x14ac:dyDescent="0.4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6"/>
    </row>
    <row r="126" spans="14:25" x14ac:dyDescent="0.4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6"/>
    </row>
    <row r="127" spans="14:25" x14ac:dyDescent="0.4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6"/>
    </row>
    <row r="128" spans="14:25" x14ac:dyDescent="0.4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6"/>
    </row>
    <row r="129" spans="14:25" x14ac:dyDescent="0.4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6"/>
    </row>
    <row r="130" spans="14:25" x14ac:dyDescent="0.4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6"/>
    </row>
    <row r="131" spans="14:25" x14ac:dyDescent="0.4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6"/>
    </row>
    <row r="132" spans="14:25" x14ac:dyDescent="0.4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6"/>
    </row>
    <row r="133" spans="14:25" x14ac:dyDescent="0.4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6"/>
    </row>
    <row r="134" spans="14:25" x14ac:dyDescent="0.4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6"/>
    </row>
    <row r="135" spans="14:25" x14ac:dyDescent="0.4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6"/>
    </row>
    <row r="136" spans="14:25" x14ac:dyDescent="0.4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6"/>
    </row>
    <row r="137" spans="14:25" x14ac:dyDescent="0.4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6"/>
    </row>
    <row r="138" spans="14:25" x14ac:dyDescent="0.4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6"/>
    </row>
    <row r="139" spans="14:25" x14ac:dyDescent="0.4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6"/>
    </row>
    <row r="140" spans="14:25" x14ac:dyDescent="0.4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6"/>
    </row>
    <row r="141" spans="14:25" x14ac:dyDescent="0.4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6"/>
    </row>
    <row r="142" spans="14:25" x14ac:dyDescent="0.4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6"/>
    </row>
    <row r="143" spans="14:25" x14ac:dyDescent="0.4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6"/>
    </row>
    <row r="144" spans="14:25" x14ac:dyDescent="0.4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6"/>
    </row>
    <row r="145" spans="14:25" x14ac:dyDescent="0.4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6"/>
    </row>
    <row r="146" spans="14:25" x14ac:dyDescent="0.4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6"/>
    </row>
    <row r="147" spans="14:25" x14ac:dyDescent="0.4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6"/>
    </row>
    <row r="148" spans="14:25" x14ac:dyDescent="0.4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6"/>
    </row>
    <row r="149" spans="14:25" x14ac:dyDescent="0.4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6"/>
    </row>
    <row r="150" spans="14:25" x14ac:dyDescent="0.4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6"/>
    </row>
    <row r="151" spans="14:25" x14ac:dyDescent="0.4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6"/>
    </row>
    <row r="152" spans="14:25" x14ac:dyDescent="0.4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6"/>
    </row>
    <row r="153" spans="14:25" x14ac:dyDescent="0.4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6"/>
    </row>
    <row r="154" spans="14:25" x14ac:dyDescent="0.4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6"/>
    </row>
    <row r="155" spans="14:25" x14ac:dyDescent="0.4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6"/>
    </row>
    <row r="156" spans="14:25" x14ac:dyDescent="0.4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6"/>
    </row>
    <row r="157" spans="14:25" x14ac:dyDescent="0.4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6"/>
    </row>
    <row r="158" spans="14:25" x14ac:dyDescent="0.4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6"/>
    </row>
    <row r="159" spans="14:25" x14ac:dyDescent="0.4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6"/>
    </row>
    <row r="160" spans="14:25" x14ac:dyDescent="0.4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6"/>
    </row>
    <row r="161" spans="14:25" x14ac:dyDescent="0.4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6"/>
    </row>
    <row r="162" spans="14:25" x14ac:dyDescent="0.4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6"/>
    </row>
    <row r="163" spans="14:25" x14ac:dyDescent="0.4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6"/>
    </row>
    <row r="164" spans="14:25" x14ac:dyDescent="0.4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6"/>
    </row>
    <row r="165" spans="14:25" x14ac:dyDescent="0.4"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6"/>
    </row>
    <row r="166" spans="14:25" x14ac:dyDescent="0.4"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6"/>
    </row>
    <row r="167" spans="14:25" x14ac:dyDescent="0.4"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6"/>
    </row>
    <row r="168" spans="14:25" x14ac:dyDescent="0.4"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6"/>
    </row>
    <row r="169" spans="14:25" x14ac:dyDescent="0.4"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6"/>
    </row>
    <row r="170" spans="14:25" x14ac:dyDescent="0.4"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6"/>
    </row>
    <row r="171" spans="14:25" x14ac:dyDescent="0.4"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6"/>
    </row>
    <row r="172" spans="14:25" x14ac:dyDescent="0.4"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6"/>
    </row>
    <row r="173" spans="14:25" x14ac:dyDescent="0.4"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6"/>
    </row>
    <row r="174" spans="14:25" x14ac:dyDescent="0.4"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6"/>
    </row>
    <row r="175" spans="14:25" x14ac:dyDescent="0.4"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6"/>
    </row>
    <row r="176" spans="14:25" x14ac:dyDescent="0.4"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6"/>
    </row>
    <row r="177" spans="14:25" x14ac:dyDescent="0.4"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6"/>
    </row>
    <row r="178" spans="14:25" x14ac:dyDescent="0.4"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6"/>
    </row>
    <row r="179" spans="14:25" x14ac:dyDescent="0.4"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6"/>
    </row>
    <row r="180" spans="14:25" x14ac:dyDescent="0.4"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6"/>
    </row>
    <row r="181" spans="14:25" x14ac:dyDescent="0.4"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6"/>
    </row>
    <row r="182" spans="14:25" x14ac:dyDescent="0.4"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6"/>
    </row>
    <row r="183" spans="14:25" x14ac:dyDescent="0.4"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6"/>
    </row>
    <row r="184" spans="14:25" x14ac:dyDescent="0.4"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6"/>
    </row>
    <row r="185" spans="14:25" x14ac:dyDescent="0.4"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6"/>
    </row>
    <row r="186" spans="14:25" x14ac:dyDescent="0.4"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6"/>
    </row>
    <row r="187" spans="14:25" x14ac:dyDescent="0.4"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6"/>
    </row>
    <row r="188" spans="14:25" x14ac:dyDescent="0.4"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6"/>
    </row>
    <row r="189" spans="14:25" x14ac:dyDescent="0.4"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6"/>
    </row>
    <row r="190" spans="14:25" x14ac:dyDescent="0.4"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6"/>
    </row>
    <row r="191" spans="14:25" x14ac:dyDescent="0.4"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6"/>
    </row>
    <row r="192" spans="14:25" x14ac:dyDescent="0.4"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6"/>
    </row>
    <row r="193" spans="14:25" x14ac:dyDescent="0.4"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6"/>
    </row>
    <row r="194" spans="14:25" x14ac:dyDescent="0.4"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6"/>
    </row>
    <row r="195" spans="14:25" x14ac:dyDescent="0.4"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6"/>
    </row>
    <row r="196" spans="14:25" x14ac:dyDescent="0.4"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6"/>
    </row>
    <row r="197" spans="14:25" x14ac:dyDescent="0.4"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6"/>
    </row>
    <row r="198" spans="14:25" x14ac:dyDescent="0.4"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6"/>
    </row>
    <row r="199" spans="14:25" x14ac:dyDescent="0.4"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6"/>
    </row>
    <row r="200" spans="14:25" x14ac:dyDescent="0.4"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6"/>
    </row>
    <row r="201" spans="14:25" x14ac:dyDescent="0.4"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6"/>
    </row>
    <row r="202" spans="14:25" x14ac:dyDescent="0.4"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6"/>
    </row>
    <row r="203" spans="14:25" x14ac:dyDescent="0.4"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6"/>
    </row>
    <row r="204" spans="14:25" x14ac:dyDescent="0.4"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6"/>
    </row>
    <row r="205" spans="14:25" x14ac:dyDescent="0.4"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6"/>
    </row>
    <row r="206" spans="14:25" x14ac:dyDescent="0.4"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6"/>
    </row>
    <row r="207" spans="14:25" x14ac:dyDescent="0.4"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6"/>
    </row>
    <row r="208" spans="14:25" x14ac:dyDescent="0.4"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6"/>
    </row>
    <row r="209" spans="14:25" x14ac:dyDescent="0.4"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6"/>
    </row>
    <row r="210" spans="14:25" x14ac:dyDescent="0.4"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6"/>
    </row>
    <row r="211" spans="14:25" x14ac:dyDescent="0.4"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6"/>
    </row>
    <row r="212" spans="14:25" x14ac:dyDescent="0.4"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6"/>
    </row>
    <row r="213" spans="14:25" x14ac:dyDescent="0.4"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6"/>
    </row>
    <row r="214" spans="14:25" x14ac:dyDescent="0.4"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6"/>
    </row>
    <row r="215" spans="14:25" x14ac:dyDescent="0.4"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6"/>
    </row>
    <row r="216" spans="14:25" x14ac:dyDescent="0.4"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6"/>
    </row>
    <row r="217" spans="14:25" x14ac:dyDescent="0.4"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6"/>
    </row>
  </sheetData>
  <autoFilter ref="N2:Y71" xr:uid="{11B47028-C17C-47C6-A882-4705ECF29BE6}"/>
  <mergeCells count="3">
    <mergeCell ref="O1:P1"/>
    <mergeCell ref="A19:D19"/>
    <mergeCell ref="I20:J20"/>
  </mergeCells>
  <phoneticPr fontId="2" type="noConversion"/>
  <conditionalFormatting sqref="G74:G79 I74:I79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I3:I18">
    <cfRule type="cellIs" dxfId="5" priority="4" operator="greaterThan">
      <formula>0</formula>
    </cfRule>
    <cfRule type="cellIs" dxfId="4" priority="5" operator="lessThan">
      <formula>0</formula>
    </cfRule>
  </conditionalFormatting>
  <conditionalFormatting sqref="K6:K20">
    <cfRule type="cellIs" dxfId="3" priority="3" operator="lessThan">
      <formula>0</formula>
    </cfRule>
  </conditionalFormatting>
  <conditionalFormatting sqref="L3:L20">
    <cfRule type="cellIs" dxfId="2" priority="6" operator="greaterThan">
      <formula>1</formula>
    </cfRule>
    <cfRule type="cellIs" dxfId="1" priority="7" operator="equal">
      <formula>1</formula>
    </cfRule>
    <cfRule type="cellIs" dxfId="0" priority="8" operator="lessThan">
      <formula>1</formula>
    </cfRule>
  </conditionalFormatting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요약</vt:lpstr>
      <vt:lpstr>수입&amp;예산</vt:lpstr>
      <vt:lpstr>대출</vt:lpstr>
      <vt:lpstr>자금전체</vt:lpstr>
      <vt:lpstr>이사</vt:lpstr>
      <vt:lpstr>자금흐름</vt:lpstr>
      <vt:lpstr>확인리스트(삭제용)</vt:lpstr>
      <vt:lpstr>202412</vt:lpstr>
      <vt:lpstr>202501</vt:lpstr>
      <vt:lpstr>202502</vt:lpstr>
      <vt:lpstr>202503</vt:lpstr>
      <vt:lpstr>202504</vt:lpstr>
      <vt:lpstr>202505</vt:lpstr>
      <vt:lpstr>202506</vt:lpstr>
      <vt:lpstr>202507</vt:lpstr>
      <vt:lpstr>202508</vt:lpstr>
      <vt:lpstr>202509</vt:lpstr>
      <vt:lpstr>202510</vt:lpstr>
      <vt:lpstr>202511</vt:lpstr>
      <vt:lpstr>202512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JiMong</dc:creator>
  <cp:lastModifiedBy>중현 박</cp:lastModifiedBy>
  <dcterms:created xsi:type="dcterms:W3CDTF">2020-12-16T01:09:43Z</dcterms:created>
  <dcterms:modified xsi:type="dcterms:W3CDTF">2026-04-13T22:13:10Z</dcterms:modified>
</cp:coreProperties>
</file>