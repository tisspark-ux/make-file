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수입&amp;예산" sheetId="2" state="visible" r:id="rId2"/>
    <sheet name="뱅샐입력" sheetId="3" state="visible" r:id="rId3"/>
    <sheet name="대시보드" sheetId="4" state="visible" r:id="rId4"/>
    <sheet name="요약" sheetId="5" state="visible" r:id="rId5"/>
    <sheet name="01월" sheetId="6" state="visible" r:id="rId6"/>
    <sheet name="02월" sheetId="7" state="visible" r:id="rId7"/>
    <sheet name="03월" sheetId="8" state="visible" r:id="rId8"/>
    <sheet name="04월" sheetId="9" state="visible" r:id="rId9"/>
    <sheet name="05월" sheetId="10" state="visible" r:id="rId10"/>
    <sheet name="06월" sheetId="11" state="visible" r:id="rId11"/>
    <sheet name="07월" sheetId="12" state="visible" r:id="rId12"/>
    <sheet name="08월" sheetId="13" state="visible" r:id="rId13"/>
    <sheet name="09월" sheetId="14" state="visible" r:id="rId14"/>
    <sheet name="10월" sheetId="15" state="visible" r:id="rId15"/>
    <sheet name="11월" sheetId="16" state="visible" r:id="rId16"/>
    <sheet name="12월" sheetId="17" state="visible" r:id="rId17"/>
    <sheet name="자산현황" sheetId="18" state="visible" r:id="rId18"/>
    <sheet name="결제수단" sheetId="19" state="visible" r:id="rId19"/>
    <sheet name="분석" sheetId="20" state="visible" r:id="rId20"/>
    <sheet name="대출상환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&quot;만&quot;"/>
    <numFmt numFmtId="165" formatCode="YYYY-MM-DD"/>
    <numFmt numFmtId="166" formatCode="#,##0&quot;원&quot;"/>
    <numFmt numFmtId="167" formatCode="+0%;-0%;0%"/>
    <numFmt numFmtId="168" formatCode="[Red]+#,##0;[Green]-#,##0;0"/>
    <numFmt numFmtId="169" formatCode="yyyy-mm-dd"/>
    <numFmt numFmtId="170" formatCode="0&quot;회 / 360회&quot;"/>
    <numFmt numFmtId="171" formatCode="0&quot;회&quot;"/>
    <numFmt numFmtId="172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b val="1"/>
      <color rgb="00DC2626"/>
      <sz val="12"/>
    </font>
    <font>
      <i val="1"/>
      <color rgb="00888888"/>
      <sz val="9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11"/>
    </font>
    <font>
      <b val="1"/>
      <color rgb="00DC2626"/>
      <sz val="10"/>
    </font>
    <font>
      <name val="Calibri Light"/>
      <color rgb="001E293B"/>
      <sz val="16"/>
    </font>
    <font>
      <name val="Calibri"/>
      <color rgb="00888888"/>
      <sz val="9"/>
    </font>
    <font>
      <name val="Calibri Light"/>
      <color rgb="001E293B"/>
      <sz val="18"/>
    </font>
    <font>
      <name val="Calibri"/>
      <b val="1"/>
      <color rgb="00FFFFFF"/>
      <sz val="12"/>
    </font>
    <font>
      <i val="1"/>
      <color rgb="00888888"/>
      <sz val="8"/>
    </font>
    <font>
      <name val="Calibri Light"/>
      <color rgb="001E293B"/>
      <sz val="14"/>
    </font>
    <font>
      <name val="Calibri"/>
      <color rgb="001E293B"/>
      <sz val="11"/>
    </font>
    <font>
      <name val="Calibri"/>
      <b val="1"/>
      <color rgb="001E293B"/>
      <sz val="11"/>
    </font>
    <font>
      <name val="Calibri"/>
      <b val="1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F4F8FC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F0FDF4"/>
      </patternFill>
    </fill>
    <fill>
      <patternFill patternType="solid">
        <fgColor rgb="00DC2626"/>
      </patternFill>
    </fill>
    <fill>
      <patternFill patternType="solid">
        <fgColor rgb="00FEF2F2"/>
      </patternFill>
    </fill>
    <fill>
      <patternFill patternType="solid">
        <fgColor rgb="00475569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166" fontId="0" fillId="12" borderId="1" applyAlignment="1" pivotButton="0" quotePrefix="0" xfId="0">
      <alignment horizontal="center" vertical="center"/>
    </xf>
    <xf numFmtId="9" fontId="0" fillId="12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applyAlignment="1" pivotButton="0" quotePrefix="0" xfId="0">
      <alignment horizontal="left" vertical="center"/>
    </xf>
    <xf numFmtId="166" fontId="8" fillId="12" borderId="1" applyAlignment="1" pivotButton="0" quotePrefix="0" xfId="0">
      <alignment horizontal="center" vertical="center"/>
    </xf>
    <xf numFmtId="0" fontId="0" fillId="12" borderId="1" pivotButton="0" quotePrefix="0" xfId="0"/>
    <xf numFmtId="168" fontId="0" fillId="12" borderId="1" applyAlignment="1" pivotButton="0" quotePrefix="0" xfId="0">
      <alignment horizontal="center" vertical="center"/>
    </xf>
    <xf numFmtId="168" fontId="0" fillId="6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166" fontId="0" fillId="1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166" fontId="13" fillId="4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166" fontId="17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166" fontId="17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0" fontId="8" fillId="5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0" fontId="0" fillId="6" borderId="1" applyAlignment="1" pivotButton="0" quotePrefix="0" xfId="0">
      <alignment horizontal="center" vertical="center"/>
    </xf>
    <xf numFmtId="1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170" fontId="18" fillId="2" borderId="1" applyAlignment="1" pivotButton="0" quotePrefix="0" xfId="0">
      <alignment horizontal="center" vertical="center"/>
    </xf>
    <xf numFmtId="171" fontId="18" fillId="8" borderId="1" applyAlignment="1" pivotButton="0" quotePrefix="0" xfId="0">
      <alignment horizontal="center" vertical="center"/>
    </xf>
    <xf numFmtId="166" fontId="18" fillId="2" borderId="1" applyAlignment="1" pivotButton="0" quotePrefix="0" xfId="0">
      <alignment horizontal="center" vertical="center"/>
    </xf>
    <xf numFmtId="166" fontId="18" fillId="8" borderId="1" applyAlignment="1" pivotButton="0" quotePrefix="0" xfId="0">
      <alignment horizontal="center" vertical="center"/>
    </xf>
    <xf numFmtId="172" fontId="18" fillId="2" borderId="1" applyAlignment="1" pivotButton="0" quotePrefix="0" xfId="0">
      <alignment horizontal="center" vertical="center"/>
    </xf>
    <xf numFmtId="10" fontId="18" fillId="8" borderId="1" applyAlignment="1" pivotButton="0" quotePrefix="0" xfId="0">
      <alignment horizontal="center" vertical="center"/>
    </xf>
    <xf numFmtId="165" fontId="18" fillId="8" borderId="1" applyAlignment="1" pivotButton="0" quotePrefix="0" xfId="0">
      <alignment horizontal="center" vertical="center"/>
    </xf>
    <xf numFmtId="165" fontId="0" fillId="12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FFACD"/>
          <bgColor rgb="00FFFACD"/>
        </patternFill>
      </fill>
    </dxf>
    <dxf>
      <fill>
        <patternFill patternType="solid">
          <fgColor rgb="00FFE4C4"/>
          <bgColor rgb="00FFE4C4"/>
        </patternFill>
      </fill>
    </dxf>
    <dxf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월별 수입 / 지출  (점선: 연평균)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v>수입</v>
          </tx>
          <spPr>
            <a:solidFill>
              <a:srgbClr val="16A34A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'요약'!$C$6:$C$17</f>
            </numRef>
          </val>
        </ser>
        <ser>
          <idx val="1"/>
          <order val="1"/>
          <tx>
            <v>지출</v>
          </tx>
          <spPr>
            <a:solidFill>
              <a:srgbClr val="DC2626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'요약'!$D$6:$D$17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수입 평균</v>
          </tx>
          <spPr>
            <a:ln w="20000">
              <a:solidFill>
                <a:srgbClr val="16A3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'요약'!$K$6:$K$17</f>
            </numRef>
          </val>
          <smooth val="1"/>
        </ser>
        <ser>
          <idx val="3"/>
          <order val="3"/>
          <tx>
            <v>지출 평균</v>
          </tx>
          <spPr>
            <a:ln w="20000">
              <a:solidFill>
                <a:srgbClr val="DC262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'요약'!$L$6:$L$17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월별 순자산 추이</a:t>
            </a:r>
          </a:p>
        </rich>
      </tx>
    </title>
    <plotArea>
      <lineChart>
        <grouping val="standard"/>
        <ser>
          <idx val="0"/>
          <order val="0"/>
          <tx>
            <v>순자산</v>
          </tx>
          <spPr>
            <a:ln w="28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'자산현황'!$B$26:$B$37</f>
            </numRef>
          </cat>
          <val>
            <numRef>
              <f>'자산현황'!$I$26:$I$37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순자산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카테고리별 연간 예산 vs 실제지출</a:t>
            </a:r>
          </a:p>
        </rich>
      </tx>
    </title>
    <plotArea>
      <barChart>
        <barDir val="col"/>
        <grouping val="clustered"/>
        <ser>
          <idx val="0"/>
          <order val="0"/>
          <tx>
            <v>연간예산</v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'분석'!$D$6:$D$23</f>
            </numRef>
          </val>
        </ser>
        <ser>
          <idx val="1"/>
          <order val="1"/>
          <tx>
            <v>연간실제지출</v>
          </tx>
          <spPr>
            <a:solidFill>
              <a:srgbClr val="DC2626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'분석'!$E$6:$E$23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카테고리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 ht="20" customHeight="1"/>
    <row r="2" ht="20" customHeight="1">
      <c r="B2" s="1" t="inlineStr">
        <is>
          <t>기본 설정</t>
        </is>
      </c>
    </row>
    <row r="3" ht="20" customHeight="1">
      <c r="B3" s="2" t="inlineStr">
        <is>
          <t>연도</t>
        </is>
      </c>
      <c r="C3" s="3" t="n">
        <v>2026</v>
      </c>
      <c r="D3" s="4" t="inlineStr">
        <is>
          <t>이 셀만 바꾸면 전체 시트 자동 업데이트</t>
        </is>
      </c>
    </row>
    <row r="4" ht="20" customHeight="1">
      <c r="B4" s="2" t="inlineStr">
        <is>
          <t>담당자1</t>
        </is>
      </c>
      <c r="C4" s="5" t="inlineStr">
        <is>
          <t>Tiss</t>
        </is>
      </c>
    </row>
    <row r="5" ht="20" customHeight="1">
      <c r="B5" s="2" t="inlineStr">
        <is>
          <t>담당자2</t>
        </is>
      </c>
      <c r="C5" s="5" t="inlineStr">
        <is>
          <t>JM</t>
        </is>
      </c>
    </row>
    <row r="6" ht="20" customHeight="1">
      <c r="B6" s="2" t="inlineStr">
        <is>
          <t>버전</t>
        </is>
      </c>
      <c r="C6" s="5" t="inlineStr">
        <is>
          <t>v0.06</t>
        </is>
      </c>
      <c r="D6" s="4" t="inlineStr">
        <is>
          <t>마이너 +0.01 / 메이저 +1.00</t>
        </is>
      </c>
    </row>
    <row r="7" ht="20" customHeight="1"/>
    <row r="8" ht="20" customHeight="1">
      <c r="B8" s="1" t="inlineStr">
        <is>
          <t>뱅샐 카테고리 매핑</t>
        </is>
      </c>
    </row>
    <row r="9" ht="20" customHeight="1">
      <c r="B9" s="6" t="inlineStr">
        <is>
          <t>뱅샐 대분류</t>
        </is>
      </c>
      <c r="C9" s="6" t="inlineStr">
        <is>
          <t>뱅샐 소분류</t>
        </is>
      </c>
      <c r="D9" s="6" t="inlineStr">
        <is>
          <t>가계부 대분류</t>
        </is>
      </c>
    </row>
    <row r="10" ht="20" customHeight="1">
      <c r="B10" s="7" t="inlineStr">
        <is>
          <t>고정비</t>
        </is>
      </c>
      <c r="C10" s="7" t="inlineStr">
        <is>
          <t>교통비</t>
        </is>
      </c>
      <c r="D10" s="7" t="inlineStr">
        <is>
          <t>고정비</t>
        </is>
      </c>
    </row>
    <row r="11" ht="20" customHeight="1">
      <c r="B11" s="8" t="inlineStr">
        <is>
          <t>고정비</t>
        </is>
      </c>
      <c r="C11" s="8" t="inlineStr">
        <is>
          <t>휴대폰</t>
        </is>
      </c>
      <c r="D11" s="8" t="inlineStr">
        <is>
          <t>고정비</t>
        </is>
      </c>
    </row>
    <row r="12" ht="20" customHeight="1">
      <c r="B12" s="7" t="inlineStr">
        <is>
          <t>고정비</t>
        </is>
      </c>
      <c r="C12" s="7" t="inlineStr">
        <is>
          <t>인터넷</t>
        </is>
      </c>
      <c r="D12" s="7" t="inlineStr">
        <is>
          <t>고정비</t>
        </is>
      </c>
    </row>
    <row r="13" ht="20" customHeight="1">
      <c r="B13" s="8" t="inlineStr">
        <is>
          <t>고정비</t>
        </is>
      </c>
      <c r="C13" s="8" t="inlineStr">
        <is>
          <t>보험</t>
        </is>
      </c>
      <c r="D13" s="8" t="inlineStr">
        <is>
          <t>고정비</t>
        </is>
      </c>
    </row>
    <row r="14" ht="20" customHeight="1">
      <c r="B14" s="7" t="inlineStr">
        <is>
          <t>고정비</t>
        </is>
      </c>
      <c r="C14" s="7" t="inlineStr">
        <is>
          <t>구독</t>
        </is>
      </c>
      <c r="D14" s="7" t="inlineStr">
        <is>
          <t>고정비</t>
        </is>
      </c>
    </row>
    <row r="15" ht="20" customHeight="1">
      <c r="B15" s="8" t="inlineStr">
        <is>
          <t>고정비</t>
        </is>
      </c>
      <c r="C15" s="8" t="inlineStr">
        <is>
          <t>(전체)</t>
        </is>
      </c>
      <c r="D15" s="8" t="inlineStr">
        <is>
          <t>고정비</t>
        </is>
      </c>
    </row>
    <row r="16" ht="20" customHeight="1">
      <c r="B16" s="7" t="inlineStr">
        <is>
          <t>생활비</t>
        </is>
      </c>
      <c r="C16" s="7" t="inlineStr">
        <is>
          <t>외식</t>
        </is>
      </c>
      <c r="D16" s="7" t="inlineStr">
        <is>
          <t>생활비</t>
        </is>
      </c>
    </row>
    <row r="17" ht="20" customHeight="1">
      <c r="B17" s="8" t="inlineStr">
        <is>
          <t>생활비</t>
        </is>
      </c>
      <c r="C17" s="8" t="inlineStr">
        <is>
          <t>식료품</t>
        </is>
      </c>
      <c r="D17" s="8" t="inlineStr">
        <is>
          <t>생활비</t>
        </is>
      </c>
    </row>
    <row r="18" ht="20" customHeight="1">
      <c r="B18" s="7" t="inlineStr">
        <is>
          <t>생활비</t>
        </is>
      </c>
      <c r="C18" s="7" t="inlineStr">
        <is>
          <t>생활용품</t>
        </is>
      </c>
      <c r="D18" s="7" t="inlineStr">
        <is>
          <t>생활비</t>
        </is>
      </c>
    </row>
    <row r="19" ht="20" customHeight="1">
      <c r="B19" s="8" t="inlineStr">
        <is>
          <t>생활비</t>
        </is>
      </c>
      <c r="C19" s="8" t="inlineStr">
        <is>
          <t>(전체)</t>
        </is>
      </c>
      <c r="D19" s="8" t="inlineStr">
        <is>
          <t>생활비</t>
        </is>
      </c>
    </row>
    <row r="20" ht="20" customHeight="1">
      <c r="B20" s="7" t="inlineStr">
        <is>
          <t>의료/건강</t>
        </is>
      </c>
      <c r="C20" s="7" t="inlineStr">
        <is>
          <t>(전체)</t>
        </is>
      </c>
      <c r="D20" s="7" t="inlineStr">
        <is>
          <t>의료/건강</t>
        </is>
      </c>
    </row>
    <row r="21" ht="20" customHeight="1">
      <c r="B21" s="8" t="inlineStr">
        <is>
          <t>모임</t>
        </is>
      </c>
      <c r="C21" s="8" t="inlineStr">
        <is>
          <t>(전체)</t>
        </is>
      </c>
      <c r="D21" s="8" t="inlineStr">
        <is>
          <t>모임</t>
        </is>
      </c>
    </row>
    <row r="22" ht="20" customHeight="1">
      <c r="B22" s="7" t="inlineStr">
        <is>
          <t>세금</t>
        </is>
      </c>
      <c r="C22" s="7" t="inlineStr">
        <is>
          <t>(전체)</t>
        </is>
      </c>
      <c r="D22" s="7" t="inlineStr">
        <is>
          <t>세금</t>
        </is>
      </c>
    </row>
    <row r="23" ht="20" customHeight="1">
      <c r="B23" s="8" t="inlineStr">
        <is>
          <t>대출상환</t>
        </is>
      </c>
      <c r="C23" s="8" t="inlineStr">
        <is>
          <t>(전체)</t>
        </is>
      </c>
      <c r="D23" s="8" t="inlineStr">
        <is>
          <t>대출상환</t>
        </is>
      </c>
    </row>
    <row r="24" ht="20" customHeight="1">
      <c r="B24" s="7" t="inlineStr">
        <is>
          <t>부동산</t>
        </is>
      </c>
      <c r="C24" s="7" t="inlineStr">
        <is>
          <t>(전체)</t>
        </is>
      </c>
      <c r="D24" s="7" t="inlineStr">
        <is>
          <t>부동산</t>
        </is>
      </c>
    </row>
    <row r="25" ht="20" customHeight="1">
      <c r="B25" s="8" t="inlineStr">
        <is>
          <t>Tiss</t>
        </is>
      </c>
      <c r="C25" s="8" t="inlineStr">
        <is>
          <t>(전체)</t>
        </is>
      </c>
      <c r="D25" s="8" t="inlineStr">
        <is>
          <t>Tiss</t>
        </is>
      </c>
    </row>
    <row r="26" ht="20" customHeight="1">
      <c r="B26" s="7" t="inlineStr">
        <is>
          <t>JM</t>
        </is>
      </c>
      <c r="C26" s="7" t="inlineStr">
        <is>
          <t>(전체)</t>
        </is>
      </c>
      <c r="D26" s="7" t="inlineStr">
        <is>
          <t>JM</t>
        </is>
      </c>
    </row>
    <row r="27" ht="20" customHeight="1">
      <c r="B27" s="8" t="inlineStr">
        <is>
          <t>금융수입</t>
        </is>
      </c>
      <c r="C27" s="8" t="inlineStr">
        <is>
          <t>(전체)</t>
        </is>
      </c>
      <c r="D27" s="8" t="inlineStr">
        <is>
          <t>금융수입</t>
        </is>
      </c>
    </row>
    <row r="28" ht="20" customHeight="1">
      <c r="B28" s="7" t="inlineStr">
        <is>
          <t>기타</t>
        </is>
      </c>
      <c r="C28" s="7" t="inlineStr">
        <is>
          <t>(전체)</t>
        </is>
      </c>
      <c r="D28" s="7" t="inlineStr">
        <is>
          <t>기타</t>
        </is>
      </c>
    </row>
    <row r="29" ht="20" customHeight="1"/>
    <row r="30" ht="20" customHeight="1">
      <c r="B30" s="4" t="inlineStr">
        <is>
          <t>※ 매핑되지 않은 항목은 자동으로 '기타'로 분류됩니다.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3">
    <mergeCell ref="B30:E30"/>
    <mergeCell ref="B8:E8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6" customWidth="1" min="7" max="7"/>
    <col width="8" customWidth="1" min="8" max="8"/>
    <col width="10" customWidth="1" min="9" max="9"/>
    <col width="10" customWidth="1" min="10" max="10"/>
    <col width="6" customWidth="1" min="11" max="11"/>
    <col width="8" customWidth="1" min="12" max="12"/>
    <col width="6" customWidth="1" min="13" max="13"/>
    <col width="20" customWidth="1" min="14" max="14"/>
  </cols>
  <sheetData>
    <row r="1" ht="20" customHeight="1"/>
    <row r="2" ht="24" customHeight="1">
      <c r="B2" s="9" t="inlineStr">
        <is>
          <t>[ 수입 ]  2026년  (단위: 만원)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</row>
    <row r="3" ht="20" customHeight="1">
      <c r="B3" s="12" t="inlineStr">
        <is>
          <t>항목</t>
        </is>
      </c>
      <c r="C3" s="12" t="inlineStr">
        <is>
          <t>비고</t>
        </is>
      </c>
      <c r="D3" s="12" t="inlineStr">
        <is>
          <t>Tiss 금액</t>
        </is>
      </c>
      <c r="E3" s="12" t="inlineStr">
        <is>
          <t>주기</t>
        </is>
      </c>
      <c r="F3" s="12" t="inlineStr">
        <is>
          <t>대상월</t>
        </is>
      </c>
      <c r="G3" s="12" t="inlineStr">
        <is>
          <t>JM 금액</t>
        </is>
      </c>
      <c r="H3" s="12" t="inlineStr">
        <is>
          <t>주기</t>
        </is>
      </c>
      <c r="I3" s="12" t="inlineStr">
        <is>
          <t>대상월</t>
        </is>
      </c>
      <c r="J3" s="12" t="inlineStr"/>
      <c r="K3" s="12" t="inlineStr">
        <is>
          <t>월수입(Tiss)</t>
        </is>
      </c>
      <c r="L3" s="12" t="inlineStr">
        <is>
          <t>월수입(JM)</t>
        </is>
      </c>
      <c r="M3" s="12" t="inlineStr">
        <is>
          <t>월수입(합계)</t>
        </is>
      </c>
      <c r="N3" s="12" t="inlineStr">
        <is>
          <t>연수입(합계)</t>
        </is>
      </c>
    </row>
    <row r="4" ht="20" customHeight="1">
      <c r="B4" s="7" t="inlineStr">
        <is>
          <t>월급</t>
        </is>
      </c>
      <c r="C4" s="7" t="inlineStr"/>
      <c r="D4" s="13" t="n">
        <v>554.3</v>
      </c>
      <c r="E4" s="7" t="inlineStr">
        <is>
          <t>M</t>
        </is>
      </c>
      <c r="F4" s="7" t="inlineStr"/>
      <c r="G4" s="7" t="inlineStr"/>
      <c r="H4" s="7" t="inlineStr"/>
      <c r="I4" s="7" t="inlineStr"/>
      <c r="K4" s="13">
        <f>IF(E4="M",D4,0)</f>
        <v/>
      </c>
      <c r="L4" s="13">
        <f>IF(H4="M",G4,0)</f>
        <v/>
      </c>
      <c r="M4" s="13">
        <f>K4+L4</f>
        <v/>
      </c>
      <c r="N4" s="13">
        <f>IF(E4="M",D4*12,D4)+IF(H4="M",G4*12,G4)</f>
        <v/>
      </c>
    </row>
    <row r="5" ht="20" customHeight="1">
      <c r="B5" s="8" t="inlineStr">
        <is>
          <t>기타상여금</t>
        </is>
      </c>
      <c r="C5" s="8" t="inlineStr">
        <is>
          <t>통신지원금</t>
        </is>
      </c>
      <c r="D5" s="14" t="n">
        <v>5.52</v>
      </c>
      <c r="E5" s="8" t="inlineStr">
        <is>
          <t>M</t>
        </is>
      </c>
      <c r="F5" s="8" t="inlineStr"/>
      <c r="G5" s="8" t="inlineStr"/>
      <c r="H5" s="8" t="inlineStr"/>
      <c r="I5" s="8" t="inlineStr"/>
      <c r="K5" s="14">
        <f>IF(E5="M",D5,0)</f>
        <v/>
      </c>
      <c r="L5" s="14">
        <f>IF(H5="M",G5,0)</f>
        <v/>
      </c>
      <c r="M5" s="14">
        <f>K5+L5</f>
        <v/>
      </c>
      <c r="N5" s="14">
        <f>IF(E5="M",D5*12,D5)+IF(H5="M",G5*12,G5)</f>
        <v/>
      </c>
    </row>
    <row r="6" ht="20" customHeight="1">
      <c r="B6" s="7" t="inlineStr">
        <is>
          <t>기타상여금</t>
        </is>
      </c>
      <c r="C6" s="7" t="inlineStr">
        <is>
          <t>인센티브</t>
        </is>
      </c>
      <c r="D6" s="7" t="inlineStr"/>
      <c r="E6" s="7" t="inlineStr">
        <is>
          <t>Y</t>
        </is>
      </c>
      <c r="F6" s="7" t="inlineStr"/>
      <c r="G6" s="7" t="inlineStr"/>
      <c r="H6" s="7" t="inlineStr"/>
      <c r="I6" s="7" t="inlineStr">
        <is>
          <t>연초 확정 후 입력</t>
        </is>
      </c>
      <c r="K6" s="13">
        <f>IF(E6="M",D6,0)</f>
        <v/>
      </c>
      <c r="L6" s="13">
        <f>IF(H6="M",G6,0)</f>
        <v/>
      </c>
      <c r="M6" s="13">
        <f>K6+L6</f>
        <v/>
      </c>
      <c r="N6" s="13">
        <f>IF(E6="M",D6*12,D6)+IF(H6="M",G6*12,G6)</f>
        <v/>
      </c>
    </row>
    <row r="7" ht="20" customHeight="1">
      <c r="B7" s="8" t="inlineStr">
        <is>
          <t>기타상여금</t>
        </is>
      </c>
      <c r="C7" s="8" t="inlineStr">
        <is>
          <t>명절-설</t>
        </is>
      </c>
      <c r="D7" s="8" t="inlineStr"/>
      <c r="E7" s="8" t="inlineStr">
        <is>
          <t>Y</t>
        </is>
      </c>
      <c r="F7" s="8" t="inlineStr">
        <is>
          <t>01</t>
        </is>
      </c>
      <c r="G7" s="8" t="inlineStr"/>
      <c r="H7" s="8" t="inlineStr"/>
      <c r="I7" s="8" t="inlineStr"/>
      <c r="K7" s="14">
        <f>IF(E7="M",D7,0)</f>
        <v/>
      </c>
      <c r="L7" s="14">
        <f>IF(H7="M",G7,0)</f>
        <v/>
      </c>
      <c r="M7" s="14">
        <f>K7+L7</f>
        <v/>
      </c>
      <c r="N7" s="14">
        <f>IF(E7="M",D7*12,D7)+IF(H7="M",G7*12,G7)</f>
        <v/>
      </c>
    </row>
    <row r="8" ht="20" customHeight="1">
      <c r="B8" s="7" t="inlineStr">
        <is>
          <t>기타상여금</t>
        </is>
      </c>
      <c r="C8" s="7" t="inlineStr">
        <is>
          <t>명절-추석</t>
        </is>
      </c>
      <c r="D8" s="7" t="inlineStr"/>
      <c r="E8" s="7" t="inlineStr">
        <is>
          <t>Y</t>
        </is>
      </c>
      <c r="F8" s="7" t="inlineStr">
        <is>
          <t>09</t>
        </is>
      </c>
      <c r="G8" s="7" t="inlineStr"/>
      <c r="H8" s="7" t="inlineStr"/>
      <c r="I8" s="7" t="inlineStr"/>
      <c r="K8" s="13">
        <f>IF(E8="M",D8,0)</f>
        <v/>
      </c>
      <c r="L8" s="13">
        <f>IF(H8="M",G8,0)</f>
        <v/>
      </c>
      <c r="M8" s="13">
        <f>K8+L8</f>
        <v/>
      </c>
      <c r="N8" s="13">
        <f>IF(E8="M",D8*12,D8)+IF(H8="M",G8*12,G8)</f>
        <v/>
      </c>
    </row>
    <row r="9" ht="20" customHeight="1">
      <c r="B9" s="8" t="inlineStr">
        <is>
          <t>기타상여금</t>
        </is>
      </c>
      <c r="C9" s="8" t="inlineStr">
        <is>
          <t>하계휴가비</t>
        </is>
      </c>
      <c r="D9" s="8" t="inlineStr"/>
      <c r="E9" s="8" t="inlineStr">
        <is>
          <t>Y</t>
        </is>
      </c>
      <c r="F9" s="8" t="inlineStr">
        <is>
          <t>07</t>
        </is>
      </c>
      <c r="G9" s="8" t="inlineStr"/>
      <c r="H9" s="8" t="inlineStr"/>
      <c r="I9" s="8" t="inlineStr"/>
      <c r="K9" s="14">
        <f>IF(E9="M",D9,0)</f>
        <v/>
      </c>
      <c r="L9" s="14">
        <f>IF(H9="M",G9,0)</f>
        <v/>
      </c>
      <c r="M9" s="14">
        <f>K9+L9</f>
        <v/>
      </c>
      <c r="N9" s="14">
        <f>IF(E9="M",D9*12,D9)+IF(H9="M",G9*12,G9)</f>
        <v/>
      </c>
    </row>
    <row r="10" ht="20" customHeight="1">
      <c r="B10" s="7" t="inlineStr">
        <is>
          <t>복지포인트</t>
        </is>
      </c>
      <c r="C10" s="7" t="inlineStr"/>
      <c r="D10" s="7" t="inlineStr"/>
      <c r="E10" s="7" t="inlineStr">
        <is>
          <t>Y</t>
        </is>
      </c>
      <c r="F10" s="7" t="inlineStr"/>
      <c r="G10" s="7" t="inlineStr"/>
      <c r="H10" s="7" t="inlineStr"/>
      <c r="I10" s="7" t="inlineStr"/>
      <c r="K10" s="13">
        <f>IF(E10="M",D10,0)</f>
        <v/>
      </c>
      <c r="L10" s="13">
        <f>IF(H10="M",G10,0)</f>
        <v/>
      </c>
      <c r="M10" s="13">
        <f>K10+L10</f>
        <v/>
      </c>
      <c r="N10" s="13">
        <f>IF(E10="M",D10*12,D10)+IF(H10="M",G10*12,G10)</f>
        <v/>
      </c>
    </row>
    <row r="11" ht="20" customHeight="1">
      <c r="B11" s="8" t="inlineStr">
        <is>
          <t>금융수입</t>
        </is>
      </c>
      <c r="C11" s="8" t="inlineStr"/>
      <c r="D11" s="8" t="inlineStr"/>
      <c r="E11" s="8" t="inlineStr">
        <is>
          <t>M</t>
        </is>
      </c>
      <c r="F11" s="8" t="inlineStr"/>
      <c r="G11" s="8" t="inlineStr"/>
      <c r="H11" s="8" t="inlineStr"/>
      <c r="I11" s="8" t="inlineStr">
        <is>
          <t>이자/배당 등</t>
        </is>
      </c>
      <c r="K11" s="14">
        <f>IF(E11="M",D11,0)</f>
        <v/>
      </c>
      <c r="L11" s="14">
        <f>IF(H11="M",G11,0)</f>
        <v/>
      </c>
      <c r="M11" s="14">
        <f>K11+L11</f>
        <v/>
      </c>
      <c r="N11" s="14">
        <f>IF(E11="M",D11*12,D11)+IF(H11="M",G11*12,G11)</f>
        <v/>
      </c>
    </row>
    <row r="12" ht="20" customHeight="1">
      <c r="B12" s="6" t="inlineStr">
        <is>
          <t>월수입 합계</t>
        </is>
      </c>
      <c r="C12" s="11" t="n"/>
      <c r="D12" s="15">
        <f>SUM(D4:D11)</f>
        <v/>
      </c>
      <c r="E12" s="16" t="inlineStr"/>
      <c r="F12" s="16" t="inlineStr"/>
      <c r="G12" s="15">
        <f>SUM(G4:G11)</f>
        <v/>
      </c>
      <c r="H12" s="16" t="inlineStr"/>
      <c r="I12" s="16" t="inlineStr"/>
      <c r="J12" s="16" t="inlineStr"/>
      <c r="K12" s="15">
        <f>SUM(K4:K11)</f>
        <v/>
      </c>
      <c r="L12" s="15">
        <f>SUM(L4:L11)</f>
        <v/>
      </c>
      <c r="M12" s="15">
        <f>SUM(M4:M11)</f>
        <v/>
      </c>
      <c r="N12" s="15">
        <f>SUM(N4:N11)</f>
        <v/>
      </c>
    </row>
    <row r="13" ht="20" customHeight="1"/>
    <row r="14" ht="24" customHeight="1">
      <c r="B14" s="9" t="inlineStr">
        <is>
          <t>[ 예산(소비) ]  2026년  (단위: 만원)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  <row r="15" ht="20" customHeight="1">
      <c r="B15" s="17" t="inlineStr">
        <is>
          <t>대분류</t>
        </is>
      </c>
      <c r="C15" s="17" t="inlineStr">
        <is>
          <t>중분류</t>
        </is>
      </c>
      <c r="D15" s="17" t="inlineStr">
        <is>
          <t>공동</t>
        </is>
      </c>
      <c r="E15" s="17" t="inlineStr">
        <is>
          <t>Tiss</t>
        </is>
      </c>
      <c r="F15" s="17" t="inlineStr">
        <is>
          <t>JM</t>
        </is>
      </c>
      <c r="G15" s="17" t="inlineStr">
        <is>
          <t>주기</t>
        </is>
      </c>
      <c r="H15" s="17" t="inlineStr">
        <is>
          <t>합계(월)</t>
        </is>
      </c>
      <c r="I15" s="17" t="inlineStr">
        <is>
          <t>납부월</t>
        </is>
      </c>
      <c r="J15" s="17" t="inlineStr">
        <is>
          <t>비고</t>
        </is>
      </c>
    </row>
    <row r="16" ht="20" customHeight="1">
      <c r="B16" s="18" t="inlineStr">
        <is>
          <t>고정비</t>
        </is>
      </c>
      <c r="C16" s="18" t="inlineStr">
        <is>
          <t>교통비</t>
        </is>
      </c>
      <c r="D16" s="18" t="inlineStr"/>
      <c r="E16" s="19" t="n">
        <v>8</v>
      </c>
      <c r="F16" s="19" t="n">
        <v>8</v>
      </c>
      <c r="G16" s="18" t="inlineStr">
        <is>
          <t>M</t>
        </is>
      </c>
      <c r="H16" s="19">
        <f>IF(G16="M",D16+E16+F16,(D16+E16+F16)/12)</f>
        <v/>
      </c>
      <c r="I16" s="18" t="inlineStr"/>
      <c r="J16" s="18" t="inlineStr"/>
    </row>
    <row r="17" ht="20" customHeight="1">
      <c r="B17" s="8" t="inlineStr">
        <is>
          <t>고정비</t>
        </is>
      </c>
      <c r="C17" s="8" t="inlineStr">
        <is>
          <t>휴대폰/인터넷</t>
        </is>
      </c>
      <c r="D17" s="8" t="inlineStr"/>
      <c r="E17" s="14" t="n">
        <v>2.2</v>
      </c>
      <c r="F17" s="14" t="n">
        <v>2.2</v>
      </c>
      <c r="G17" s="8" t="inlineStr">
        <is>
          <t>M</t>
        </is>
      </c>
      <c r="H17" s="14">
        <f>IF(G17="M",D17+E17+F17,(D17+E17+F17)/12)</f>
        <v/>
      </c>
      <c r="I17" s="8" t="inlineStr"/>
      <c r="J17" s="8" t="inlineStr"/>
    </row>
    <row r="18" ht="20" customHeight="1">
      <c r="B18" s="18" t="inlineStr">
        <is>
          <t>고정비</t>
        </is>
      </c>
      <c r="C18" s="18" t="inlineStr">
        <is>
          <t>보험/연금</t>
        </is>
      </c>
      <c r="D18" s="18" t="inlineStr"/>
      <c r="E18" s="19" t="n">
        <v>23.1</v>
      </c>
      <c r="F18" s="18" t="inlineStr"/>
      <c r="G18" s="18" t="inlineStr">
        <is>
          <t>M</t>
        </is>
      </c>
      <c r="H18" s="19">
        <f>IF(G18="M",D18+E18+F18,(D18+E18+F18)/12)</f>
        <v/>
      </c>
      <c r="I18" s="18" t="inlineStr"/>
      <c r="J18" s="18" t="inlineStr">
        <is>
          <t>동양생명 등</t>
        </is>
      </c>
    </row>
    <row r="19" ht="20" customHeight="1">
      <c r="B19" s="8" t="inlineStr">
        <is>
          <t>고정비</t>
        </is>
      </c>
      <c r="C19" s="8" t="inlineStr">
        <is>
          <t>부모님</t>
        </is>
      </c>
      <c r="D19" s="8" t="inlineStr"/>
      <c r="E19" s="8" t="inlineStr"/>
      <c r="F19" s="8" t="inlineStr"/>
      <c r="G19" s="8" t="inlineStr">
        <is>
          <t>M</t>
        </is>
      </c>
      <c r="H19" s="14">
        <f>IF(G19="M",D19+E19+F19,(D19+E19+F19)/12)</f>
        <v/>
      </c>
      <c r="I19" s="8" t="inlineStr"/>
      <c r="J19" s="8" t="inlineStr"/>
    </row>
    <row r="20" ht="20" customHeight="1">
      <c r="B20" s="18" t="inlineStr">
        <is>
          <t>고정비</t>
        </is>
      </c>
      <c r="C20" s="18" t="inlineStr">
        <is>
          <t>기흥모임</t>
        </is>
      </c>
      <c r="D20" s="19" t="n">
        <v>13</v>
      </c>
      <c r="E20" s="18" t="inlineStr"/>
      <c r="F20" s="18" t="inlineStr"/>
      <c r="G20" s="18" t="inlineStr">
        <is>
          <t>M</t>
        </is>
      </c>
      <c r="H20" s="19">
        <f>IF(G20="M",D20+E20+F20,(D20+E20+F20)/12)</f>
        <v/>
      </c>
      <c r="I20" s="18" t="inlineStr"/>
      <c r="J20" s="18" t="inlineStr"/>
    </row>
    <row r="21" ht="20" customHeight="1">
      <c r="B21" s="8" t="inlineStr">
        <is>
          <t>고정비</t>
        </is>
      </c>
      <c r="C21" s="8" t="inlineStr">
        <is>
          <t>구독형서비스</t>
        </is>
      </c>
      <c r="D21" s="8" t="inlineStr"/>
      <c r="E21" s="8" t="inlineStr"/>
      <c r="F21" s="8" t="inlineStr"/>
      <c r="G21" s="8" t="inlineStr">
        <is>
          <t>M</t>
        </is>
      </c>
      <c r="H21" s="14">
        <f>IF(G21="M",D21+E21+F21,(D21+E21+F21)/12)</f>
        <v/>
      </c>
      <c r="I21" s="8" t="inlineStr"/>
      <c r="J21" s="8" t="inlineStr">
        <is>
          <t>넷플릭스 등</t>
        </is>
      </c>
    </row>
    <row r="22" ht="20" customHeight="1">
      <c r="B22" s="18" t="inlineStr">
        <is>
          <t>고정비</t>
        </is>
      </c>
      <c r="C22" s="18" t="inlineStr">
        <is>
          <t>용돈</t>
        </is>
      </c>
      <c r="D22" s="18" t="inlineStr"/>
      <c r="E22" s="19" t="n">
        <v>10</v>
      </c>
      <c r="F22" s="19" t="n">
        <v>8.5</v>
      </c>
      <c r="G22" s="18" t="inlineStr">
        <is>
          <t>M</t>
        </is>
      </c>
      <c r="H22" s="19">
        <f>IF(G22="M",D22+E22+F22,(D22+E22+F22)/12)</f>
        <v/>
      </c>
      <c r="I22" s="18" t="inlineStr"/>
      <c r="J22" s="18" t="inlineStr"/>
    </row>
    <row r="23" ht="20" customHeight="1">
      <c r="B23" s="8" t="inlineStr">
        <is>
          <t>고정비</t>
        </is>
      </c>
      <c r="C23" s="8" t="inlineStr">
        <is>
          <t>아파트관리비</t>
        </is>
      </c>
      <c r="D23" s="14" t="n">
        <v>33</v>
      </c>
      <c r="E23" s="8" t="inlineStr"/>
      <c r="F23" s="8" t="inlineStr"/>
      <c r="G23" s="8" t="inlineStr">
        <is>
          <t>M</t>
        </is>
      </c>
      <c r="H23" s="14">
        <f>IF(G23="M",D23+E23+F23,(D23+E23+F23)/12)</f>
        <v/>
      </c>
      <c r="I23" s="8" t="inlineStr"/>
      <c r="J23" s="8" t="inlineStr"/>
    </row>
    <row r="24" ht="20" customHeight="1">
      <c r="B24" s="18" t="inlineStr">
        <is>
          <t>생활비</t>
        </is>
      </c>
      <c r="C24" s="18" t="inlineStr">
        <is>
          <t>생활비</t>
        </is>
      </c>
      <c r="D24" s="19" t="n">
        <v>35</v>
      </c>
      <c r="E24" s="18" t="inlineStr"/>
      <c r="F24" s="18" t="inlineStr"/>
      <c r="G24" s="18" t="inlineStr">
        <is>
          <t>M</t>
        </is>
      </c>
      <c r="H24" s="19">
        <f>IF(G24="M",D24+E24+F24,(D24+E24+F24)/12)</f>
        <v/>
      </c>
      <c r="I24" s="18" t="inlineStr"/>
      <c r="J24" s="18" t="inlineStr"/>
    </row>
    <row r="25" ht="20" customHeight="1">
      <c r="B25" s="8" t="inlineStr">
        <is>
          <t>의료/건강</t>
        </is>
      </c>
      <c r="C25" s="8" t="inlineStr">
        <is>
          <t>의료/건강</t>
        </is>
      </c>
      <c r="D25" s="8" t="inlineStr"/>
      <c r="E25" s="8" t="inlineStr"/>
      <c r="F25" s="8" t="inlineStr"/>
      <c r="G25" s="8" t="inlineStr">
        <is>
          <t>M</t>
        </is>
      </c>
      <c r="H25" s="14">
        <f>IF(G25="M",D25+E25+F25,(D25+E25+F25)/12)</f>
        <v/>
      </c>
      <c r="I25" s="8" t="inlineStr"/>
      <c r="J25" s="8" t="inlineStr"/>
    </row>
    <row r="26" ht="20" customHeight="1">
      <c r="B26" s="18" t="inlineStr">
        <is>
          <t>모임</t>
        </is>
      </c>
      <c r="C26" s="18" t="inlineStr">
        <is>
          <t>모임</t>
        </is>
      </c>
      <c r="D26" s="18" t="inlineStr"/>
      <c r="E26" s="18" t="inlineStr"/>
      <c r="F26" s="18" t="inlineStr"/>
      <c r="G26" s="18" t="inlineStr">
        <is>
          <t>M</t>
        </is>
      </c>
      <c r="H26" s="19">
        <f>IF(G26="M",D26+E26+F26,(D26+E26+F26)/12)</f>
        <v/>
      </c>
      <c r="I26" s="18" t="inlineStr"/>
      <c r="J26" s="18" t="inlineStr"/>
    </row>
    <row r="27" ht="20" customHeight="1">
      <c r="B27" s="8" t="inlineStr">
        <is>
          <t>Tiss</t>
        </is>
      </c>
      <c r="C27" s="8" t="inlineStr">
        <is>
          <t>개인</t>
        </is>
      </c>
      <c r="D27" s="8" t="inlineStr"/>
      <c r="E27" s="8" t="inlineStr"/>
      <c r="F27" s="8" t="inlineStr"/>
      <c r="G27" s="8" t="inlineStr">
        <is>
          <t>M</t>
        </is>
      </c>
      <c r="H27" s="14">
        <f>IF(G27="M",D27+E27+F27,(D27+E27+F27)/12)</f>
        <v/>
      </c>
      <c r="I27" s="8" t="inlineStr"/>
      <c r="J27" s="8" t="inlineStr"/>
    </row>
    <row r="28" ht="20" customHeight="1">
      <c r="B28" s="18" t="inlineStr">
        <is>
          <t>JM</t>
        </is>
      </c>
      <c r="C28" s="18" t="inlineStr">
        <is>
          <t>개인</t>
        </is>
      </c>
      <c r="D28" s="18" t="inlineStr"/>
      <c r="E28" s="18" t="inlineStr"/>
      <c r="F28" s="18" t="inlineStr"/>
      <c r="G28" s="18" t="inlineStr">
        <is>
          <t>M</t>
        </is>
      </c>
      <c r="H28" s="19">
        <f>IF(G28="M",D28+E28+F28,(D28+E28+F28)/12)</f>
        <v/>
      </c>
      <c r="I28" s="18" t="inlineStr"/>
      <c r="J28" s="18" t="inlineStr"/>
    </row>
    <row r="29" ht="20" customHeight="1">
      <c r="B29" s="8" t="inlineStr">
        <is>
          <t>세금</t>
        </is>
      </c>
      <c r="C29" s="8" t="inlineStr">
        <is>
          <t>재산세(주택)</t>
        </is>
      </c>
      <c r="D29" s="14" t="n">
        <v>30</v>
      </c>
      <c r="E29" s="8" t="inlineStr"/>
      <c r="F29" s="8" t="inlineStr"/>
      <c r="G29" s="8" t="inlineStr">
        <is>
          <t>Y</t>
        </is>
      </c>
      <c r="H29" s="14">
        <f>IF(G29="M",D29+E29+F29,(D29+E29+F29)/12)</f>
        <v/>
      </c>
      <c r="I29" s="8" t="inlineStr">
        <is>
          <t>07</t>
        </is>
      </c>
      <c r="J29" s="8" t="inlineStr"/>
    </row>
    <row r="30" ht="20" customHeight="1">
      <c r="B30" s="18" t="inlineStr">
        <is>
          <t>세금</t>
        </is>
      </c>
      <c r="C30" s="18" t="inlineStr">
        <is>
          <t>종합소득세</t>
        </is>
      </c>
      <c r="D30" s="18" t="inlineStr"/>
      <c r="E30" s="18" t="inlineStr"/>
      <c r="F30" s="18" t="inlineStr"/>
      <c r="G30" s="18" t="inlineStr">
        <is>
          <t>Y</t>
        </is>
      </c>
      <c r="H30" s="19">
        <f>IF(G30="M",D30+E30+F30,(D30+E30+F30)/12)</f>
        <v/>
      </c>
      <c r="I30" s="18" t="inlineStr">
        <is>
          <t>05</t>
        </is>
      </c>
      <c r="J30" s="18" t="inlineStr"/>
    </row>
    <row r="31" ht="20" customHeight="1">
      <c r="B31" s="8" t="inlineStr">
        <is>
          <t>대출상환</t>
        </is>
      </c>
      <c r="C31" s="8" t="inlineStr">
        <is>
          <t>디딤돌대출</t>
        </is>
      </c>
      <c r="D31" s="8" t="inlineStr"/>
      <c r="E31" s="8" t="inlineStr"/>
      <c r="F31" s="8" t="inlineStr"/>
      <c r="G31" s="8" t="inlineStr">
        <is>
          <t>M</t>
        </is>
      </c>
      <c r="H31" s="14">
        <f>IF(G31="M",D31+E31+F31,(D31+E31+F31)/12)</f>
        <v/>
      </c>
      <c r="I31" s="8" t="inlineStr"/>
      <c r="J31" s="8" t="inlineStr">
        <is>
          <t>자동이체</t>
        </is>
      </c>
    </row>
    <row r="32" ht="20" customHeight="1">
      <c r="B32" s="18" t="inlineStr">
        <is>
          <t>부동산</t>
        </is>
      </c>
      <c r="C32" s="18" t="inlineStr">
        <is>
          <t>부동산</t>
        </is>
      </c>
      <c r="D32" s="18" t="inlineStr"/>
      <c r="E32" s="18" t="inlineStr"/>
      <c r="F32" s="18" t="inlineStr"/>
      <c r="G32" s="18" t="inlineStr">
        <is>
          <t>Y</t>
        </is>
      </c>
      <c r="H32" s="19">
        <f>IF(G32="M",D32+E32+F32,(D32+E32+F32)/12)</f>
        <v/>
      </c>
      <c r="I32" s="18" t="inlineStr"/>
      <c r="J32" s="18" t="inlineStr"/>
    </row>
    <row r="33" ht="20" customHeight="1">
      <c r="B33" s="8" t="inlineStr">
        <is>
          <t>기타</t>
        </is>
      </c>
      <c r="C33" s="8" t="inlineStr">
        <is>
          <t>기타</t>
        </is>
      </c>
      <c r="D33" s="8" t="inlineStr"/>
      <c r="E33" s="8" t="inlineStr"/>
      <c r="F33" s="8" t="inlineStr"/>
      <c r="G33" s="8" t="inlineStr">
        <is>
          <t>M</t>
        </is>
      </c>
      <c r="H33" s="14">
        <f>IF(G33="M",D33+E33+F33,(D33+E33+F33)/12)</f>
        <v/>
      </c>
      <c r="I33" s="8" t="inlineStr"/>
      <c r="J33" s="8" t="inlineStr"/>
    </row>
    <row r="34" ht="20" customHeight="1">
      <c r="B34" s="6" t="inlineStr">
        <is>
          <t>월지출 예산 합계</t>
        </is>
      </c>
      <c r="C34" s="11" t="n"/>
      <c r="D34" s="15">
        <f>SUM(D16:D33)</f>
        <v/>
      </c>
      <c r="E34" s="15">
        <f>SUM(E16:E33)</f>
        <v/>
      </c>
      <c r="F34" s="15">
        <f>SUM(F16:F33)</f>
        <v/>
      </c>
      <c r="G34" s="16" t="inlineStr"/>
      <c r="H34" s="15">
        <f>SUM(H16:H33)</f>
        <v/>
      </c>
      <c r="I34" s="16" t="inlineStr"/>
      <c r="J34" s="16" t="inlineStr"/>
      <c r="K34" s="16" t="inlineStr"/>
      <c r="L34" s="16" t="inlineStr"/>
      <c r="M34" s="16" t="inlineStr"/>
      <c r="N34" s="16" t="inlineStr"/>
    </row>
    <row r="35" ht="20" customHeight="1"/>
    <row r="36" ht="20" customHeight="1">
      <c r="B36" s="20" t="inlineStr">
        <is>
          <t>월 순수입 (수입-지출)</t>
        </is>
      </c>
      <c r="C36" s="10" t="n"/>
      <c r="D36" s="10" t="n"/>
      <c r="E36" s="10" t="n"/>
      <c r="F36" s="10" t="n"/>
      <c r="G36" s="11" t="n"/>
      <c r="H36" s="21">
        <f>K12-H34</f>
        <v/>
      </c>
    </row>
    <row r="37" ht="20" customHeight="1"/>
    <row r="38" ht="20" customHeight="1"/>
    <row r="39" ht="24" customHeight="1">
      <c r="B39" s="9" t="inlineStr">
        <is>
          <t>[ 저축 목표 ]  2026년  (단위: 만원)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 t="n"/>
    </row>
    <row r="40" ht="20" customHeight="1">
      <c r="B40" s="22" t="inlineStr">
        <is>
          <t>항목</t>
        </is>
      </c>
      <c r="C40" s="22" t="inlineStr">
        <is>
          <t>금액(만원)</t>
        </is>
      </c>
      <c r="D40" s="22" t="inlineStr">
        <is>
          <t>비고</t>
        </is>
      </c>
    </row>
    <row r="41" ht="20" customHeight="1">
      <c r="B41" s="8" t="inlineStr">
        <is>
          <t>청약저축</t>
        </is>
      </c>
      <c r="C41" s="14" t="n">
        <v>20</v>
      </c>
      <c r="D41" s="8" t="inlineStr"/>
    </row>
    <row r="42" ht="20" customHeight="1">
      <c r="B42" s="8" t="inlineStr">
        <is>
          <t>정기적금</t>
        </is>
      </c>
      <c r="C42" s="14" t="n">
        <v>0</v>
      </c>
      <c r="D42" s="8" t="inlineStr"/>
    </row>
    <row r="43" ht="20" customHeight="1">
      <c r="B43" s="8" t="inlineStr">
        <is>
          <t>비상금 적립</t>
        </is>
      </c>
      <c r="C43" s="14" t="n">
        <v>0</v>
      </c>
      <c r="D43" s="8" t="inlineStr"/>
    </row>
    <row r="44" ht="20" customHeight="1">
      <c r="B44" s="8" t="inlineStr">
        <is>
          <t>기타저축</t>
        </is>
      </c>
      <c r="C44" s="14" t="n">
        <v>0</v>
      </c>
      <c r="D44" s="8" t="inlineStr"/>
    </row>
    <row r="45" ht="20" customHeight="1">
      <c r="B45" s="23" t="inlineStr">
        <is>
          <t>월 저축 합계</t>
        </is>
      </c>
      <c r="C45" s="11" t="n"/>
      <c r="D45" s="24">
        <f>SUM(C41:C44)</f>
        <v/>
      </c>
      <c r="E45" s="23" t="n"/>
      <c r="F45" s="23" t="n"/>
      <c r="G45" s="23" t="n"/>
      <c r="H45" s="23" t="n"/>
      <c r="I45" s="23" t="n"/>
      <c r="J45" s="23" t="n"/>
      <c r="K45" s="23" t="n"/>
    </row>
    <row r="46" ht="20" customHeight="1"/>
    <row r="47" ht="20" customHeight="1">
      <c r="B47" s="6" t="inlineStr">
        <is>
          <t>월 순잉여금 (저축 후 남는 돈)</t>
        </is>
      </c>
      <c r="C47" s="10" t="n"/>
      <c r="D47" s="10" t="n"/>
      <c r="E47" s="10" t="n"/>
      <c r="F47" s="10" t="n"/>
      <c r="G47" s="11" t="n"/>
      <c r="H47" s="15">
        <f>H36-D45</f>
        <v/>
      </c>
    </row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</sheetData>
  <mergeCells count="8">
    <mergeCell ref="B47:G47"/>
    <mergeCell ref="B14:N14"/>
    <mergeCell ref="B36:G36"/>
    <mergeCell ref="B34:C34"/>
    <mergeCell ref="B45:C45"/>
    <mergeCell ref="B39:N39"/>
    <mergeCell ref="B2:N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22" customWidth="1" min="6" max="6"/>
    <col width="14" customWidth="1" min="7" max="7"/>
    <col width="8" customWidth="1" min="8" max="8"/>
    <col width="22" customWidth="1" min="9" max="9"/>
    <col width="20" customWidth="1" min="10" max="10"/>
  </cols>
  <sheetData>
    <row r="1" ht="14" customHeight="1">
      <c r="A1" s="25" t="inlineStr">
        <is>
          <t>▶  뱅크샐러드 앱 → 내보내기 → '가계부 내역' 시트를 복사하여 3행부터 붙여넣기 하세요.</t>
        </is>
      </c>
    </row>
    <row r="2" ht="22" customHeight="1">
      <c r="A2" s="26" t="inlineStr">
        <is>
          <t>※ 헤더(1행)는 그대로 두고, 데이터만 붙여넣기. '이체' 타입은 집계에서 자동 제외됩니다.</t>
        </is>
      </c>
    </row>
    <row r="3" ht="40" customHeight="1">
      <c r="A3" s="27" t="inlineStr">
        <is>
          <t>날짜</t>
        </is>
      </c>
      <c r="B3" s="27" t="inlineStr">
        <is>
          <t>시간</t>
        </is>
      </c>
      <c r="C3" s="27" t="inlineStr">
        <is>
          <t>타입</t>
        </is>
      </c>
      <c r="D3" s="27" t="inlineStr">
        <is>
          <t>대분류</t>
        </is>
      </c>
      <c r="E3" s="27" t="inlineStr">
        <is>
          <t>소분류</t>
        </is>
      </c>
      <c r="F3" s="27" t="inlineStr">
        <is>
          <t>내용</t>
        </is>
      </c>
      <c r="G3" s="27" t="inlineStr">
        <is>
          <t>금액</t>
        </is>
      </c>
      <c r="H3" s="27" t="inlineStr">
        <is>
          <t>화폐</t>
        </is>
      </c>
      <c r="I3" s="27" t="inlineStr">
        <is>
          <t>결제수단</t>
        </is>
      </c>
      <c r="J3" s="27" t="inlineStr">
        <is>
          <t>메모</t>
        </is>
      </c>
    </row>
    <row r="4">
      <c r="A4" s="28" t="n"/>
      <c r="B4" s="29" t="n"/>
      <c r="C4" s="29" t="n"/>
      <c r="D4" s="29" t="n"/>
      <c r="E4" s="29" t="n"/>
      <c r="F4" s="29" t="n"/>
      <c r="G4" s="30" t="n"/>
      <c r="H4" s="29" t="n"/>
      <c r="I4" s="29" t="n"/>
      <c r="J4" s="29" t="n"/>
    </row>
    <row r="5">
      <c r="A5" s="31" t="n"/>
      <c r="B5" s="32" t="n"/>
      <c r="C5" s="32" t="n"/>
      <c r="D5" s="32" t="n"/>
      <c r="E5" s="32" t="n"/>
      <c r="F5" s="32" t="n"/>
      <c r="G5" s="33" t="n"/>
      <c r="H5" s="32" t="n"/>
      <c r="I5" s="32" t="n"/>
      <c r="J5" s="32" t="n"/>
    </row>
    <row r="6">
      <c r="A6" s="28" t="n"/>
      <c r="B6" s="29" t="n"/>
      <c r="C6" s="29" t="n"/>
      <c r="D6" s="29" t="n"/>
      <c r="E6" s="29" t="n"/>
      <c r="F6" s="29" t="n"/>
      <c r="G6" s="30" t="n"/>
      <c r="H6" s="29" t="n"/>
      <c r="I6" s="29" t="n"/>
      <c r="J6" s="29" t="n"/>
    </row>
    <row r="7">
      <c r="A7" s="31" t="n"/>
      <c r="B7" s="32" t="n"/>
      <c r="C7" s="32" t="n"/>
      <c r="D7" s="32" t="n"/>
      <c r="E7" s="32" t="n"/>
      <c r="F7" s="32" t="n"/>
      <c r="G7" s="33" t="n"/>
      <c r="H7" s="32" t="n"/>
      <c r="I7" s="32" t="n"/>
      <c r="J7" s="32" t="n"/>
    </row>
    <row r="8">
      <c r="A8" s="28" t="n"/>
      <c r="B8" s="29" t="n"/>
      <c r="C8" s="29" t="n"/>
      <c r="D8" s="29" t="n"/>
      <c r="E8" s="29" t="n"/>
      <c r="F8" s="29" t="n"/>
      <c r="G8" s="30" t="n"/>
      <c r="H8" s="29" t="n"/>
      <c r="I8" s="29" t="n"/>
      <c r="J8" s="29" t="n"/>
    </row>
    <row r="9">
      <c r="A9" s="31" t="n"/>
      <c r="B9" s="32" t="n"/>
      <c r="C9" s="32" t="n"/>
      <c r="D9" s="32" t="n"/>
      <c r="E9" s="32" t="n"/>
      <c r="F9" s="32" t="n"/>
      <c r="G9" s="33" t="n"/>
      <c r="H9" s="32" t="n"/>
      <c r="I9" s="32" t="n"/>
      <c r="J9" s="32" t="n"/>
    </row>
    <row r="10">
      <c r="A10" s="28" t="n"/>
      <c r="B10" s="29" t="n"/>
      <c r="C10" s="29" t="n"/>
      <c r="D10" s="29" t="n"/>
      <c r="E10" s="29" t="n"/>
      <c r="F10" s="29" t="n"/>
      <c r="G10" s="30" t="n"/>
      <c r="H10" s="29" t="n"/>
      <c r="I10" s="29" t="n"/>
      <c r="J10" s="29" t="n"/>
    </row>
    <row r="11">
      <c r="A11" s="31" t="n"/>
      <c r="B11" s="32" t="n"/>
      <c r="C11" s="32" t="n"/>
      <c r="D11" s="32" t="n"/>
      <c r="E11" s="32" t="n"/>
      <c r="F11" s="32" t="n"/>
      <c r="G11" s="33" t="n"/>
      <c r="H11" s="32" t="n"/>
      <c r="I11" s="32" t="n"/>
      <c r="J11" s="32" t="n"/>
    </row>
    <row r="12">
      <c r="A12" s="28" t="n"/>
      <c r="B12" s="29" t="n"/>
      <c r="C12" s="29" t="n"/>
      <c r="D12" s="29" t="n"/>
      <c r="E12" s="29" t="n"/>
      <c r="F12" s="29" t="n"/>
      <c r="G12" s="30" t="n"/>
      <c r="H12" s="29" t="n"/>
      <c r="I12" s="29" t="n"/>
      <c r="J12" s="29" t="n"/>
    </row>
    <row r="13">
      <c r="A13" s="31" t="n"/>
      <c r="B13" s="32" t="n"/>
      <c r="C13" s="32" t="n"/>
      <c r="D13" s="32" t="n"/>
      <c r="E13" s="32" t="n"/>
      <c r="F13" s="32" t="n"/>
      <c r="G13" s="33" t="n"/>
      <c r="H13" s="32" t="n"/>
      <c r="I13" s="32" t="n"/>
      <c r="J13" s="32" t="n"/>
    </row>
    <row r="14">
      <c r="A14" s="28" t="n"/>
      <c r="B14" s="29" t="n"/>
      <c r="C14" s="29" t="n"/>
      <c r="D14" s="29" t="n"/>
      <c r="E14" s="29" t="n"/>
      <c r="F14" s="29" t="n"/>
      <c r="G14" s="30" t="n"/>
      <c r="H14" s="29" t="n"/>
      <c r="I14" s="29" t="n"/>
      <c r="J14" s="29" t="n"/>
    </row>
    <row r="15">
      <c r="A15" s="31" t="n"/>
      <c r="B15" s="32" t="n"/>
      <c r="C15" s="32" t="n"/>
      <c r="D15" s="32" t="n"/>
      <c r="E15" s="32" t="n"/>
      <c r="F15" s="32" t="n"/>
      <c r="G15" s="33" t="n"/>
      <c r="H15" s="32" t="n"/>
      <c r="I15" s="32" t="n"/>
      <c r="J15" s="32" t="n"/>
    </row>
    <row r="16">
      <c r="A16" s="28" t="n"/>
      <c r="B16" s="29" t="n"/>
      <c r="C16" s="29" t="n"/>
      <c r="D16" s="29" t="n"/>
      <c r="E16" s="29" t="n"/>
      <c r="F16" s="29" t="n"/>
      <c r="G16" s="30" t="n"/>
      <c r="H16" s="29" t="n"/>
      <c r="I16" s="29" t="n"/>
      <c r="J16" s="29" t="n"/>
    </row>
    <row r="17">
      <c r="A17" s="31" t="n"/>
      <c r="B17" s="32" t="n"/>
      <c r="C17" s="32" t="n"/>
      <c r="D17" s="32" t="n"/>
      <c r="E17" s="32" t="n"/>
      <c r="F17" s="32" t="n"/>
      <c r="G17" s="33" t="n"/>
      <c r="H17" s="32" t="n"/>
      <c r="I17" s="32" t="n"/>
      <c r="J17" s="32" t="n"/>
    </row>
    <row r="18">
      <c r="A18" s="28" t="n"/>
      <c r="B18" s="29" t="n"/>
      <c r="C18" s="29" t="n"/>
      <c r="D18" s="29" t="n"/>
      <c r="E18" s="29" t="n"/>
      <c r="F18" s="29" t="n"/>
      <c r="G18" s="30" t="n"/>
      <c r="H18" s="29" t="n"/>
      <c r="I18" s="29" t="n"/>
      <c r="J18" s="29" t="n"/>
    </row>
    <row r="19">
      <c r="A19" s="31" t="n"/>
      <c r="B19" s="32" t="n"/>
      <c r="C19" s="32" t="n"/>
      <c r="D19" s="32" t="n"/>
      <c r="E19" s="32" t="n"/>
      <c r="F19" s="32" t="n"/>
      <c r="G19" s="33" t="n"/>
      <c r="H19" s="32" t="n"/>
      <c r="I19" s="32" t="n"/>
      <c r="J19" s="32" t="n"/>
    </row>
    <row r="20">
      <c r="A20" s="28" t="n"/>
      <c r="B20" s="29" t="n"/>
      <c r="C20" s="29" t="n"/>
      <c r="D20" s="29" t="n"/>
      <c r="E20" s="29" t="n"/>
      <c r="F20" s="29" t="n"/>
      <c r="G20" s="30" t="n"/>
      <c r="H20" s="29" t="n"/>
      <c r="I20" s="29" t="n"/>
      <c r="J20" s="29" t="n"/>
    </row>
    <row r="21">
      <c r="A21" s="31" t="n"/>
      <c r="B21" s="32" t="n"/>
      <c r="C21" s="32" t="n"/>
      <c r="D21" s="32" t="n"/>
      <c r="E21" s="32" t="n"/>
      <c r="F21" s="32" t="n"/>
      <c r="G21" s="33" t="n"/>
      <c r="H21" s="32" t="n"/>
      <c r="I21" s="32" t="n"/>
      <c r="J21" s="32" t="n"/>
    </row>
    <row r="22">
      <c r="A22" s="28" t="n"/>
      <c r="B22" s="29" t="n"/>
      <c r="C22" s="29" t="n"/>
      <c r="D22" s="29" t="n"/>
      <c r="E22" s="29" t="n"/>
      <c r="F22" s="29" t="n"/>
      <c r="G22" s="30" t="n"/>
      <c r="H22" s="29" t="n"/>
      <c r="I22" s="29" t="n"/>
      <c r="J22" s="29" t="n"/>
    </row>
    <row r="23">
      <c r="A23" s="31" t="n"/>
      <c r="B23" s="32" t="n"/>
      <c r="C23" s="32" t="n"/>
      <c r="D23" s="32" t="n"/>
      <c r="E23" s="32" t="n"/>
      <c r="F23" s="32" t="n"/>
      <c r="G23" s="33" t="n"/>
      <c r="H23" s="32" t="n"/>
      <c r="I23" s="32" t="n"/>
      <c r="J23" s="32" t="n"/>
    </row>
    <row r="24">
      <c r="A24" s="28" t="n"/>
      <c r="B24" s="29" t="n"/>
      <c r="C24" s="29" t="n"/>
      <c r="D24" s="29" t="n"/>
      <c r="E24" s="29" t="n"/>
      <c r="F24" s="29" t="n"/>
      <c r="G24" s="30" t="n"/>
      <c r="H24" s="29" t="n"/>
      <c r="I24" s="29" t="n"/>
      <c r="J24" s="29" t="n"/>
    </row>
    <row r="25">
      <c r="A25" s="31" t="n"/>
      <c r="B25" s="32" t="n"/>
      <c r="C25" s="32" t="n"/>
      <c r="D25" s="32" t="n"/>
      <c r="E25" s="32" t="n"/>
      <c r="F25" s="32" t="n"/>
      <c r="G25" s="33" t="n"/>
      <c r="H25" s="32" t="n"/>
      <c r="I25" s="32" t="n"/>
      <c r="J25" s="32" t="n"/>
    </row>
    <row r="26">
      <c r="A26" s="28" t="n"/>
      <c r="B26" s="29" t="n"/>
      <c r="C26" s="29" t="n"/>
      <c r="D26" s="29" t="n"/>
      <c r="E26" s="29" t="n"/>
      <c r="F26" s="29" t="n"/>
      <c r="G26" s="30" t="n"/>
      <c r="H26" s="29" t="n"/>
      <c r="I26" s="29" t="n"/>
      <c r="J26" s="29" t="n"/>
    </row>
    <row r="27">
      <c r="A27" s="31" t="n"/>
      <c r="B27" s="32" t="n"/>
      <c r="C27" s="32" t="n"/>
      <c r="D27" s="32" t="n"/>
      <c r="E27" s="32" t="n"/>
      <c r="F27" s="32" t="n"/>
      <c r="G27" s="33" t="n"/>
      <c r="H27" s="32" t="n"/>
      <c r="I27" s="32" t="n"/>
      <c r="J27" s="32" t="n"/>
    </row>
    <row r="28">
      <c r="A28" s="28" t="n"/>
      <c r="B28" s="29" t="n"/>
      <c r="C28" s="29" t="n"/>
      <c r="D28" s="29" t="n"/>
      <c r="E28" s="29" t="n"/>
      <c r="F28" s="29" t="n"/>
      <c r="G28" s="30" t="n"/>
      <c r="H28" s="29" t="n"/>
      <c r="I28" s="29" t="n"/>
      <c r="J28" s="29" t="n"/>
    </row>
    <row r="29">
      <c r="A29" s="31" t="n"/>
      <c r="B29" s="32" t="n"/>
      <c r="C29" s="32" t="n"/>
      <c r="D29" s="32" t="n"/>
      <c r="E29" s="32" t="n"/>
      <c r="F29" s="32" t="n"/>
      <c r="G29" s="33" t="n"/>
      <c r="H29" s="32" t="n"/>
      <c r="I29" s="32" t="n"/>
      <c r="J29" s="32" t="n"/>
    </row>
    <row r="30">
      <c r="A30" s="28" t="n"/>
      <c r="B30" s="29" t="n"/>
      <c r="C30" s="29" t="n"/>
      <c r="D30" s="29" t="n"/>
      <c r="E30" s="29" t="n"/>
      <c r="F30" s="29" t="n"/>
      <c r="G30" s="30" t="n"/>
      <c r="H30" s="29" t="n"/>
      <c r="I30" s="29" t="n"/>
      <c r="J30" s="29" t="n"/>
    </row>
    <row r="31">
      <c r="A31" s="31" t="n"/>
      <c r="B31" s="32" t="n"/>
      <c r="C31" s="32" t="n"/>
      <c r="D31" s="32" t="n"/>
      <c r="E31" s="32" t="n"/>
      <c r="F31" s="32" t="n"/>
      <c r="G31" s="33" t="n"/>
      <c r="H31" s="32" t="n"/>
      <c r="I31" s="32" t="n"/>
      <c r="J31" s="32" t="n"/>
    </row>
    <row r="32">
      <c r="A32" s="28" t="n"/>
      <c r="B32" s="29" t="n"/>
      <c r="C32" s="29" t="n"/>
      <c r="D32" s="29" t="n"/>
      <c r="E32" s="29" t="n"/>
      <c r="F32" s="29" t="n"/>
      <c r="G32" s="30" t="n"/>
      <c r="H32" s="29" t="n"/>
      <c r="I32" s="29" t="n"/>
      <c r="J32" s="29" t="n"/>
    </row>
    <row r="33">
      <c r="A33" s="31" t="n"/>
      <c r="B33" s="32" t="n"/>
      <c r="C33" s="32" t="n"/>
      <c r="D33" s="32" t="n"/>
      <c r="E33" s="32" t="n"/>
      <c r="F33" s="32" t="n"/>
      <c r="G33" s="33" t="n"/>
      <c r="H33" s="32" t="n"/>
      <c r="I33" s="32" t="n"/>
      <c r="J33" s="32" t="n"/>
    </row>
    <row r="34">
      <c r="A34" s="28" t="n"/>
      <c r="B34" s="29" t="n"/>
      <c r="C34" s="29" t="n"/>
      <c r="D34" s="29" t="n"/>
      <c r="E34" s="29" t="n"/>
      <c r="F34" s="29" t="n"/>
      <c r="G34" s="30" t="n"/>
      <c r="H34" s="29" t="n"/>
      <c r="I34" s="29" t="n"/>
      <c r="J34" s="29" t="n"/>
    </row>
    <row r="35">
      <c r="A35" s="31" t="n"/>
      <c r="B35" s="32" t="n"/>
      <c r="C35" s="32" t="n"/>
      <c r="D35" s="32" t="n"/>
      <c r="E35" s="32" t="n"/>
      <c r="F35" s="32" t="n"/>
      <c r="G35" s="33" t="n"/>
      <c r="H35" s="32" t="n"/>
      <c r="I35" s="32" t="n"/>
      <c r="J35" s="32" t="n"/>
    </row>
    <row r="36">
      <c r="A36" s="28" t="n"/>
      <c r="B36" s="29" t="n"/>
      <c r="C36" s="29" t="n"/>
      <c r="D36" s="29" t="n"/>
      <c r="E36" s="29" t="n"/>
      <c r="F36" s="29" t="n"/>
      <c r="G36" s="30" t="n"/>
      <c r="H36" s="29" t="n"/>
      <c r="I36" s="29" t="n"/>
      <c r="J36" s="29" t="n"/>
    </row>
    <row r="37">
      <c r="A37" s="31" t="n"/>
      <c r="B37" s="32" t="n"/>
      <c r="C37" s="32" t="n"/>
      <c r="D37" s="32" t="n"/>
      <c r="E37" s="32" t="n"/>
      <c r="F37" s="32" t="n"/>
      <c r="G37" s="33" t="n"/>
      <c r="H37" s="32" t="n"/>
      <c r="I37" s="32" t="n"/>
      <c r="J37" s="32" t="n"/>
    </row>
    <row r="38">
      <c r="A38" s="28" t="n"/>
      <c r="B38" s="29" t="n"/>
      <c r="C38" s="29" t="n"/>
      <c r="D38" s="29" t="n"/>
      <c r="E38" s="29" t="n"/>
      <c r="F38" s="29" t="n"/>
      <c r="G38" s="30" t="n"/>
      <c r="H38" s="29" t="n"/>
      <c r="I38" s="29" t="n"/>
      <c r="J38" s="29" t="n"/>
    </row>
    <row r="39">
      <c r="A39" s="31" t="n"/>
      <c r="B39" s="32" t="n"/>
      <c r="C39" s="32" t="n"/>
      <c r="D39" s="32" t="n"/>
      <c r="E39" s="32" t="n"/>
      <c r="F39" s="32" t="n"/>
      <c r="G39" s="33" t="n"/>
      <c r="H39" s="32" t="n"/>
      <c r="I39" s="32" t="n"/>
      <c r="J39" s="32" t="n"/>
    </row>
    <row r="40">
      <c r="A40" s="28" t="n"/>
      <c r="B40" s="29" t="n"/>
      <c r="C40" s="29" t="n"/>
      <c r="D40" s="29" t="n"/>
      <c r="E40" s="29" t="n"/>
      <c r="F40" s="29" t="n"/>
      <c r="G40" s="30" t="n"/>
      <c r="H40" s="29" t="n"/>
      <c r="I40" s="29" t="n"/>
      <c r="J40" s="29" t="n"/>
    </row>
    <row r="41">
      <c r="A41" s="31" t="n"/>
      <c r="B41" s="32" t="n"/>
      <c r="C41" s="32" t="n"/>
      <c r="D41" s="32" t="n"/>
      <c r="E41" s="32" t="n"/>
      <c r="F41" s="32" t="n"/>
      <c r="G41" s="33" t="n"/>
      <c r="H41" s="32" t="n"/>
      <c r="I41" s="32" t="n"/>
      <c r="J41" s="32" t="n"/>
    </row>
    <row r="42">
      <c r="A42" s="28" t="n"/>
      <c r="B42" s="29" t="n"/>
      <c r="C42" s="29" t="n"/>
      <c r="D42" s="29" t="n"/>
      <c r="E42" s="29" t="n"/>
      <c r="F42" s="29" t="n"/>
      <c r="G42" s="30" t="n"/>
      <c r="H42" s="29" t="n"/>
      <c r="I42" s="29" t="n"/>
      <c r="J42" s="29" t="n"/>
    </row>
    <row r="43">
      <c r="A43" s="31" t="n"/>
      <c r="B43" s="32" t="n"/>
      <c r="C43" s="32" t="n"/>
      <c r="D43" s="32" t="n"/>
      <c r="E43" s="32" t="n"/>
      <c r="F43" s="32" t="n"/>
      <c r="G43" s="33" t="n"/>
      <c r="H43" s="32" t="n"/>
      <c r="I43" s="32" t="n"/>
      <c r="J43" s="32" t="n"/>
    </row>
    <row r="44">
      <c r="A44" s="28" t="n"/>
      <c r="B44" s="29" t="n"/>
      <c r="C44" s="29" t="n"/>
      <c r="D44" s="29" t="n"/>
      <c r="E44" s="29" t="n"/>
      <c r="F44" s="29" t="n"/>
      <c r="G44" s="30" t="n"/>
      <c r="H44" s="29" t="n"/>
      <c r="I44" s="29" t="n"/>
      <c r="J44" s="29" t="n"/>
    </row>
    <row r="45">
      <c r="A45" s="31" t="n"/>
      <c r="B45" s="32" t="n"/>
      <c r="C45" s="32" t="n"/>
      <c r="D45" s="32" t="n"/>
      <c r="E45" s="32" t="n"/>
      <c r="F45" s="32" t="n"/>
      <c r="G45" s="33" t="n"/>
      <c r="H45" s="32" t="n"/>
      <c r="I45" s="32" t="n"/>
      <c r="J45" s="32" t="n"/>
    </row>
    <row r="46">
      <c r="A46" s="28" t="n"/>
      <c r="B46" s="29" t="n"/>
      <c r="C46" s="29" t="n"/>
      <c r="D46" s="29" t="n"/>
      <c r="E46" s="29" t="n"/>
      <c r="F46" s="29" t="n"/>
      <c r="G46" s="30" t="n"/>
      <c r="H46" s="29" t="n"/>
      <c r="I46" s="29" t="n"/>
      <c r="J46" s="29" t="n"/>
    </row>
    <row r="47">
      <c r="A47" s="31" t="n"/>
      <c r="B47" s="32" t="n"/>
      <c r="C47" s="32" t="n"/>
      <c r="D47" s="32" t="n"/>
      <c r="E47" s="32" t="n"/>
      <c r="F47" s="32" t="n"/>
      <c r="G47" s="33" t="n"/>
      <c r="H47" s="32" t="n"/>
      <c r="I47" s="32" t="n"/>
      <c r="J47" s="32" t="n"/>
    </row>
    <row r="48">
      <c r="A48" s="28" t="n"/>
      <c r="B48" s="29" t="n"/>
      <c r="C48" s="29" t="n"/>
      <c r="D48" s="29" t="n"/>
      <c r="E48" s="29" t="n"/>
      <c r="F48" s="29" t="n"/>
      <c r="G48" s="30" t="n"/>
      <c r="H48" s="29" t="n"/>
      <c r="I48" s="29" t="n"/>
      <c r="J48" s="29" t="n"/>
    </row>
    <row r="49">
      <c r="A49" s="31" t="n"/>
      <c r="B49" s="32" t="n"/>
      <c r="C49" s="32" t="n"/>
      <c r="D49" s="32" t="n"/>
      <c r="E49" s="32" t="n"/>
      <c r="F49" s="32" t="n"/>
      <c r="G49" s="33" t="n"/>
      <c r="H49" s="32" t="n"/>
      <c r="I49" s="32" t="n"/>
      <c r="J49" s="32" t="n"/>
    </row>
    <row r="50">
      <c r="A50" s="28" t="n"/>
      <c r="B50" s="29" t="n"/>
      <c r="C50" s="29" t="n"/>
      <c r="D50" s="29" t="n"/>
      <c r="E50" s="29" t="n"/>
      <c r="F50" s="29" t="n"/>
      <c r="G50" s="30" t="n"/>
      <c r="H50" s="29" t="n"/>
      <c r="I50" s="29" t="n"/>
      <c r="J50" s="29" t="n"/>
    </row>
    <row r="51">
      <c r="A51" s="31" t="n"/>
      <c r="B51" s="32" t="n"/>
      <c r="C51" s="32" t="n"/>
      <c r="D51" s="32" t="n"/>
      <c r="E51" s="32" t="n"/>
      <c r="F51" s="32" t="n"/>
      <c r="G51" s="33" t="n"/>
      <c r="H51" s="32" t="n"/>
      <c r="I51" s="32" t="n"/>
      <c r="J51" s="32" t="n"/>
    </row>
    <row r="52">
      <c r="A52" s="28" t="n"/>
      <c r="B52" s="29" t="n"/>
      <c r="C52" s="29" t="n"/>
      <c r="D52" s="29" t="n"/>
      <c r="E52" s="29" t="n"/>
      <c r="F52" s="29" t="n"/>
      <c r="G52" s="30" t="n"/>
      <c r="H52" s="29" t="n"/>
      <c r="I52" s="29" t="n"/>
      <c r="J52" s="29" t="n"/>
    </row>
    <row r="53">
      <c r="A53" s="31" t="n"/>
      <c r="B53" s="32" t="n"/>
      <c r="C53" s="32" t="n"/>
      <c r="D53" s="32" t="n"/>
      <c r="E53" s="32" t="n"/>
      <c r="F53" s="32" t="n"/>
      <c r="G53" s="33" t="n"/>
      <c r="H53" s="32" t="n"/>
      <c r="I53" s="32" t="n"/>
      <c r="J53" s="32" t="n"/>
    </row>
    <row r="54">
      <c r="A54" s="28" t="n"/>
      <c r="B54" s="29" t="n"/>
      <c r="C54" s="29" t="n"/>
      <c r="D54" s="29" t="n"/>
      <c r="E54" s="29" t="n"/>
      <c r="F54" s="29" t="n"/>
      <c r="G54" s="30" t="n"/>
      <c r="H54" s="29" t="n"/>
      <c r="I54" s="29" t="n"/>
      <c r="J54" s="29" t="n"/>
    </row>
    <row r="55">
      <c r="A55" s="31" t="n"/>
      <c r="B55" s="32" t="n"/>
      <c r="C55" s="32" t="n"/>
      <c r="D55" s="32" t="n"/>
      <c r="E55" s="32" t="n"/>
      <c r="F55" s="32" t="n"/>
      <c r="G55" s="33" t="n"/>
      <c r="H55" s="32" t="n"/>
      <c r="I55" s="32" t="n"/>
      <c r="J55" s="32" t="n"/>
    </row>
    <row r="56">
      <c r="A56" s="28" t="n"/>
      <c r="B56" s="29" t="n"/>
      <c r="C56" s="29" t="n"/>
      <c r="D56" s="29" t="n"/>
      <c r="E56" s="29" t="n"/>
      <c r="F56" s="29" t="n"/>
      <c r="G56" s="30" t="n"/>
      <c r="H56" s="29" t="n"/>
      <c r="I56" s="29" t="n"/>
      <c r="J56" s="29" t="n"/>
    </row>
    <row r="57">
      <c r="A57" s="31" t="n"/>
      <c r="B57" s="32" t="n"/>
      <c r="C57" s="32" t="n"/>
      <c r="D57" s="32" t="n"/>
      <c r="E57" s="32" t="n"/>
      <c r="F57" s="32" t="n"/>
      <c r="G57" s="33" t="n"/>
      <c r="H57" s="32" t="n"/>
      <c r="I57" s="32" t="n"/>
      <c r="J57" s="32" t="n"/>
    </row>
    <row r="58">
      <c r="A58" s="28" t="n"/>
      <c r="B58" s="29" t="n"/>
      <c r="C58" s="29" t="n"/>
      <c r="D58" s="29" t="n"/>
      <c r="E58" s="29" t="n"/>
      <c r="F58" s="29" t="n"/>
      <c r="G58" s="30" t="n"/>
      <c r="H58" s="29" t="n"/>
      <c r="I58" s="29" t="n"/>
      <c r="J58" s="29" t="n"/>
    </row>
    <row r="59">
      <c r="A59" s="31" t="n"/>
      <c r="B59" s="32" t="n"/>
      <c r="C59" s="32" t="n"/>
      <c r="D59" s="32" t="n"/>
      <c r="E59" s="32" t="n"/>
      <c r="F59" s="32" t="n"/>
      <c r="G59" s="33" t="n"/>
      <c r="H59" s="32" t="n"/>
      <c r="I59" s="32" t="n"/>
      <c r="J59" s="32" t="n"/>
    </row>
    <row r="60">
      <c r="A60" s="28" t="n"/>
      <c r="B60" s="29" t="n"/>
      <c r="C60" s="29" t="n"/>
      <c r="D60" s="29" t="n"/>
      <c r="E60" s="29" t="n"/>
      <c r="F60" s="29" t="n"/>
      <c r="G60" s="30" t="n"/>
      <c r="H60" s="29" t="n"/>
      <c r="I60" s="29" t="n"/>
      <c r="J60" s="29" t="n"/>
    </row>
    <row r="61">
      <c r="A61" s="31" t="n"/>
      <c r="B61" s="32" t="n"/>
      <c r="C61" s="32" t="n"/>
      <c r="D61" s="32" t="n"/>
      <c r="E61" s="32" t="n"/>
      <c r="F61" s="32" t="n"/>
      <c r="G61" s="33" t="n"/>
      <c r="H61" s="32" t="n"/>
      <c r="I61" s="32" t="n"/>
      <c r="J61" s="32" t="n"/>
    </row>
    <row r="62">
      <c r="A62" s="28" t="n"/>
      <c r="B62" s="29" t="n"/>
      <c r="C62" s="29" t="n"/>
      <c r="D62" s="29" t="n"/>
      <c r="E62" s="29" t="n"/>
      <c r="F62" s="29" t="n"/>
      <c r="G62" s="30" t="n"/>
      <c r="H62" s="29" t="n"/>
      <c r="I62" s="29" t="n"/>
      <c r="J62" s="29" t="n"/>
    </row>
    <row r="63">
      <c r="A63" s="31" t="n"/>
      <c r="B63" s="32" t="n"/>
      <c r="C63" s="32" t="n"/>
      <c r="D63" s="32" t="n"/>
      <c r="E63" s="32" t="n"/>
      <c r="F63" s="32" t="n"/>
      <c r="G63" s="33" t="n"/>
      <c r="H63" s="32" t="n"/>
      <c r="I63" s="32" t="n"/>
      <c r="J63" s="32" t="n"/>
    </row>
    <row r="64">
      <c r="A64" s="28" t="n"/>
      <c r="B64" s="29" t="n"/>
      <c r="C64" s="29" t="n"/>
      <c r="D64" s="29" t="n"/>
      <c r="E64" s="29" t="n"/>
      <c r="F64" s="29" t="n"/>
      <c r="G64" s="30" t="n"/>
      <c r="H64" s="29" t="n"/>
      <c r="I64" s="29" t="n"/>
      <c r="J64" s="29" t="n"/>
    </row>
    <row r="65">
      <c r="A65" s="31" t="n"/>
      <c r="B65" s="32" t="n"/>
      <c r="C65" s="32" t="n"/>
      <c r="D65" s="32" t="n"/>
      <c r="E65" s="32" t="n"/>
      <c r="F65" s="32" t="n"/>
      <c r="G65" s="33" t="n"/>
      <c r="H65" s="32" t="n"/>
      <c r="I65" s="32" t="n"/>
      <c r="J65" s="32" t="n"/>
    </row>
    <row r="66">
      <c r="A66" s="28" t="n"/>
      <c r="B66" s="29" t="n"/>
      <c r="C66" s="29" t="n"/>
      <c r="D66" s="29" t="n"/>
      <c r="E66" s="29" t="n"/>
      <c r="F66" s="29" t="n"/>
      <c r="G66" s="30" t="n"/>
      <c r="H66" s="29" t="n"/>
      <c r="I66" s="29" t="n"/>
      <c r="J66" s="29" t="n"/>
    </row>
    <row r="67">
      <c r="A67" s="31" t="n"/>
      <c r="B67" s="32" t="n"/>
      <c r="C67" s="32" t="n"/>
      <c r="D67" s="32" t="n"/>
      <c r="E67" s="32" t="n"/>
      <c r="F67" s="32" t="n"/>
      <c r="G67" s="33" t="n"/>
      <c r="H67" s="32" t="n"/>
      <c r="I67" s="32" t="n"/>
      <c r="J67" s="32" t="n"/>
    </row>
    <row r="68">
      <c r="A68" s="28" t="n"/>
      <c r="B68" s="29" t="n"/>
      <c r="C68" s="29" t="n"/>
      <c r="D68" s="29" t="n"/>
      <c r="E68" s="29" t="n"/>
      <c r="F68" s="29" t="n"/>
      <c r="G68" s="30" t="n"/>
      <c r="H68" s="29" t="n"/>
      <c r="I68" s="29" t="n"/>
      <c r="J68" s="29" t="n"/>
    </row>
    <row r="69">
      <c r="A69" s="31" t="n"/>
      <c r="B69" s="32" t="n"/>
      <c r="C69" s="32" t="n"/>
      <c r="D69" s="32" t="n"/>
      <c r="E69" s="32" t="n"/>
      <c r="F69" s="32" t="n"/>
      <c r="G69" s="33" t="n"/>
      <c r="H69" s="32" t="n"/>
      <c r="I69" s="32" t="n"/>
      <c r="J69" s="32" t="n"/>
    </row>
    <row r="70">
      <c r="A70" s="28" t="n"/>
      <c r="B70" s="29" t="n"/>
      <c r="C70" s="29" t="n"/>
      <c r="D70" s="29" t="n"/>
      <c r="E70" s="29" t="n"/>
      <c r="F70" s="29" t="n"/>
      <c r="G70" s="30" t="n"/>
      <c r="H70" s="29" t="n"/>
      <c r="I70" s="29" t="n"/>
      <c r="J70" s="29" t="n"/>
    </row>
    <row r="71">
      <c r="A71" s="31" t="n"/>
      <c r="B71" s="32" t="n"/>
      <c r="C71" s="32" t="n"/>
      <c r="D71" s="32" t="n"/>
      <c r="E71" s="32" t="n"/>
      <c r="F71" s="32" t="n"/>
      <c r="G71" s="33" t="n"/>
      <c r="H71" s="32" t="n"/>
      <c r="I71" s="32" t="n"/>
      <c r="J71" s="32" t="n"/>
    </row>
    <row r="72">
      <c r="A72" s="28" t="n"/>
      <c r="B72" s="29" t="n"/>
      <c r="C72" s="29" t="n"/>
      <c r="D72" s="29" t="n"/>
      <c r="E72" s="29" t="n"/>
      <c r="F72" s="29" t="n"/>
      <c r="G72" s="30" t="n"/>
      <c r="H72" s="29" t="n"/>
      <c r="I72" s="29" t="n"/>
      <c r="J72" s="29" t="n"/>
    </row>
    <row r="73">
      <c r="A73" s="31" t="n"/>
      <c r="B73" s="32" t="n"/>
      <c r="C73" s="32" t="n"/>
      <c r="D73" s="32" t="n"/>
      <c r="E73" s="32" t="n"/>
      <c r="F73" s="32" t="n"/>
      <c r="G73" s="33" t="n"/>
      <c r="H73" s="32" t="n"/>
      <c r="I73" s="32" t="n"/>
      <c r="J73" s="32" t="n"/>
    </row>
    <row r="74">
      <c r="A74" s="28" t="n"/>
      <c r="B74" s="29" t="n"/>
      <c r="C74" s="29" t="n"/>
      <c r="D74" s="29" t="n"/>
      <c r="E74" s="29" t="n"/>
      <c r="F74" s="29" t="n"/>
      <c r="G74" s="30" t="n"/>
      <c r="H74" s="29" t="n"/>
      <c r="I74" s="29" t="n"/>
      <c r="J74" s="29" t="n"/>
    </row>
    <row r="75">
      <c r="A75" s="31" t="n"/>
      <c r="B75" s="32" t="n"/>
      <c r="C75" s="32" t="n"/>
      <c r="D75" s="32" t="n"/>
      <c r="E75" s="32" t="n"/>
      <c r="F75" s="32" t="n"/>
      <c r="G75" s="33" t="n"/>
      <c r="H75" s="32" t="n"/>
      <c r="I75" s="32" t="n"/>
      <c r="J75" s="32" t="n"/>
    </row>
    <row r="76">
      <c r="A76" s="28" t="n"/>
      <c r="B76" s="29" t="n"/>
      <c r="C76" s="29" t="n"/>
      <c r="D76" s="29" t="n"/>
      <c r="E76" s="29" t="n"/>
      <c r="F76" s="29" t="n"/>
      <c r="G76" s="30" t="n"/>
      <c r="H76" s="29" t="n"/>
      <c r="I76" s="29" t="n"/>
      <c r="J76" s="29" t="n"/>
    </row>
    <row r="77">
      <c r="A77" s="31" t="n"/>
      <c r="B77" s="32" t="n"/>
      <c r="C77" s="32" t="n"/>
      <c r="D77" s="32" t="n"/>
      <c r="E77" s="32" t="n"/>
      <c r="F77" s="32" t="n"/>
      <c r="G77" s="33" t="n"/>
      <c r="H77" s="32" t="n"/>
      <c r="I77" s="32" t="n"/>
      <c r="J77" s="32" t="n"/>
    </row>
    <row r="78">
      <c r="A78" s="28" t="n"/>
      <c r="B78" s="29" t="n"/>
      <c r="C78" s="29" t="n"/>
      <c r="D78" s="29" t="n"/>
      <c r="E78" s="29" t="n"/>
      <c r="F78" s="29" t="n"/>
      <c r="G78" s="30" t="n"/>
      <c r="H78" s="29" t="n"/>
      <c r="I78" s="29" t="n"/>
      <c r="J78" s="29" t="n"/>
    </row>
    <row r="79">
      <c r="A79" s="31" t="n"/>
      <c r="B79" s="32" t="n"/>
      <c r="C79" s="32" t="n"/>
      <c r="D79" s="32" t="n"/>
      <c r="E79" s="32" t="n"/>
      <c r="F79" s="32" t="n"/>
      <c r="G79" s="33" t="n"/>
      <c r="H79" s="32" t="n"/>
      <c r="I79" s="32" t="n"/>
      <c r="J79" s="32" t="n"/>
    </row>
    <row r="80">
      <c r="A80" s="28" t="n"/>
      <c r="B80" s="29" t="n"/>
      <c r="C80" s="29" t="n"/>
      <c r="D80" s="29" t="n"/>
      <c r="E80" s="29" t="n"/>
      <c r="F80" s="29" t="n"/>
      <c r="G80" s="30" t="n"/>
      <c r="H80" s="29" t="n"/>
      <c r="I80" s="29" t="n"/>
      <c r="J80" s="29" t="n"/>
    </row>
    <row r="81">
      <c r="A81" s="31" t="n"/>
      <c r="B81" s="32" t="n"/>
      <c r="C81" s="32" t="n"/>
      <c r="D81" s="32" t="n"/>
      <c r="E81" s="32" t="n"/>
      <c r="F81" s="32" t="n"/>
      <c r="G81" s="33" t="n"/>
      <c r="H81" s="32" t="n"/>
      <c r="I81" s="32" t="n"/>
      <c r="J81" s="32" t="n"/>
    </row>
    <row r="82">
      <c r="A82" s="28" t="n"/>
      <c r="B82" s="29" t="n"/>
      <c r="C82" s="29" t="n"/>
      <c r="D82" s="29" t="n"/>
      <c r="E82" s="29" t="n"/>
      <c r="F82" s="29" t="n"/>
      <c r="G82" s="30" t="n"/>
      <c r="H82" s="29" t="n"/>
      <c r="I82" s="29" t="n"/>
      <c r="J82" s="29" t="n"/>
    </row>
    <row r="83">
      <c r="A83" s="31" t="n"/>
      <c r="B83" s="32" t="n"/>
      <c r="C83" s="32" t="n"/>
      <c r="D83" s="32" t="n"/>
      <c r="E83" s="32" t="n"/>
      <c r="F83" s="32" t="n"/>
      <c r="G83" s="33" t="n"/>
      <c r="H83" s="32" t="n"/>
      <c r="I83" s="32" t="n"/>
      <c r="J83" s="32" t="n"/>
    </row>
    <row r="84">
      <c r="A84" s="28" t="n"/>
      <c r="B84" s="29" t="n"/>
      <c r="C84" s="29" t="n"/>
      <c r="D84" s="29" t="n"/>
      <c r="E84" s="29" t="n"/>
      <c r="F84" s="29" t="n"/>
      <c r="G84" s="30" t="n"/>
      <c r="H84" s="29" t="n"/>
      <c r="I84" s="29" t="n"/>
      <c r="J84" s="29" t="n"/>
    </row>
    <row r="85">
      <c r="A85" s="31" t="n"/>
      <c r="B85" s="32" t="n"/>
      <c r="C85" s="32" t="n"/>
      <c r="D85" s="32" t="n"/>
      <c r="E85" s="32" t="n"/>
      <c r="F85" s="32" t="n"/>
      <c r="G85" s="33" t="n"/>
      <c r="H85" s="32" t="n"/>
      <c r="I85" s="32" t="n"/>
      <c r="J85" s="32" t="n"/>
    </row>
    <row r="86">
      <c r="A86" s="28" t="n"/>
      <c r="B86" s="29" t="n"/>
      <c r="C86" s="29" t="n"/>
      <c r="D86" s="29" t="n"/>
      <c r="E86" s="29" t="n"/>
      <c r="F86" s="29" t="n"/>
      <c r="G86" s="30" t="n"/>
      <c r="H86" s="29" t="n"/>
      <c r="I86" s="29" t="n"/>
      <c r="J86" s="29" t="n"/>
    </row>
    <row r="87">
      <c r="A87" s="31" t="n"/>
      <c r="B87" s="32" t="n"/>
      <c r="C87" s="32" t="n"/>
      <c r="D87" s="32" t="n"/>
      <c r="E87" s="32" t="n"/>
      <c r="F87" s="32" t="n"/>
      <c r="G87" s="33" t="n"/>
      <c r="H87" s="32" t="n"/>
      <c r="I87" s="32" t="n"/>
      <c r="J87" s="32" t="n"/>
    </row>
    <row r="88">
      <c r="A88" s="28" t="n"/>
      <c r="B88" s="29" t="n"/>
      <c r="C88" s="29" t="n"/>
      <c r="D88" s="29" t="n"/>
      <c r="E88" s="29" t="n"/>
      <c r="F88" s="29" t="n"/>
      <c r="G88" s="30" t="n"/>
      <c r="H88" s="29" t="n"/>
      <c r="I88" s="29" t="n"/>
      <c r="J88" s="29" t="n"/>
    </row>
    <row r="89">
      <c r="A89" s="31" t="n"/>
      <c r="B89" s="32" t="n"/>
      <c r="C89" s="32" t="n"/>
      <c r="D89" s="32" t="n"/>
      <c r="E89" s="32" t="n"/>
      <c r="F89" s="32" t="n"/>
      <c r="G89" s="33" t="n"/>
      <c r="H89" s="32" t="n"/>
      <c r="I89" s="32" t="n"/>
      <c r="J89" s="32" t="n"/>
    </row>
    <row r="90">
      <c r="A90" s="28" t="n"/>
      <c r="B90" s="29" t="n"/>
      <c r="C90" s="29" t="n"/>
      <c r="D90" s="29" t="n"/>
      <c r="E90" s="29" t="n"/>
      <c r="F90" s="29" t="n"/>
      <c r="G90" s="30" t="n"/>
      <c r="H90" s="29" t="n"/>
      <c r="I90" s="29" t="n"/>
      <c r="J90" s="29" t="n"/>
    </row>
    <row r="91">
      <c r="A91" s="31" t="n"/>
      <c r="B91" s="32" t="n"/>
      <c r="C91" s="32" t="n"/>
      <c r="D91" s="32" t="n"/>
      <c r="E91" s="32" t="n"/>
      <c r="F91" s="32" t="n"/>
      <c r="G91" s="33" t="n"/>
      <c r="H91" s="32" t="n"/>
      <c r="I91" s="32" t="n"/>
      <c r="J91" s="32" t="n"/>
    </row>
    <row r="92">
      <c r="A92" s="28" t="n"/>
      <c r="B92" s="29" t="n"/>
      <c r="C92" s="29" t="n"/>
      <c r="D92" s="29" t="n"/>
      <c r="E92" s="29" t="n"/>
      <c r="F92" s="29" t="n"/>
      <c r="G92" s="30" t="n"/>
      <c r="H92" s="29" t="n"/>
      <c r="I92" s="29" t="n"/>
      <c r="J92" s="29" t="n"/>
    </row>
    <row r="93">
      <c r="A93" s="31" t="n"/>
      <c r="B93" s="32" t="n"/>
      <c r="C93" s="32" t="n"/>
      <c r="D93" s="32" t="n"/>
      <c r="E93" s="32" t="n"/>
      <c r="F93" s="32" t="n"/>
      <c r="G93" s="33" t="n"/>
      <c r="H93" s="32" t="n"/>
      <c r="I93" s="32" t="n"/>
      <c r="J93" s="32" t="n"/>
    </row>
    <row r="94">
      <c r="A94" s="28" t="n"/>
      <c r="B94" s="29" t="n"/>
      <c r="C94" s="29" t="n"/>
      <c r="D94" s="29" t="n"/>
      <c r="E94" s="29" t="n"/>
      <c r="F94" s="29" t="n"/>
      <c r="G94" s="30" t="n"/>
      <c r="H94" s="29" t="n"/>
      <c r="I94" s="29" t="n"/>
      <c r="J94" s="29" t="n"/>
    </row>
    <row r="95">
      <c r="A95" s="31" t="n"/>
      <c r="B95" s="32" t="n"/>
      <c r="C95" s="32" t="n"/>
      <c r="D95" s="32" t="n"/>
      <c r="E95" s="32" t="n"/>
      <c r="F95" s="32" t="n"/>
      <c r="G95" s="33" t="n"/>
      <c r="H95" s="32" t="n"/>
      <c r="I95" s="32" t="n"/>
      <c r="J95" s="32" t="n"/>
    </row>
    <row r="96">
      <c r="A96" s="28" t="n"/>
      <c r="B96" s="29" t="n"/>
      <c r="C96" s="29" t="n"/>
      <c r="D96" s="29" t="n"/>
      <c r="E96" s="29" t="n"/>
      <c r="F96" s="29" t="n"/>
      <c r="G96" s="30" t="n"/>
      <c r="H96" s="29" t="n"/>
      <c r="I96" s="29" t="n"/>
      <c r="J96" s="29" t="n"/>
    </row>
    <row r="97">
      <c r="A97" s="31" t="n"/>
      <c r="B97" s="32" t="n"/>
      <c r="C97" s="32" t="n"/>
      <c r="D97" s="32" t="n"/>
      <c r="E97" s="32" t="n"/>
      <c r="F97" s="32" t="n"/>
      <c r="G97" s="33" t="n"/>
      <c r="H97" s="32" t="n"/>
      <c r="I97" s="32" t="n"/>
      <c r="J97" s="32" t="n"/>
    </row>
    <row r="98">
      <c r="A98" s="28" t="n"/>
      <c r="B98" s="29" t="n"/>
      <c r="C98" s="29" t="n"/>
      <c r="D98" s="29" t="n"/>
      <c r="E98" s="29" t="n"/>
      <c r="F98" s="29" t="n"/>
      <c r="G98" s="30" t="n"/>
      <c r="H98" s="29" t="n"/>
      <c r="I98" s="29" t="n"/>
      <c r="J98" s="29" t="n"/>
    </row>
    <row r="99">
      <c r="A99" s="31" t="n"/>
      <c r="B99" s="32" t="n"/>
      <c r="C99" s="32" t="n"/>
      <c r="D99" s="32" t="n"/>
      <c r="E99" s="32" t="n"/>
      <c r="F99" s="32" t="n"/>
      <c r="G99" s="33" t="n"/>
      <c r="H99" s="32" t="n"/>
      <c r="I99" s="32" t="n"/>
      <c r="J99" s="32" t="n"/>
    </row>
    <row r="100">
      <c r="A100" s="28" t="n"/>
      <c r="B100" s="29" t="n"/>
      <c r="C100" s="29" t="n"/>
      <c r="D100" s="29" t="n"/>
      <c r="E100" s="29" t="n"/>
      <c r="F100" s="29" t="n"/>
      <c r="G100" s="30" t="n"/>
      <c r="H100" s="29" t="n"/>
      <c r="I100" s="29" t="n"/>
      <c r="J100" s="29" t="n"/>
    </row>
    <row r="101">
      <c r="A101" s="31" t="n"/>
      <c r="B101" s="32" t="n"/>
      <c r="C101" s="32" t="n"/>
      <c r="D101" s="32" t="n"/>
      <c r="E101" s="32" t="n"/>
      <c r="F101" s="32" t="n"/>
      <c r="G101" s="33" t="n"/>
      <c r="H101" s="32" t="n"/>
      <c r="I101" s="32" t="n"/>
      <c r="J101" s="32" t="n"/>
    </row>
    <row r="102">
      <c r="A102" s="28" t="n"/>
      <c r="B102" s="29" t="n"/>
      <c r="C102" s="29" t="n"/>
      <c r="D102" s="29" t="n"/>
      <c r="E102" s="29" t="n"/>
      <c r="F102" s="29" t="n"/>
      <c r="G102" s="30" t="n"/>
      <c r="H102" s="29" t="n"/>
      <c r="I102" s="29" t="n"/>
      <c r="J102" s="29" t="n"/>
    </row>
    <row r="103">
      <c r="A103" s="31" t="n"/>
      <c r="B103" s="32" t="n"/>
      <c r="C103" s="32" t="n"/>
      <c r="D103" s="32" t="n"/>
      <c r="E103" s="32" t="n"/>
      <c r="F103" s="32" t="n"/>
      <c r="G103" s="33" t="n"/>
      <c r="H103" s="32" t="n"/>
      <c r="I103" s="32" t="n"/>
      <c r="J103" s="32" t="n"/>
    </row>
    <row r="104">
      <c r="A104" s="28" t="n"/>
      <c r="B104" s="29" t="n"/>
      <c r="C104" s="29" t="n"/>
      <c r="D104" s="29" t="n"/>
      <c r="E104" s="29" t="n"/>
      <c r="F104" s="29" t="n"/>
      <c r="G104" s="30" t="n"/>
      <c r="H104" s="29" t="n"/>
      <c r="I104" s="29" t="n"/>
      <c r="J104" s="29" t="n"/>
    </row>
    <row r="105">
      <c r="A105" s="31" t="n"/>
      <c r="B105" s="32" t="n"/>
      <c r="C105" s="32" t="n"/>
      <c r="D105" s="32" t="n"/>
      <c r="E105" s="32" t="n"/>
      <c r="F105" s="32" t="n"/>
      <c r="G105" s="33" t="n"/>
      <c r="H105" s="32" t="n"/>
      <c r="I105" s="32" t="n"/>
      <c r="J105" s="32" t="n"/>
    </row>
    <row r="106">
      <c r="A106" s="28" t="n"/>
      <c r="B106" s="29" t="n"/>
      <c r="C106" s="29" t="n"/>
      <c r="D106" s="29" t="n"/>
      <c r="E106" s="29" t="n"/>
      <c r="F106" s="29" t="n"/>
      <c r="G106" s="30" t="n"/>
      <c r="H106" s="29" t="n"/>
      <c r="I106" s="29" t="n"/>
      <c r="J106" s="29" t="n"/>
    </row>
    <row r="107">
      <c r="A107" s="31" t="n"/>
      <c r="B107" s="32" t="n"/>
      <c r="C107" s="32" t="n"/>
      <c r="D107" s="32" t="n"/>
      <c r="E107" s="32" t="n"/>
      <c r="F107" s="32" t="n"/>
      <c r="G107" s="33" t="n"/>
      <c r="H107" s="32" t="n"/>
      <c r="I107" s="32" t="n"/>
      <c r="J107" s="32" t="n"/>
    </row>
    <row r="108">
      <c r="A108" s="28" t="n"/>
      <c r="B108" s="29" t="n"/>
      <c r="C108" s="29" t="n"/>
      <c r="D108" s="29" t="n"/>
      <c r="E108" s="29" t="n"/>
      <c r="F108" s="29" t="n"/>
      <c r="G108" s="30" t="n"/>
      <c r="H108" s="29" t="n"/>
      <c r="I108" s="29" t="n"/>
      <c r="J108" s="29" t="n"/>
    </row>
    <row r="109">
      <c r="A109" s="31" t="n"/>
      <c r="B109" s="32" t="n"/>
      <c r="C109" s="32" t="n"/>
      <c r="D109" s="32" t="n"/>
      <c r="E109" s="32" t="n"/>
      <c r="F109" s="32" t="n"/>
      <c r="G109" s="33" t="n"/>
      <c r="H109" s="32" t="n"/>
      <c r="I109" s="32" t="n"/>
      <c r="J109" s="32" t="n"/>
    </row>
    <row r="110">
      <c r="A110" s="28" t="n"/>
      <c r="B110" s="29" t="n"/>
      <c r="C110" s="29" t="n"/>
      <c r="D110" s="29" t="n"/>
      <c r="E110" s="29" t="n"/>
      <c r="F110" s="29" t="n"/>
      <c r="G110" s="30" t="n"/>
      <c r="H110" s="29" t="n"/>
      <c r="I110" s="29" t="n"/>
      <c r="J110" s="29" t="n"/>
    </row>
    <row r="111">
      <c r="A111" s="31" t="n"/>
      <c r="B111" s="32" t="n"/>
      <c r="C111" s="32" t="n"/>
      <c r="D111" s="32" t="n"/>
      <c r="E111" s="32" t="n"/>
      <c r="F111" s="32" t="n"/>
      <c r="G111" s="33" t="n"/>
      <c r="H111" s="32" t="n"/>
      <c r="I111" s="32" t="n"/>
      <c r="J111" s="32" t="n"/>
    </row>
    <row r="112">
      <c r="A112" s="28" t="n"/>
      <c r="B112" s="29" t="n"/>
      <c r="C112" s="29" t="n"/>
      <c r="D112" s="29" t="n"/>
      <c r="E112" s="29" t="n"/>
      <c r="F112" s="29" t="n"/>
      <c r="G112" s="30" t="n"/>
      <c r="H112" s="29" t="n"/>
      <c r="I112" s="29" t="n"/>
      <c r="J112" s="29" t="n"/>
    </row>
    <row r="113">
      <c r="A113" s="31" t="n"/>
      <c r="B113" s="32" t="n"/>
      <c r="C113" s="32" t="n"/>
      <c r="D113" s="32" t="n"/>
      <c r="E113" s="32" t="n"/>
      <c r="F113" s="32" t="n"/>
      <c r="G113" s="33" t="n"/>
      <c r="H113" s="32" t="n"/>
      <c r="I113" s="32" t="n"/>
      <c r="J113" s="32" t="n"/>
    </row>
    <row r="114">
      <c r="A114" s="28" t="n"/>
      <c r="B114" s="29" t="n"/>
      <c r="C114" s="29" t="n"/>
      <c r="D114" s="29" t="n"/>
      <c r="E114" s="29" t="n"/>
      <c r="F114" s="29" t="n"/>
      <c r="G114" s="30" t="n"/>
      <c r="H114" s="29" t="n"/>
      <c r="I114" s="29" t="n"/>
      <c r="J114" s="29" t="n"/>
    </row>
    <row r="115">
      <c r="A115" s="31" t="n"/>
      <c r="B115" s="32" t="n"/>
      <c r="C115" s="32" t="n"/>
      <c r="D115" s="32" t="n"/>
      <c r="E115" s="32" t="n"/>
      <c r="F115" s="32" t="n"/>
      <c r="G115" s="33" t="n"/>
      <c r="H115" s="32" t="n"/>
      <c r="I115" s="32" t="n"/>
      <c r="J115" s="32" t="n"/>
    </row>
    <row r="116">
      <c r="A116" s="28" t="n"/>
      <c r="B116" s="29" t="n"/>
      <c r="C116" s="29" t="n"/>
      <c r="D116" s="29" t="n"/>
      <c r="E116" s="29" t="n"/>
      <c r="F116" s="29" t="n"/>
      <c r="G116" s="30" t="n"/>
      <c r="H116" s="29" t="n"/>
      <c r="I116" s="29" t="n"/>
      <c r="J116" s="29" t="n"/>
    </row>
    <row r="117">
      <c r="A117" s="31" t="n"/>
      <c r="B117" s="32" t="n"/>
      <c r="C117" s="32" t="n"/>
      <c r="D117" s="32" t="n"/>
      <c r="E117" s="32" t="n"/>
      <c r="F117" s="32" t="n"/>
      <c r="G117" s="33" t="n"/>
      <c r="H117" s="32" t="n"/>
      <c r="I117" s="32" t="n"/>
      <c r="J117" s="32" t="n"/>
    </row>
    <row r="118">
      <c r="A118" s="28" t="n"/>
      <c r="B118" s="29" t="n"/>
      <c r="C118" s="29" t="n"/>
      <c r="D118" s="29" t="n"/>
      <c r="E118" s="29" t="n"/>
      <c r="F118" s="29" t="n"/>
      <c r="G118" s="30" t="n"/>
      <c r="H118" s="29" t="n"/>
      <c r="I118" s="29" t="n"/>
      <c r="J118" s="29" t="n"/>
    </row>
    <row r="119">
      <c r="A119" s="31" t="n"/>
      <c r="B119" s="32" t="n"/>
      <c r="C119" s="32" t="n"/>
      <c r="D119" s="32" t="n"/>
      <c r="E119" s="32" t="n"/>
      <c r="F119" s="32" t="n"/>
      <c r="G119" s="33" t="n"/>
      <c r="H119" s="32" t="n"/>
      <c r="I119" s="32" t="n"/>
      <c r="J119" s="32" t="n"/>
    </row>
    <row r="120">
      <c r="A120" s="28" t="n"/>
      <c r="B120" s="29" t="n"/>
      <c r="C120" s="29" t="n"/>
      <c r="D120" s="29" t="n"/>
      <c r="E120" s="29" t="n"/>
      <c r="F120" s="29" t="n"/>
      <c r="G120" s="30" t="n"/>
      <c r="H120" s="29" t="n"/>
      <c r="I120" s="29" t="n"/>
      <c r="J120" s="29" t="n"/>
    </row>
    <row r="121">
      <c r="A121" s="31" t="n"/>
      <c r="B121" s="32" t="n"/>
      <c r="C121" s="32" t="n"/>
      <c r="D121" s="32" t="n"/>
      <c r="E121" s="32" t="n"/>
      <c r="F121" s="32" t="n"/>
      <c r="G121" s="33" t="n"/>
      <c r="H121" s="32" t="n"/>
      <c r="I121" s="32" t="n"/>
      <c r="J121" s="32" t="n"/>
    </row>
    <row r="122">
      <c r="A122" s="28" t="n"/>
      <c r="B122" s="29" t="n"/>
      <c r="C122" s="29" t="n"/>
      <c r="D122" s="29" t="n"/>
      <c r="E122" s="29" t="n"/>
      <c r="F122" s="29" t="n"/>
      <c r="G122" s="30" t="n"/>
      <c r="H122" s="29" t="n"/>
      <c r="I122" s="29" t="n"/>
      <c r="J122" s="29" t="n"/>
    </row>
    <row r="123">
      <c r="A123" s="31" t="n"/>
      <c r="B123" s="32" t="n"/>
      <c r="C123" s="32" t="n"/>
      <c r="D123" s="32" t="n"/>
      <c r="E123" s="32" t="n"/>
      <c r="F123" s="32" t="n"/>
      <c r="G123" s="33" t="n"/>
      <c r="H123" s="32" t="n"/>
      <c r="I123" s="32" t="n"/>
      <c r="J123" s="32" t="n"/>
    </row>
    <row r="124">
      <c r="A124" s="28" t="n"/>
      <c r="B124" s="29" t="n"/>
      <c r="C124" s="29" t="n"/>
      <c r="D124" s="29" t="n"/>
      <c r="E124" s="29" t="n"/>
      <c r="F124" s="29" t="n"/>
      <c r="G124" s="30" t="n"/>
      <c r="H124" s="29" t="n"/>
      <c r="I124" s="29" t="n"/>
      <c r="J124" s="29" t="n"/>
    </row>
    <row r="125">
      <c r="A125" s="31" t="n"/>
      <c r="B125" s="32" t="n"/>
      <c r="C125" s="32" t="n"/>
      <c r="D125" s="32" t="n"/>
      <c r="E125" s="32" t="n"/>
      <c r="F125" s="32" t="n"/>
      <c r="G125" s="33" t="n"/>
      <c r="H125" s="32" t="n"/>
      <c r="I125" s="32" t="n"/>
      <c r="J125" s="32" t="n"/>
    </row>
    <row r="126">
      <c r="A126" s="28" t="n"/>
      <c r="B126" s="29" t="n"/>
      <c r="C126" s="29" t="n"/>
      <c r="D126" s="29" t="n"/>
      <c r="E126" s="29" t="n"/>
      <c r="F126" s="29" t="n"/>
      <c r="G126" s="30" t="n"/>
      <c r="H126" s="29" t="n"/>
      <c r="I126" s="29" t="n"/>
      <c r="J126" s="29" t="n"/>
    </row>
    <row r="127">
      <c r="A127" s="31" t="n"/>
      <c r="B127" s="32" t="n"/>
      <c r="C127" s="32" t="n"/>
      <c r="D127" s="32" t="n"/>
      <c r="E127" s="32" t="n"/>
      <c r="F127" s="32" t="n"/>
      <c r="G127" s="33" t="n"/>
      <c r="H127" s="32" t="n"/>
      <c r="I127" s="32" t="n"/>
      <c r="J127" s="32" t="n"/>
    </row>
    <row r="128">
      <c r="A128" s="28" t="n"/>
      <c r="B128" s="29" t="n"/>
      <c r="C128" s="29" t="n"/>
      <c r="D128" s="29" t="n"/>
      <c r="E128" s="29" t="n"/>
      <c r="F128" s="29" t="n"/>
      <c r="G128" s="30" t="n"/>
      <c r="H128" s="29" t="n"/>
      <c r="I128" s="29" t="n"/>
      <c r="J128" s="29" t="n"/>
    </row>
    <row r="129">
      <c r="A129" s="31" t="n"/>
      <c r="B129" s="32" t="n"/>
      <c r="C129" s="32" t="n"/>
      <c r="D129" s="32" t="n"/>
      <c r="E129" s="32" t="n"/>
      <c r="F129" s="32" t="n"/>
      <c r="G129" s="33" t="n"/>
      <c r="H129" s="32" t="n"/>
      <c r="I129" s="32" t="n"/>
      <c r="J129" s="32" t="n"/>
    </row>
    <row r="130">
      <c r="A130" s="28" t="n"/>
      <c r="B130" s="29" t="n"/>
      <c r="C130" s="29" t="n"/>
      <c r="D130" s="29" t="n"/>
      <c r="E130" s="29" t="n"/>
      <c r="F130" s="29" t="n"/>
      <c r="G130" s="30" t="n"/>
      <c r="H130" s="29" t="n"/>
      <c r="I130" s="29" t="n"/>
      <c r="J130" s="29" t="n"/>
    </row>
    <row r="131">
      <c r="A131" s="31" t="n"/>
      <c r="B131" s="32" t="n"/>
      <c r="C131" s="32" t="n"/>
      <c r="D131" s="32" t="n"/>
      <c r="E131" s="32" t="n"/>
      <c r="F131" s="32" t="n"/>
      <c r="G131" s="33" t="n"/>
      <c r="H131" s="32" t="n"/>
      <c r="I131" s="32" t="n"/>
      <c r="J131" s="32" t="n"/>
    </row>
    <row r="132">
      <c r="A132" s="28" t="n"/>
      <c r="B132" s="29" t="n"/>
      <c r="C132" s="29" t="n"/>
      <c r="D132" s="29" t="n"/>
      <c r="E132" s="29" t="n"/>
      <c r="F132" s="29" t="n"/>
      <c r="G132" s="30" t="n"/>
      <c r="H132" s="29" t="n"/>
      <c r="I132" s="29" t="n"/>
      <c r="J132" s="29" t="n"/>
    </row>
    <row r="133">
      <c r="A133" s="31" t="n"/>
      <c r="B133" s="32" t="n"/>
      <c r="C133" s="32" t="n"/>
      <c r="D133" s="32" t="n"/>
      <c r="E133" s="32" t="n"/>
      <c r="F133" s="32" t="n"/>
      <c r="G133" s="33" t="n"/>
      <c r="H133" s="32" t="n"/>
      <c r="I133" s="32" t="n"/>
      <c r="J133" s="32" t="n"/>
    </row>
    <row r="134">
      <c r="A134" s="28" t="n"/>
      <c r="B134" s="29" t="n"/>
      <c r="C134" s="29" t="n"/>
      <c r="D134" s="29" t="n"/>
      <c r="E134" s="29" t="n"/>
      <c r="F134" s="29" t="n"/>
      <c r="G134" s="30" t="n"/>
      <c r="H134" s="29" t="n"/>
      <c r="I134" s="29" t="n"/>
      <c r="J134" s="29" t="n"/>
    </row>
    <row r="135">
      <c r="A135" s="31" t="n"/>
      <c r="B135" s="32" t="n"/>
      <c r="C135" s="32" t="n"/>
      <c r="D135" s="32" t="n"/>
      <c r="E135" s="32" t="n"/>
      <c r="F135" s="32" t="n"/>
      <c r="G135" s="33" t="n"/>
      <c r="H135" s="32" t="n"/>
      <c r="I135" s="32" t="n"/>
      <c r="J135" s="32" t="n"/>
    </row>
    <row r="136">
      <c r="A136" s="28" t="n"/>
      <c r="B136" s="29" t="n"/>
      <c r="C136" s="29" t="n"/>
      <c r="D136" s="29" t="n"/>
      <c r="E136" s="29" t="n"/>
      <c r="F136" s="29" t="n"/>
      <c r="G136" s="30" t="n"/>
      <c r="H136" s="29" t="n"/>
      <c r="I136" s="29" t="n"/>
      <c r="J136" s="29" t="n"/>
    </row>
    <row r="137">
      <c r="A137" s="31" t="n"/>
      <c r="B137" s="32" t="n"/>
      <c r="C137" s="32" t="n"/>
      <c r="D137" s="32" t="n"/>
      <c r="E137" s="32" t="n"/>
      <c r="F137" s="32" t="n"/>
      <c r="G137" s="33" t="n"/>
      <c r="H137" s="32" t="n"/>
      <c r="I137" s="32" t="n"/>
      <c r="J137" s="32" t="n"/>
    </row>
    <row r="138">
      <c r="A138" s="28" t="n"/>
      <c r="B138" s="29" t="n"/>
      <c r="C138" s="29" t="n"/>
      <c r="D138" s="29" t="n"/>
      <c r="E138" s="29" t="n"/>
      <c r="F138" s="29" t="n"/>
      <c r="G138" s="30" t="n"/>
      <c r="H138" s="29" t="n"/>
      <c r="I138" s="29" t="n"/>
      <c r="J138" s="29" t="n"/>
    </row>
    <row r="139">
      <c r="A139" s="31" t="n"/>
      <c r="B139" s="32" t="n"/>
      <c r="C139" s="32" t="n"/>
      <c r="D139" s="32" t="n"/>
      <c r="E139" s="32" t="n"/>
      <c r="F139" s="32" t="n"/>
      <c r="G139" s="33" t="n"/>
      <c r="H139" s="32" t="n"/>
      <c r="I139" s="32" t="n"/>
      <c r="J139" s="32" t="n"/>
    </row>
    <row r="140">
      <c r="A140" s="28" t="n"/>
      <c r="B140" s="29" t="n"/>
      <c r="C140" s="29" t="n"/>
      <c r="D140" s="29" t="n"/>
      <c r="E140" s="29" t="n"/>
      <c r="F140" s="29" t="n"/>
      <c r="G140" s="30" t="n"/>
      <c r="H140" s="29" t="n"/>
      <c r="I140" s="29" t="n"/>
      <c r="J140" s="29" t="n"/>
    </row>
    <row r="141">
      <c r="A141" s="31" t="n"/>
      <c r="B141" s="32" t="n"/>
      <c r="C141" s="32" t="n"/>
      <c r="D141" s="32" t="n"/>
      <c r="E141" s="32" t="n"/>
      <c r="F141" s="32" t="n"/>
      <c r="G141" s="33" t="n"/>
      <c r="H141" s="32" t="n"/>
      <c r="I141" s="32" t="n"/>
      <c r="J141" s="32" t="n"/>
    </row>
    <row r="142">
      <c r="A142" s="28" t="n"/>
      <c r="B142" s="29" t="n"/>
      <c r="C142" s="29" t="n"/>
      <c r="D142" s="29" t="n"/>
      <c r="E142" s="29" t="n"/>
      <c r="F142" s="29" t="n"/>
      <c r="G142" s="30" t="n"/>
      <c r="H142" s="29" t="n"/>
      <c r="I142" s="29" t="n"/>
      <c r="J142" s="29" t="n"/>
    </row>
    <row r="143">
      <c r="A143" s="31" t="n"/>
      <c r="B143" s="32" t="n"/>
      <c r="C143" s="32" t="n"/>
      <c r="D143" s="32" t="n"/>
      <c r="E143" s="32" t="n"/>
      <c r="F143" s="32" t="n"/>
      <c r="G143" s="33" t="n"/>
      <c r="H143" s="32" t="n"/>
      <c r="I143" s="32" t="n"/>
      <c r="J143" s="32" t="n"/>
    </row>
    <row r="144">
      <c r="A144" s="28" t="n"/>
      <c r="B144" s="29" t="n"/>
      <c r="C144" s="29" t="n"/>
      <c r="D144" s="29" t="n"/>
      <c r="E144" s="29" t="n"/>
      <c r="F144" s="29" t="n"/>
      <c r="G144" s="30" t="n"/>
      <c r="H144" s="29" t="n"/>
      <c r="I144" s="29" t="n"/>
      <c r="J144" s="29" t="n"/>
    </row>
    <row r="145">
      <c r="A145" s="31" t="n"/>
      <c r="B145" s="32" t="n"/>
      <c r="C145" s="32" t="n"/>
      <c r="D145" s="32" t="n"/>
      <c r="E145" s="32" t="n"/>
      <c r="F145" s="32" t="n"/>
      <c r="G145" s="33" t="n"/>
      <c r="H145" s="32" t="n"/>
      <c r="I145" s="32" t="n"/>
      <c r="J145" s="32" t="n"/>
    </row>
    <row r="146">
      <c r="A146" s="28" t="n"/>
      <c r="B146" s="29" t="n"/>
      <c r="C146" s="29" t="n"/>
      <c r="D146" s="29" t="n"/>
      <c r="E146" s="29" t="n"/>
      <c r="F146" s="29" t="n"/>
      <c r="G146" s="30" t="n"/>
      <c r="H146" s="29" t="n"/>
      <c r="I146" s="29" t="n"/>
      <c r="J146" s="29" t="n"/>
    </row>
    <row r="147">
      <c r="A147" s="31" t="n"/>
      <c r="B147" s="32" t="n"/>
      <c r="C147" s="32" t="n"/>
      <c r="D147" s="32" t="n"/>
      <c r="E147" s="32" t="n"/>
      <c r="F147" s="32" t="n"/>
      <c r="G147" s="33" t="n"/>
      <c r="H147" s="32" t="n"/>
      <c r="I147" s="32" t="n"/>
      <c r="J147" s="32" t="n"/>
    </row>
    <row r="148">
      <c r="A148" s="28" t="n"/>
      <c r="B148" s="29" t="n"/>
      <c r="C148" s="29" t="n"/>
      <c r="D148" s="29" t="n"/>
      <c r="E148" s="29" t="n"/>
      <c r="F148" s="29" t="n"/>
      <c r="G148" s="30" t="n"/>
      <c r="H148" s="29" t="n"/>
      <c r="I148" s="29" t="n"/>
      <c r="J148" s="29" t="n"/>
    </row>
    <row r="149">
      <c r="A149" s="31" t="n"/>
      <c r="B149" s="32" t="n"/>
      <c r="C149" s="32" t="n"/>
      <c r="D149" s="32" t="n"/>
      <c r="E149" s="32" t="n"/>
      <c r="F149" s="32" t="n"/>
      <c r="G149" s="33" t="n"/>
      <c r="H149" s="32" t="n"/>
      <c r="I149" s="32" t="n"/>
      <c r="J149" s="32" t="n"/>
    </row>
    <row r="150">
      <c r="A150" s="28" t="n"/>
      <c r="B150" s="29" t="n"/>
      <c r="C150" s="29" t="n"/>
      <c r="D150" s="29" t="n"/>
      <c r="E150" s="29" t="n"/>
      <c r="F150" s="29" t="n"/>
      <c r="G150" s="30" t="n"/>
      <c r="H150" s="29" t="n"/>
      <c r="I150" s="29" t="n"/>
      <c r="J150" s="29" t="n"/>
    </row>
    <row r="151">
      <c r="A151" s="31" t="n"/>
      <c r="B151" s="32" t="n"/>
      <c r="C151" s="32" t="n"/>
      <c r="D151" s="32" t="n"/>
      <c r="E151" s="32" t="n"/>
      <c r="F151" s="32" t="n"/>
      <c r="G151" s="33" t="n"/>
      <c r="H151" s="32" t="n"/>
      <c r="I151" s="32" t="n"/>
      <c r="J151" s="32" t="n"/>
    </row>
    <row r="152">
      <c r="A152" s="28" t="n"/>
      <c r="B152" s="29" t="n"/>
      <c r="C152" s="29" t="n"/>
      <c r="D152" s="29" t="n"/>
      <c r="E152" s="29" t="n"/>
      <c r="F152" s="29" t="n"/>
      <c r="G152" s="30" t="n"/>
      <c r="H152" s="29" t="n"/>
      <c r="I152" s="29" t="n"/>
      <c r="J152" s="29" t="n"/>
    </row>
    <row r="153">
      <c r="A153" s="31" t="n"/>
      <c r="B153" s="32" t="n"/>
      <c r="C153" s="32" t="n"/>
      <c r="D153" s="32" t="n"/>
      <c r="E153" s="32" t="n"/>
      <c r="F153" s="32" t="n"/>
      <c r="G153" s="33" t="n"/>
      <c r="H153" s="32" t="n"/>
      <c r="I153" s="32" t="n"/>
      <c r="J153" s="32" t="n"/>
    </row>
    <row r="154">
      <c r="A154" s="28" t="n"/>
      <c r="B154" s="29" t="n"/>
      <c r="C154" s="29" t="n"/>
      <c r="D154" s="29" t="n"/>
      <c r="E154" s="29" t="n"/>
      <c r="F154" s="29" t="n"/>
      <c r="G154" s="30" t="n"/>
      <c r="H154" s="29" t="n"/>
      <c r="I154" s="29" t="n"/>
      <c r="J154" s="29" t="n"/>
    </row>
    <row r="155">
      <c r="A155" s="31" t="n"/>
      <c r="B155" s="32" t="n"/>
      <c r="C155" s="32" t="n"/>
      <c r="D155" s="32" t="n"/>
      <c r="E155" s="32" t="n"/>
      <c r="F155" s="32" t="n"/>
      <c r="G155" s="33" t="n"/>
      <c r="H155" s="32" t="n"/>
      <c r="I155" s="32" t="n"/>
      <c r="J155" s="32" t="n"/>
    </row>
    <row r="156">
      <c r="A156" s="28" t="n"/>
      <c r="B156" s="29" t="n"/>
      <c r="C156" s="29" t="n"/>
      <c r="D156" s="29" t="n"/>
      <c r="E156" s="29" t="n"/>
      <c r="F156" s="29" t="n"/>
      <c r="G156" s="30" t="n"/>
      <c r="H156" s="29" t="n"/>
      <c r="I156" s="29" t="n"/>
      <c r="J156" s="29" t="n"/>
    </row>
    <row r="157">
      <c r="A157" s="31" t="n"/>
      <c r="B157" s="32" t="n"/>
      <c r="C157" s="32" t="n"/>
      <c r="D157" s="32" t="n"/>
      <c r="E157" s="32" t="n"/>
      <c r="F157" s="32" t="n"/>
      <c r="G157" s="33" t="n"/>
      <c r="H157" s="32" t="n"/>
      <c r="I157" s="32" t="n"/>
      <c r="J157" s="32" t="n"/>
    </row>
    <row r="158">
      <c r="A158" s="28" t="n"/>
      <c r="B158" s="29" t="n"/>
      <c r="C158" s="29" t="n"/>
      <c r="D158" s="29" t="n"/>
      <c r="E158" s="29" t="n"/>
      <c r="F158" s="29" t="n"/>
      <c r="G158" s="30" t="n"/>
      <c r="H158" s="29" t="n"/>
      <c r="I158" s="29" t="n"/>
      <c r="J158" s="29" t="n"/>
    </row>
    <row r="159">
      <c r="A159" s="31" t="n"/>
      <c r="B159" s="32" t="n"/>
      <c r="C159" s="32" t="n"/>
      <c r="D159" s="32" t="n"/>
      <c r="E159" s="32" t="n"/>
      <c r="F159" s="32" t="n"/>
      <c r="G159" s="33" t="n"/>
      <c r="H159" s="32" t="n"/>
      <c r="I159" s="32" t="n"/>
      <c r="J159" s="32" t="n"/>
    </row>
    <row r="160">
      <c r="A160" s="28" t="n"/>
      <c r="B160" s="29" t="n"/>
      <c r="C160" s="29" t="n"/>
      <c r="D160" s="29" t="n"/>
      <c r="E160" s="29" t="n"/>
      <c r="F160" s="29" t="n"/>
      <c r="G160" s="30" t="n"/>
      <c r="H160" s="29" t="n"/>
      <c r="I160" s="29" t="n"/>
      <c r="J160" s="29" t="n"/>
    </row>
    <row r="161">
      <c r="A161" s="31" t="n"/>
      <c r="B161" s="32" t="n"/>
      <c r="C161" s="32" t="n"/>
      <c r="D161" s="32" t="n"/>
      <c r="E161" s="32" t="n"/>
      <c r="F161" s="32" t="n"/>
      <c r="G161" s="33" t="n"/>
      <c r="H161" s="32" t="n"/>
      <c r="I161" s="32" t="n"/>
      <c r="J161" s="32" t="n"/>
    </row>
    <row r="162">
      <c r="A162" s="28" t="n"/>
      <c r="B162" s="29" t="n"/>
      <c r="C162" s="29" t="n"/>
      <c r="D162" s="29" t="n"/>
      <c r="E162" s="29" t="n"/>
      <c r="F162" s="29" t="n"/>
      <c r="G162" s="30" t="n"/>
      <c r="H162" s="29" t="n"/>
      <c r="I162" s="29" t="n"/>
      <c r="J162" s="29" t="n"/>
    </row>
    <row r="163">
      <c r="A163" s="31" t="n"/>
      <c r="B163" s="32" t="n"/>
      <c r="C163" s="32" t="n"/>
      <c r="D163" s="32" t="n"/>
      <c r="E163" s="32" t="n"/>
      <c r="F163" s="32" t="n"/>
      <c r="G163" s="33" t="n"/>
      <c r="H163" s="32" t="n"/>
      <c r="I163" s="32" t="n"/>
      <c r="J163" s="32" t="n"/>
    </row>
    <row r="164">
      <c r="A164" s="28" t="n"/>
      <c r="B164" s="29" t="n"/>
      <c r="C164" s="29" t="n"/>
      <c r="D164" s="29" t="n"/>
      <c r="E164" s="29" t="n"/>
      <c r="F164" s="29" t="n"/>
      <c r="G164" s="30" t="n"/>
      <c r="H164" s="29" t="n"/>
      <c r="I164" s="29" t="n"/>
      <c r="J164" s="29" t="n"/>
    </row>
    <row r="165">
      <c r="A165" s="31" t="n"/>
      <c r="B165" s="32" t="n"/>
      <c r="C165" s="32" t="n"/>
      <c r="D165" s="32" t="n"/>
      <c r="E165" s="32" t="n"/>
      <c r="F165" s="32" t="n"/>
      <c r="G165" s="33" t="n"/>
      <c r="H165" s="32" t="n"/>
      <c r="I165" s="32" t="n"/>
      <c r="J165" s="32" t="n"/>
    </row>
    <row r="166">
      <c r="A166" s="28" t="n"/>
      <c r="B166" s="29" t="n"/>
      <c r="C166" s="29" t="n"/>
      <c r="D166" s="29" t="n"/>
      <c r="E166" s="29" t="n"/>
      <c r="F166" s="29" t="n"/>
      <c r="G166" s="30" t="n"/>
      <c r="H166" s="29" t="n"/>
      <c r="I166" s="29" t="n"/>
      <c r="J166" s="29" t="n"/>
    </row>
    <row r="167">
      <c r="A167" s="31" t="n"/>
      <c r="B167" s="32" t="n"/>
      <c r="C167" s="32" t="n"/>
      <c r="D167" s="32" t="n"/>
      <c r="E167" s="32" t="n"/>
      <c r="F167" s="32" t="n"/>
      <c r="G167" s="33" t="n"/>
      <c r="H167" s="32" t="n"/>
      <c r="I167" s="32" t="n"/>
      <c r="J167" s="32" t="n"/>
    </row>
    <row r="168">
      <c r="A168" s="28" t="n"/>
      <c r="B168" s="29" t="n"/>
      <c r="C168" s="29" t="n"/>
      <c r="D168" s="29" t="n"/>
      <c r="E168" s="29" t="n"/>
      <c r="F168" s="29" t="n"/>
      <c r="G168" s="30" t="n"/>
      <c r="H168" s="29" t="n"/>
      <c r="I168" s="29" t="n"/>
      <c r="J168" s="29" t="n"/>
    </row>
    <row r="169">
      <c r="A169" s="31" t="n"/>
      <c r="B169" s="32" t="n"/>
      <c r="C169" s="32" t="n"/>
      <c r="D169" s="32" t="n"/>
      <c r="E169" s="32" t="n"/>
      <c r="F169" s="32" t="n"/>
      <c r="G169" s="33" t="n"/>
      <c r="H169" s="32" t="n"/>
      <c r="I169" s="32" t="n"/>
      <c r="J169" s="32" t="n"/>
    </row>
    <row r="170">
      <c r="A170" s="28" t="n"/>
      <c r="B170" s="29" t="n"/>
      <c r="C170" s="29" t="n"/>
      <c r="D170" s="29" t="n"/>
      <c r="E170" s="29" t="n"/>
      <c r="F170" s="29" t="n"/>
      <c r="G170" s="30" t="n"/>
      <c r="H170" s="29" t="n"/>
      <c r="I170" s="29" t="n"/>
      <c r="J170" s="29" t="n"/>
    </row>
    <row r="171">
      <c r="A171" s="31" t="n"/>
      <c r="B171" s="32" t="n"/>
      <c r="C171" s="32" t="n"/>
      <c r="D171" s="32" t="n"/>
      <c r="E171" s="32" t="n"/>
      <c r="F171" s="32" t="n"/>
      <c r="G171" s="33" t="n"/>
      <c r="H171" s="32" t="n"/>
      <c r="I171" s="32" t="n"/>
      <c r="J171" s="32" t="n"/>
    </row>
    <row r="172">
      <c r="A172" s="28" t="n"/>
      <c r="B172" s="29" t="n"/>
      <c r="C172" s="29" t="n"/>
      <c r="D172" s="29" t="n"/>
      <c r="E172" s="29" t="n"/>
      <c r="F172" s="29" t="n"/>
      <c r="G172" s="30" t="n"/>
      <c r="H172" s="29" t="n"/>
      <c r="I172" s="29" t="n"/>
      <c r="J172" s="29" t="n"/>
    </row>
    <row r="173">
      <c r="A173" s="31" t="n"/>
      <c r="B173" s="32" t="n"/>
      <c r="C173" s="32" t="n"/>
      <c r="D173" s="32" t="n"/>
      <c r="E173" s="32" t="n"/>
      <c r="F173" s="32" t="n"/>
      <c r="G173" s="33" t="n"/>
      <c r="H173" s="32" t="n"/>
      <c r="I173" s="32" t="n"/>
      <c r="J173" s="32" t="n"/>
    </row>
    <row r="174">
      <c r="A174" s="28" t="n"/>
      <c r="B174" s="29" t="n"/>
      <c r="C174" s="29" t="n"/>
      <c r="D174" s="29" t="n"/>
      <c r="E174" s="29" t="n"/>
      <c r="F174" s="29" t="n"/>
      <c r="G174" s="30" t="n"/>
      <c r="H174" s="29" t="n"/>
      <c r="I174" s="29" t="n"/>
      <c r="J174" s="29" t="n"/>
    </row>
    <row r="175">
      <c r="A175" s="31" t="n"/>
      <c r="B175" s="32" t="n"/>
      <c r="C175" s="32" t="n"/>
      <c r="D175" s="32" t="n"/>
      <c r="E175" s="32" t="n"/>
      <c r="F175" s="32" t="n"/>
      <c r="G175" s="33" t="n"/>
      <c r="H175" s="32" t="n"/>
      <c r="I175" s="32" t="n"/>
      <c r="J175" s="32" t="n"/>
    </row>
    <row r="176">
      <c r="A176" s="28" t="n"/>
      <c r="B176" s="29" t="n"/>
      <c r="C176" s="29" t="n"/>
      <c r="D176" s="29" t="n"/>
      <c r="E176" s="29" t="n"/>
      <c r="F176" s="29" t="n"/>
      <c r="G176" s="30" t="n"/>
      <c r="H176" s="29" t="n"/>
      <c r="I176" s="29" t="n"/>
      <c r="J176" s="29" t="n"/>
    </row>
    <row r="177">
      <c r="A177" s="31" t="n"/>
      <c r="B177" s="32" t="n"/>
      <c r="C177" s="32" t="n"/>
      <c r="D177" s="32" t="n"/>
      <c r="E177" s="32" t="n"/>
      <c r="F177" s="32" t="n"/>
      <c r="G177" s="33" t="n"/>
      <c r="H177" s="32" t="n"/>
      <c r="I177" s="32" t="n"/>
      <c r="J177" s="32" t="n"/>
    </row>
    <row r="178">
      <c r="A178" s="28" t="n"/>
      <c r="B178" s="29" t="n"/>
      <c r="C178" s="29" t="n"/>
      <c r="D178" s="29" t="n"/>
      <c r="E178" s="29" t="n"/>
      <c r="F178" s="29" t="n"/>
      <c r="G178" s="30" t="n"/>
      <c r="H178" s="29" t="n"/>
      <c r="I178" s="29" t="n"/>
      <c r="J178" s="29" t="n"/>
    </row>
    <row r="179">
      <c r="A179" s="31" t="n"/>
      <c r="B179" s="32" t="n"/>
      <c r="C179" s="32" t="n"/>
      <c r="D179" s="32" t="n"/>
      <c r="E179" s="32" t="n"/>
      <c r="F179" s="32" t="n"/>
      <c r="G179" s="33" t="n"/>
      <c r="H179" s="32" t="n"/>
      <c r="I179" s="32" t="n"/>
      <c r="J179" s="32" t="n"/>
    </row>
    <row r="180">
      <c r="A180" s="28" t="n"/>
      <c r="B180" s="29" t="n"/>
      <c r="C180" s="29" t="n"/>
      <c r="D180" s="29" t="n"/>
      <c r="E180" s="29" t="n"/>
      <c r="F180" s="29" t="n"/>
      <c r="G180" s="30" t="n"/>
      <c r="H180" s="29" t="n"/>
      <c r="I180" s="29" t="n"/>
      <c r="J180" s="29" t="n"/>
    </row>
    <row r="181">
      <c r="A181" s="31" t="n"/>
      <c r="B181" s="32" t="n"/>
      <c r="C181" s="32" t="n"/>
      <c r="D181" s="32" t="n"/>
      <c r="E181" s="32" t="n"/>
      <c r="F181" s="32" t="n"/>
      <c r="G181" s="33" t="n"/>
      <c r="H181" s="32" t="n"/>
      <c r="I181" s="32" t="n"/>
      <c r="J181" s="32" t="n"/>
    </row>
    <row r="182">
      <c r="A182" s="28" t="n"/>
      <c r="B182" s="29" t="n"/>
      <c r="C182" s="29" t="n"/>
      <c r="D182" s="29" t="n"/>
      <c r="E182" s="29" t="n"/>
      <c r="F182" s="29" t="n"/>
      <c r="G182" s="30" t="n"/>
      <c r="H182" s="29" t="n"/>
      <c r="I182" s="29" t="n"/>
      <c r="J182" s="29" t="n"/>
    </row>
    <row r="183">
      <c r="A183" s="31" t="n"/>
      <c r="B183" s="32" t="n"/>
      <c r="C183" s="32" t="n"/>
      <c r="D183" s="32" t="n"/>
      <c r="E183" s="32" t="n"/>
      <c r="F183" s="32" t="n"/>
      <c r="G183" s="33" t="n"/>
      <c r="H183" s="32" t="n"/>
      <c r="I183" s="32" t="n"/>
      <c r="J183" s="32" t="n"/>
    </row>
    <row r="184">
      <c r="A184" s="28" t="n"/>
      <c r="B184" s="29" t="n"/>
      <c r="C184" s="29" t="n"/>
      <c r="D184" s="29" t="n"/>
      <c r="E184" s="29" t="n"/>
      <c r="F184" s="29" t="n"/>
      <c r="G184" s="30" t="n"/>
      <c r="H184" s="29" t="n"/>
      <c r="I184" s="29" t="n"/>
      <c r="J184" s="29" t="n"/>
    </row>
    <row r="185">
      <c r="A185" s="31" t="n"/>
      <c r="B185" s="32" t="n"/>
      <c r="C185" s="32" t="n"/>
      <c r="D185" s="32" t="n"/>
      <c r="E185" s="32" t="n"/>
      <c r="F185" s="32" t="n"/>
      <c r="G185" s="33" t="n"/>
      <c r="H185" s="32" t="n"/>
      <c r="I185" s="32" t="n"/>
      <c r="J185" s="32" t="n"/>
    </row>
    <row r="186">
      <c r="A186" s="28" t="n"/>
      <c r="B186" s="29" t="n"/>
      <c r="C186" s="29" t="n"/>
      <c r="D186" s="29" t="n"/>
      <c r="E186" s="29" t="n"/>
      <c r="F186" s="29" t="n"/>
      <c r="G186" s="30" t="n"/>
      <c r="H186" s="29" t="n"/>
      <c r="I186" s="29" t="n"/>
      <c r="J186" s="29" t="n"/>
    </row>
    <row r="187">
      <c r="A187" s="31" t="n"/>
      <c r="B187" s="32" t="n"/>
      <c r="C187" s="32" t="n"/>
      <c r="D187" s="32" t="n"/>
      <c r="E187" s="32" t="n"/>
      <c r="F187" s="32" t="n"/>
      <c r="G187" s="33" t="n"/>
      <c r="H187" s="32" t="n"/>
      <c r="I187" s="32" t="n"/>
      <c r="J187" s="32" t="n"/>
    </row>
    <row r="188">
      <c r="A188" s="28" t="n"/>
      <c r="B188" s="29" t="n"/>
      <c r="C188" s="29" t="n"/>
      <c r="D188" s="29" t="n"/>
      <c r="E188" s="29" t="n"/>
      <c r="F188" s="29" t="n"/>
      <c r="G188" s="30" t="n"/>
      <c r="H188" s="29" t="n"/>
      <c r="I188" s="29" t="n"/>
      <c r="J188" s="29" t="n"/>
    </row>
    <row r="189">
      <c r="A189" s="31" t="n"/>
      <c r="B189" s="32" t="n"/>
      <c r="C189" s="32" t="n"/>
      <c r="D189" s="32" t="n"/>
      <c r="E189" s="32" t="n"/>
      <c r="F189" s="32" t="n"/>
      <c r="G189" s="33" t="n"/>
      <c r="H189" s="32" t="n"/>
      <c r="I189" s="32" t="n"/>
      <c r="J189" s="32" t="n"/>
    </row>
    <row r="190">
      <c r="A190" s="28" t="n"/>
      <c r="B190" s="29" t="n"/>
      <c r="C190" s="29" t="n"/>
      <c r="D190" s="29" t="n"/>
      <c r="E190" s="29" t="n"/>
      <c r="F190" s="29" t="n"/>
      <c r="G190" s="30" t="n"/>
      <c r="H190" s="29" t="n"/>
      <c r="I190" s="29" t="n"/>
      <c r="J190" s="29" t="n"/>
    </row>
    <row r="191">
      <c r="A191" s="31" t="n"/>
      <c r="B191" s="32" t="n"/>
      <c r="C191" s="32" t="n"/>
      <c r="D191" s="32" t="n"/>
      <c r="E191" s="32" t="n"/>
      <c r="F191" s="32" t="n"/>
      <c r="G191" s="33" t="n"/>
      <c r="H191" s="32" t="n"/>
      <c r="I191" s="32" t="n"/>
      <c r="J191" s="32" t="n"/>
    </row>
    <row r="192">
      <c r="A192" s="28" t="n"/>
      <c r="B192" s="29" t="n"/>
      <c r="C192" s="29" t="n"/>
      <c r="D192" s="29" t="n"/>
      <c r="E192" s="29" t="n"/>
      <c r="F192" s="29" t="n"/>
      <c r="G192" s="30" t="n"/>
      <c r="H192" s="29" t="n"/>
      <c r="I192" s="29" t="n"/>
      <c r="J192" s="29" t="n"/>
    </row>
    <row r="193">
      <c r="A193" s="31" t="n"/>
      <c r="B193" s="32" t="n"/>
      <c r="C193" s="32" t="n"/>
      <c r="D193" s="32" t="n"/>
      <c r="E193" s="32" t="n"/>
      <c r="F193" s="32" t="n"/>
      <c r="G193" s="33" t="n"/>
      <c r="H193" s="32" t="n"/>
      <c r="I193" s="32" t="n"/>
      <c r="J193" s="32" t="n"/>
    </row>
    <row r="194">
      <c r="A194" s="28" t="n"/>
      <c r="B194" s="29" t="n"/>
      <c r="C194" s="29" t="n"/>
      <c r="D194" s="29" t="n"/>
      <c r="E194" s="29" t="n"/>
      <c r="F194" s="29" t="n"/>
      <c r="G194" s="30" t="n"/>
      <c r="H194" s="29" t="n"/>
      <c r="I194" s="29" t="n"/>
      <c r="J194" s="29" t="n"/>
    </row>
    <row r="195">
      <c r="A195" s="31" t="n"/>
      <c r="B195" s="32" t="n"/>
      <c r="C195" s="32" t="n"/>
      <c r="D195" s="32" t="n"/>
      <c r="E195" s="32" t="n"/>
      <c r="F195" s="32" t="n"/>
      <c r="G195" s="33" t="n"/>
      <c r="H195" s="32" t="n"/>
      <c r="I195" s="32" t="n"/>
      <c r="J195" s="32" t="n"/>
    </row>
    <row r="196">
      <c r="A196" s="28" t="n"/>
      <c r="B196" s="29" t="n"/>
      <c r="C196" s="29" t="n"/>
      <c r="D196" s="29" t="n"/>
      <c r="E196" s="29" t="n"/>
      <c r="F196" s="29" t="n"/>
      <c r="G196" s="30" t="n"/>
      <c r="H196" s="29" t="n"/>
      <c r="I196" s="29" t="n"/>
      <c r="J196" s="29" t="n"/>
    </row>
    <row r="197">
      <c r="A197" s="31" t="n"/>
      <c r="B197" s="32" t="n"/>
      <c r="C197" s="32" t="n"/>
      <c r="D197" s="32" t="n"/>
      <c r="E197" s="32" t="n"/>
      <c r="F197" s="32" t="n"/>
      <c r="G197" s="33" t="n"/>
      <c r="H197" s="32" t="n"/>
      <c r="I197" s="32" t="n"/>
      <c r="J197" s="32" t="n"/>
    </row>
    <row r="198">
      <c r="A198" s="28" t="n"/>
      <c r="B198" s="29" t="n"/>
      <c r="C198" s="29" t="n"/>
      <c r="D198" s="29" t="n"/>
      <c r="E198" s="29" t="n"/>
      <c r="F198" s="29" t="n"/>
      <c r="G198" s="30" t="n"/>
      <c r="H198" s="29" t="n"/>
      <c r="I198" s="29" t="n"/>
      <c r="J198" s="29" t="n"/>
    </row>
    <row r="199">
      <c r="A199" s="31" t="n"/>
      <c r="B199" s="32" t="n"/>
      <c r="C199" s="32" t="n"/>
      <c r="D199" s="32" t="n"/>
      <c r="E199" s="32" t="n"/>
      <c r="F199" s="32" t="n"/>
      <c r="G199" s="33" t="n"/>
      <c r="H199" s="32" t="n"/>
      <c r="I199" s="32" t="n"/>
      <c r="J199" s="32" t="n"/>
    </row>
    <row r="200">
      <c r="A200" s="28" t="n"/>
      <c r="B200" s="29" t="n"/>
      <c r="C200" s="29" t="n"/>
      <c r="D200" s="29" t="n"/>
      <c r="E200" s="29" t="n"/>
      <c r="F200" s="29" t="n"/>
      <c r="G200" s="30" t="n"/>
      <c r="H200" s="29" t="n"/>
      <c r="I200" s="29" t="n"/>
      <c r="J200" s="29" t="n"/>
    </row>
    <row r="201">
      <c r="A201" s="31" t="n"/>
      <c r="B201" s="32" t="n"/>
      <c r="C201" s="32" t="n"/>
      <c r="D201" s="32" t="n"/>
      <c r="E201" s="32" t="n"/>
      <c r="F201" s="32" t="n"/>
      <c r="G201" s="33" t="n"/>
      <c r="H201" s="32" t="n"/>
      <c r="I201" s="32" t="n"/>
      <c r="J201" s="32" t="n"/>
    </row>
    <row r="202">
      <c r="A202" s="28" t="n"/>
      <c r="B202" s="29" t="n"/>
      <c r="C202" s="29" t="n"/>
      <c r="D202" s="29" t="n"/>
      <c r="E202" s="29" t="n"/>
      <c r="F202" s="29" t="n"/>
      <c r="G202" s="30" t="n"/>
      <c r="H202" s="29" t="n"/>
      <c r="I202" s="29" t="n"/>
      <c r="J202" s="29" t="n"/>
    </row>
    <row r="203">
      <c r="A203" s="31" t="n"/>
      <c r="B203" s="32" t="n"/>
      <c r="C203" s="32" t="n"/>
      <c r="D203" s="32" t="n"/>
      <c r="E203" s="32" t="n"/>
      <c r="F203" s="32" t="n"/>
      <c r="G203" s="33" t="n"/>
      <c r="H203" s="32" t="n"/>
      <c r="I203" s="32" t="n"/>
      <c r="J203" s="32" t="n"/>
    </row>
    <row r="204">
      <c r="A204" s="28" t="n"/>
      <c r="B204" s="29" t="n"/>
      <c r="C204" s="29" t="n"/>
      <c r="D204" s="29" t="n"/>
      <c r="E204" s="29" t="n"/>
      <c r="F204" s="29" t="n"/>
      <c r="G204" s="30" t="n"/>
      <c r="H204" s="29" t="n"/>
      <c r="I204" s="29" t="n"/>
      <c r="J204" s="29" t="n"/>
    </row>
    <row r="205">
      <c r="A205" s="31" t="n"/>
      <c r="B205" s="32" t="n"/>
      <c r="C205" s="32" t="n"/>
      <c r="D205" s="32" t="n"/>
      <c r="E205" s="32" t="n"/>
      <c r="F205" s="32" t="n"/>
      <c r="G205" s="33" t="n"/>
      <c r="H205" s="32" t="n"/>
      <c r="I205" s="32" t="n"/>
      <c r="J205" s="32" t="n"/>
    </row>
    <row r="206">
      <c r="A206" s="28" t="n"/>
      <c r="B206" s="29" t="n"/>
      <c r="C206" s="29" t="n"/>
      <c r="D206" s="29" t="n"/>
      <c r="E206" s="29" t="n"/>
      <c r="F206" s="29" t="n"/>
      <c r="G206" s="30" t="n"/>
      <c r="H206" s="29" t="n"/>
      <c r="I206" s="29" t="n"/>
      <c r="J206" s="29" t="n"/>
    </row>
    <row r="207">
      <c r="A207" s="31" t="n"/>
      <c r="B207" s="32" t="n"/>
      <c r="C207" s="32" t="n"/>
      <c r="D207" s="32" t="n"/>
      <c r="E207" s="32" t="n"/>
      <c r="F207" s="32" t="n"/>
      <c r="G207" s="33" t="n"/>
      <c r="H207" s="32" t="n"/>
      <c r="I207" s="32" t="n"/>
      <c r="J207" s="32" t="n"/>
    </row>
    <row r="208">
      <c r="A208" s="28" t="n"/>
      <c r="B208" s="29" t="n"/>
      <c r="C208" s="29" t="n"/>
      <c r="D208" s="29" t="n"/>
      <c r="E208" s="29" t="n"/>
      <c r="F208" s="29" t="n"/>
      <c r="G208" s="30" t="n"/>
      <c r="H208" s="29" t="n"/>
      <c r="I208" s="29" t="n"/>
      <c r="J208" s="29" t="n"/>
    </row>
    <row r="209">
      <c r="A209" s="31" t="n"/>
      <c r="B209" s="32" t="n"/>
      <c r="C209" s="32" t="n"/>
      <c r="D209" s="32" t="n"/>
      <c r="E209" s="32" t="n"/>
      <c r="F209" s="32" t="n"/>
      <c r="G209" s="33" t="n"/>
      <c r="H209" s="32" t="n"/>
      <c r="I209" s="32" t="n"/>
      <c r="J209" s="32" t="n"/>
    </row>
    <row r="210">
      <c r="A210" s="28" t="n"/>
      <c r="B210" s="29" t="n"/>
      <c r="C210" s="29" t="n"/>
      <c r="D210" s="29" t="n"/>
      <c r="E210" s="29" t="n"/>
      <c r="F210" s="29" t="n"/>
      <c r="G210" s="30" t="n"/>
      <c r="H210" s="29" t="n"/>
      <c r="I210" s="29" t="n"/>
      <c r="J210" s="29" t="n"/>
    </row>
    <row r="211">
      <c r="A211" s="31" t="n"/>
      <c r="B211" s="32" t="n"/>
      <c r="C211" s="32" t="n"/>
      <c r="D211" s="32" t="n"/>
      <c r="E211" s="32" t="n"/>
      <c r="F211" s="32" t="n"/>
      <c r="G211" s="33" t="n"/>
      <c r="H211" s="32" t="n"/>
      <c r="I211" s="32" t="n"/>
      <c r="J211" s="32" t="n"/>
    </row>
    <row r="212">
      <c r="A212" s="28" t="n"/>
      <c r="B212" s="29" t="n"/>
      <c r="C212" s="29" t="n"/>
      <c r="D212" s="29" t="n"/>
      <c r="E212" s="29" t="n"/>
      <c r="F212" s="29" t="n"/>
      <c r="G212" s="30" t="n"/>
      <c r="H212" s="29" t="n"/>
      <c r="I212" s="29" t="n"/>
      <c r="J212" s="29" t="n"/>
    </row>
    <row r="213">
      <c r="A213" s="31" t="n"/>
      <c r="B213" s="32" t="n"/>
      <c r="C213" s="32" t="n"/>
      <c r="D213" s="32" t="n"/>
      <c r="E213" s="32" t="n"/>
      <c r="F213" s="32" t="n"/>
      <c r="G213" s="33" t="n"/>
      <c r="H213" s="32" t="n"/>
      <c r="I213" s="32" t="n"/>
      <c r="J213" s="32" t="n"/>
    </row>
    <row r="214">
      <c r="A214" s="28" t="n"/>
      <c r="B214" s="29" t="n"/>
      <c r="C214" s="29" t="n"/>
      <c r="D214" s="29" t="n"/>
      <c r="E214" s="29" t="n"/>
      <c r="F214" s="29" t="n"/>
      <c r="G214" s="30" t="n"/>
      <c r="H214" s="29" t="n"/>
      <c r="I214" s="29" t="n"/>
      <c r="J214" s="29" t="n"/>
    </row>
    <row r="215">
      <c r="A215" s="31" t="n"/>
      <c r="B215" s="32" t="n"/>
      <c r="C215" s="32" t="n"/>
      <c r="D215" s="32" t="n"/>
      <c r="E215" s="32" t="n"/>
      <c r="F215" s="32" t="n"/>
      <c r="G215" s="33" t="n"/>
      <c r="H215" s="32" t="n"/>
      <c r="I215" s="32" t="n"/>
      <c r="J215" s="32" t="n"/>
    </row>
    <row r="216">
      <c r="A216" s="28" t="n"/>
      <c r="B216" s="29" t="n"/>
      <c r="C216" s="29" t="n"/>
      <c r="D216" s="29" t="n"/>
      <c r="E216" s="29" t="n"/>
      <c r="F216" s="29" t="n"/>
      <c r="G216" s="30" t="n"/>
      <c r="H216" s="29" t="n"/>
      <c r="I216" s="29" t="n"/>
      <c r="J216" s="29" t="n"/>
    </row>
    <row r="217">
      <c r="A217" s="31" t="n"/>
      <c r="B217" s="32" t="n"/>
      <c r="C217" s="32" t="n"/>
      <c r="D217" s="32" t="n"/>
      <c r="E217" s="32" t="n"/>
      <c r="F217" s="32" t="n"/>
      <c r="G217" s="33" t="n"/>
      <c r="H217" s="32" t="n"/>
      <c r="I217" s="32" t="n"/>
      <c r="J217" s="32" t="n"/>
    </row>
    <row r="218">
      <c r="A218" s="28" t="n"/>
      <c r="B218" s="29" t="n"/>
      <c r="C218" s="29" t="n"/>
      <c r="D218" s="29" t="n"/>
      <c r="E218" s="29" t="n"/>
      <c r="F218" s="29" t="n"/>
      <c r="G218" s="30" t="n"/>
      <c r="H218" s="29" t="n"/>
      <c r="I218" s="29" t="n"/>
      <c r="J218" s="29" t="n"/>
    </row>
    <row r="219">
      <c r="A219" s="31" t="n"/>
      <c r="B219" s="32" t="n"/>
      <c r="C219" s="32" t="n"/>
      <c r="D219" s="32" t="n"/>
      <c r="E219" s="32" t="n"/>
      <c r="F219" s="32" t="n"/>
      <c r="G219" s="33" t="n"/>
      <c r="H219" s="32" t="n"/>
      <c r="I219" s="32" t="n"/>
      <c r="J219" s="32" t="n"/>
    </row>
    <row r="220">
      <c r="A220" s="28" t="n"/>
      <c r="B220" s="29" t="n"/>
      <c r="C220" s="29" t="n"/>
      <c r="D220" s="29" t="n"/>
      <c r="E220" s="29" t="n"/>
      <c r="F220" s="29" t="n"/>
      <c r="G220" s="30" t="n"/>
      <c r="H220" s="29" t="n"/>
      <c r="I220" s="29" t="n"/>
      <c r="J220" s="29" t="n"/>
    </row>
    <row r="221">
      <c r="A221" s="31" t="n"/>
      <c r="B221" s="32" t="n"/>
      <c r="C221" s="32" t="n"/>
      <c r="D221" s="32" t="n"/>
      <c r="E221" s="32" t="n"/>
      <c r="F221" s="32" t="n"/>
      <c r="G221" s="33" t="n"/>
      <c r="H221" s="32" t="n"/>
      <c r="I221" s="32" t="n"/>
      <c r="J221" s="32" t="n"/>
    </row>
    <row r="222">
      <c r="A222" s="28" t="n"/>
      <c r="B222" s="29" t="n"/>
      <c r="C222" s="29" t="n"/>
      <c r="D222" s="29" t="n"/>
      <c r="E222" s="29" t="n"/>
      <c r="F222" s="29" t="n"/>
      <c r="G222" s="30" t="n"/>
      <c r="H222" s="29" t="n"/>
      <c r="I222" s="29" t="n"/>
      <c r="J222" s="29" t="n"/>
    </row>
    <row r="223">
      <c r="A223" s="31" t="n"/>
      <c r="B223" s="32" t="n"/>
      <c r="C223" s="32" t="n"/>
      <c r="D223" s="32" t="n"/>
      <c r="E223" s="32" t="n"/>
      <c r="F223" s="32" t="n"/>
      <c r="G223" s="33" t="n"/>
      <c r="H223" s="32" t="n"/>
      <c r="I223" s="32" t="n"/>
      <c r="J223" s="32" t="n"/>
    </row>
    <row r="224">
      <c r="A224" s="28" t="n"/>
      <c r="B224" s="29" t="n"/>
      <c r="C224" s="29" t="n"/>
      <c r="D224" s="29" t="n"/>
      <c r="E224" s="29" t="n"/>
      <c r="F224" s="29" t="n"/>
      <c r="G224" s="30" t="n"/>
      <c r="H224" s="29" t="n"/>
      <c r="I224" s="29" t="n"/>
      <c r="J224" s="29" t="n"/>
    </row>
    <row r="225">
      <c r="A225" s="31" t="n"/>
      <c r="B225" s="32" t="n"/>
      <c r="C225" s="32" t="n"/>
      <c r="D225" s="32" t="n"/>
      <c r="E225" s="32" t="n"/>
      <c r="F225" s="32" t="n"/>
      <c r="G225" s="33" t="n"/>
      <c r="H225" s="32" t="n"/>
      <c r="I225" s="32" t="n"/>
      <c r="J225" s="32" t="n"/>
    </row>
    <row r="226">
      <c r="A226" s="28" t="n"/>
      <c r="B226" s="29" t="n"/>
      <c r="C226" s="29" t="n"/>
      <c r="D226" s="29" t="n"/>
      <c r="E226" s="29" t="n"/>
      <c r="F226" s="29" t="n"/>
      <c r="G226" s="30" t="n"/>
      <c r="H226" s="29" t="n"/>
      <c r="I226" s="29" t="n"/>
      <c r="J226" s="29" t="n"/>
    </row>
    <row r="227">
      <c r="A227" s="31" t="n"/>
      <c r="B227" s="32" t="n"/>
      <c r="C227" s="32" t="n"/>
      <c r="D227" s="32" t="n"/>
      <c r="E227" s="32" t="n"/>
      <c r="F227" s="32" t="n"/>
      <c r="G227" s="33" t="n"/>
      <c r="H227" s="32" t="n"/>
      <c r="I227" s="32" t="n"/>
      <c r="J227" s="32" t="n"/>
    </row>
    <row r="228">
      <c r="A228" s="28" t="n"/>
      <c r="B228" s="29" t="n"/>
      <c r="C228" s="29" t="n"/>
      <c r="D228" s="29" t="n"/>
      <c r="E228" s="29" t="n"/>
      <c r="F228" s="29" t="n"/>
      <c r="G228" s="30" t="n"/>
      <c r="H228" s="29" t="n"/>
      <c r="I228" s="29" t="n"/>
      <c r="J228" s="29" t="n"/>
    </row>
    <row r="229">
      <c r="A229" s="31" t="n"/>
      <c r="B229" s="32" t="n"/>
      <c r="C229" s="32" t="n"/>
      <c r="D229" s="32" t="n"/>
      <c r="E229" s="32" t="n"/>
      <c r="F229" s="32" t="n"/>
      <c r="G229" s="33" t="n"/>
      <c r="H229" s="32" t="n"/>
      <c r="I229" s="32" t="n"/>
      <c r="J229" s="32" t="n"/>
    </row>
    <row r="230">
      <c r="A230" s="28" t="n"/>
      <c r="B230" s="29" t="n"/>
      <c r="C230" s="29" t="n"/>
      <c r="D230" s="29" t="n"/>
      <c r="E230" s="29" t="n"/>
      <c r="F230" s="29" t="n"/>
      <c r="G230" s="30" t="n"/>
      <c r="H230" s="29" t="n"/>
      <c r="I230" s="29" t="n"/>
      <c r="J230" s="29" t="n"/>
    </row>
    <row r="231">
      <c r="A231" s="31" t="n"/>
      <c r="B231" s="32" t="n"/>
      <c r="C231" s="32" t="n"/>
      <c r="D231" s="32" t="n"/>
      <c r="E231" s="32" t="n"/>
      <c r="F231" s="32" t="n"/>
      <c r="G231" s="33" t="n"/>
      <c r="H231" s="32" t="n"/>
      <c r="I231" s="32" t="n"/>
      <c r="J231" s="32" t="n"/>
    </row>
    <row r="232">
      <c r="A232" s="28" t="n"/>
      <c r="B232" s="29" t="n"/>
      <c r="C232" s="29" t="n"/>
      <c r="D232" s="29" t="n"/>
      <c r="E232" s="29" t="n"/>
      <c r="F232" s="29" t="n"/>
      <c r="G232" s="30" t="n"/>
      <c r="H232" s="29" t="n"/>
      <c r="I232" s="29" t="n"/>
      <c r="J232" s="29" t="n"/>
    </row>
    <row r="233">
      <c r="A233" s="31" t="n"/>
      <c r="B233" s="32" t="n"/>
      <c r="C233" s="32" t="n"/>
      <c r="D233" s="32" t="n"/>
      <c r="E233" s="32" t="n"/>
      <c r="F233" s="32" t="n"/>
      <c r="G233" s="33" t="n"/>
      <c r="H233" s="32" t="n"/>
      <c r="I233" s="32" t="n"/>
      <c r="J233" s="32" t="n"/>
    </row>
    <row r="234">
      <c r="A234" s="28" t="n"/>
      <c r="B234" s="29" t="n"/>
      <c r="C234" s="29" t="n"/>
      <c r="D234" s="29" t="n"/>
      <c r="E234" s="29" t="n"/>
      <c r="F234" s="29" t="n"/>
      <c r="G234" s="30" t="n"/>
      <c r="H234" s="29" t="n"/>
      <c r="I234" s="29" t="n"/>
      <c r="J234" s="29" t="n"/>
    </row>
    <row r="235">
      <c r="A235" s="31" t="n"/>
      <c r="B235" s="32" t="n"/>
      <c r="C235" s="32" t="n"/>
      <c r="D235" s="32" t="n"/>
      <c r="E235" s="32" t="n"/>
      <c r="F235" s="32" t="n"/>
      <c r="G235" s="33" t="n"/>
      <c r="H235" s="32" t="n"/>
      <c r="I235" s="32" t="n"/>
      <c r="J235" s="32" t="n"/>
    </row>
    <row r="236">
      <c r="A236" s="28" t="n"/>
      <c r="B236" s="29" t="n"/>
      <c r="C236" s="29" t="n"/>
      <c r="D236" s="29" t="n"/>
      <c r="E236" s="29" t="n"/>
      <c r="F236" s="29" t="n"/>
      <c r="G236" s="30" t="n"/>
      <c r="H236" s="29" t="n"/>
      <c r="I236" s="29" t="n"/>
      <c r="J236" s="29" t="n"/>
    </row>
    <row r="237">
      <c r="A237" s="31" t="n"/>
      <c r="B237" s="32" t="n"/>
      <c r="C237" s="32" t="n"/>
      <c r="D237" s="32" t="n"/>
      <c r="E237" s="32" t="n"/>
      <c r="F237" s="32" t="n"/>
      <c r="G237" s="33" t="n"/>
      <c r="H237" s="32" t="n"/>
      <c r="I237" s="32" t="n"/>
      <c r="J237" s="32" t="n"/>
    </row>
    <row r="238">
      <c r="A238" s="28" t="n"/>
      <c r="B238" s="29" t="n"/>
      <c r="C238" s="29" t="n"/>
      <c r="D238" s="29" t="n"/>
      <c r="E238" s="29" t="n"/>
      <c r="F238" s="29" t="n"/>
      <c r="G238" s="30" t="n"/>
      <c r="H238" s="29" t="n"/>
      <c r="I238" s="29" t="n"/>
      <c r="J238" s="29" t="n"/>
    </row>
    <row r="239">
      <c r="A239" s="31" t="n"/>
      <c r="B239" s="32" t="n"/>
      <c r="C239" s="32" t="n"/>
      <c r="D239" s="32" t="n"/>
      <c r="E239" s="32" t="n"/>
      <c r="F239" s="32" t="n"/>
      <c r="G239" s="33" t="n"/>
      <c r="H239" s="32" t="n"/>
      <c r="I239" s="32" t="n"/>
      <c r="J239" s="32" t="n"/>
    </row>
    <row r="240">
      <c r="A240" s="28" t="n"/>
      <c r="B240" s="29" t="n"/>
      <c r="C240" s="29" t="n"/>
      <c r="D240" s="29" t="n"/>
      <c r="E240" s="29" t="n"/>
      <c r="F240" s="29" t="n"/>
      <c r="G240" s="30" t="n"/>
      <c r="H240" s="29" t="n"/>
      <c r="I240" s="29" t="n"/>
      <c r="J240" s="29" t="n"/>
    </row>
    <row r="241">
      <c r="A241" s="31" t="n"/>
      <c r="B241" s="32" t="n"/>
      <c r="C241" s="32" t="n"/>
      <c r="D241" s="32" t="n"/>
      <c r="E241" s="32" t="n"/>
      <c r="F241" s="32" t="n"/>
      <c r="G241" s="33" t="n"/>
      <c r="H241" s="32" t="n"/>
      <c r="I241" s="32" t="n"/>
      <c r="J241" s="32" t="n"/>
    </row>
    <row r="242">
      <c r="A242" s="28" t="n"/>
      <c r="B242" s="29" t="n"/>
      <c r="C242" s="29" t="n"/>
      <c r="D242" s="29" t="n"/>
      <c r="E242" s="29" t="n"/>
      <c r="F242" s="29" t="n"/>
      <c r="G242" s="30" t="n"/>
      <c r="H242" s="29" t="n"/>
      <c r="I242" s="29" t="n"/>
      <c r="J242" s="29" t="n"/>
    </row>
    <row r="243">
      <c r="A243" s="31" t="n"/>
      <c r="B243" s="32" t="n"/>
      <c r="C243" s="32" t="n"/>
      <c r="D243" s="32" t="n"/>
      <c r="E243" s="32" t="n"/>
      <c r="F243" s="32" t="n"/>
      <c r="G243" s="33" t="n"/>
      <c r="H243" s="32" t="n"/>
      <c r="I243" s="32" t="n"/>
      <c r="J243" s="32" t="n"/>
    </row>
    <row r="244">
      <c r="A244" s="28" t="n"/>
      <c r="B244" s="29" t="n"/>
      <c r="C244" s="29" t="n"/>
      <c r="D244" s="29" t="n"/>
      <c r="E244" s="29" t="n"/>
      <c r="F244" s="29" t="n"/>
      <c r="G244" s="30" t="n"/>
      <c r="H244" s="29" t="n"/>
      <c r="I244" s="29" t="n"/>
      <c r="J244" s="29" t="n"/>
    </row>
    <row r="245">
      <c r="A245" s="31" t="n"/>
      <c r="B245" s="32" t="n"/>
      <c r="C245" s="32" t="n"/>
      <c r="D245" s="32" t="n"/>
      <c r="E245" s="32" t="n"/>
      <c r="F245" s="32" t="n"/>
      <c r="G245" s="33" t="n"/>
      <c r="H245" s="32" t="n"/>
      <c r="I245" s="32" t="n"/>
      <c r="J245" s="32" t="n"/>
    </row>
    <row r="246">
      <c r="A246" s="28" t="n"/>
      <c r="B246" s="29" t="n"/>
      <c r="C246" s="29" t="n"/>
      <c r="D246" s="29" t="n"/>
      <c r="E246" s="29" t="n"/>
      <c r="F246" s="29" t="n"/>
      <c r="G246" s="30" t="n"/>
      <c r="H246" s="29" t="n"/>
      <c r="I246" s="29" t="n"/>
      <c r="J246" s="29" t="n"/>
    </row>
    <row r="247">
      <c r="A247" s="31" t="n"/>
      <c r="B247" s="32" t="n"/>
      <c r="C247" s="32" t="n"/>
      <c r="D247" s="32" t="n"/>
      <c r="E247" s="32" t="n"/>
      <c r="F247" s="32" t="n"/>
      <c r="G247" s="33" t="n"/>
      <c r="H247" s="32" t="n"/>
      <c r="I247" s="32" t="n"/>
      <c r="J247" s="32" t="n"/>
    </row>
    <row r="248">
      <c r="A248" s="28" t="n"/>
      <c r="B248" s="29" t="n"/>
      <c r="C248" s="29" t="n"/>
      <c r="D248" s="29" t="n"/>
      <c r="E248" s="29" t="n"/>
      <c r="F248" s="29" t="n"/>
      <c r="G248" s="30" t="n"/>
      <c r="H248" s="29" t="n"/>
      <c r="I248" s="29" t="n"/>
      <c r="J248" s="29" t="n"/>
    </row>
    <row r="249">
      <c r="A249" s="31" t="n"/>
      <c r="B249" s="32" t="n"/>
      <c r="C249" s="32" t="n"/>
      <c r="D249" s="32" t="n"/>
      <c r="E249" s="32" t="n"/>
      <c r="F249" s="32" t="n"/>
      <c r="G249" s="33" t="n"/>
      <c r="H249" s="32" t="n"/>
      <c r="I249" s="32" t="n"/>
      <c r="J249" s="32" t="n"/>
    </row>
    <row r="250">
      <c r="A250" s="28" t="n"/>
      <c r="B250" s="29" t="n"/>
      <c r="C250" s="29" t="n"/>
      <c r="D250" s="29" t="n"/>
      <c r="E250" s="29" t="n"/>
      <c r="F250" s="29" t="n"/>
      <c r="G250" s="30" t="n"/>
      <c r="H250" s="29" t="n"/>
      <c r="I250" s="29" t="n"/>
      <c r="J250" s="29" t="n"/>
    </row>
    <row r="251">
      <c r="A251" s="31" t="n"/>
      <c r="B251" s="32" t="n"/>
      <c r="C251" s="32" t="n"/>
      <c r="D251" s="32" t="n"/>
      <c r="E251" s="32" t="n"/>
      <c r="F251" s="32" t="n"/>
      <c r="G251" s="33" t="n"/>
      <c r="H251" s="32" t="n"/>
      <c r="I251" s="32" t="n"/>
      <c r="J251" s="32" t="n"/>
    </row>
    <row r="252">
      <c r="A252" s="28" t="n"/>
      <c r="B252" s="29" t="n"/>
      <c r="C252" s="29" t="n"/>
      <c r="D252" s="29" t="n"/>
      <c r="E252" s="29" t="n"/>
      <c r="F252" s="29" t="n"/>
      <c r="G252" s="30" t="n"/>
      <c r="H252" s="29" t="n"/>
      <c r="I252" s="29" t="n"/>
      <c r="J252" s="29" t="n"/>
    </row>
    <row r="253">
      <c r="A253" s="31" t="n"/>
      <c r="B253" s="32" t="n"/>
      <c r="C253" s="32" t="n"/>
      <c r="D253" s="32" t="n"/>
      <c r="E253" s="32" t="n"/>
      <c r="F253" s="32" t="n"/>
      <c r="G253" s="33" t="n"/>
      <c r="H253" s="32" t="n"/>
      <c r="I253" s="32" t="n"/>
      <c r="J253" s="32" t="n"/>
    </row>
    <row r="254">
      <c r="A254" s="28" t="n"/>
      <c r="B254" s="29" t="n"/>
      <c r="C254" s="29" t="n"/>
      <c r="D254" s="29" t="n"/>
      <c r="E254" s="29" t="n"/>
      <c r="F254" s="29" t="n"/>
      <c r="G254" s="30" t="n"/>
      <c r="H254" s="29" t="n"/>
      <c r="I254" s="29" t="n"/>
      <c r="J254" s="29" t="n"/>
    </row>
    <row r="255">
      <c r="A255" s="31" t="n"/>
      <c r="B255" s="32" t="n"/>
      <c r="C255" s="32" t="n"/>
      <c r="D255" s="32" t="n"/>
      <c r="E255" s="32" t="n"/>
      <c r="F255" s="32" t="n"/>
      <c r="G255" s="33" t="n"/>
      <c r="H255" s="32" t="n"/>
      <c r="I255" s="32" t="n"/>
      <c r="J255" s="32" t="n"/>
    </row>
    <row r="256">
      <c r="A256" s="28" t="n"/>
      <c r="B256" s="29" t="n"/>
      <c r="C256" s="29" t="n"/>
      <c r="D256" s="29" t="n"/>
      <c r="E256" s="29" t="n"/>
      <c r="F256" s="29" t="n"/>
      <c r="G256" s="30" t="n"/>
      <c r="H256" s="29" t="n"/>
      <c r="I256" s="29" t="n"/>
      <c r="J256" s="29" t="n"/>
    </row>
    <row r="257">
      <c r="A257" s="31" t="n"/>
      <c r="B257" s="32" t="n"/>
      <c r="C257" s="32" t="n"/>
      <c r="D257" s="32" t="n"/>
      <c r="E257" s="32" t="n"/>
      <c r="F257" s="32" t="n"/>
      <c r="G257" s="33" t="n"/>
      <c r="H257" s="32" t="n"/>
      <c r="I257" s="32" t="n"/>
      <c r="J257" s="32" t="n"/>
    </row>
    <row r="258">
      <c r="A258" s="28" t="n"/>
      <c r="B258" s="29" t="n"/>
      <c r="C258" s="29" t="n"/>
      <c r="D258" s="29" t="n"/>
      <c r="E258" s="29" t="n"/>
      <c r="F258" s="29" t="n"/>
      <c r="G258" s="30" t="n"/>
      <c r="H258" s="29" t="n"/>
      <c r="I258" s="29" t="n"/>
      <c r="J258" s="29" t="n"/>
    </row>
    <row r="259">
      <c r="A259" s="31" t="n"/>
      <c r="B259" s="32" t="n"/>
      <c r="C259" s="32" t="n"/>
      <c r="D259" s="32" t="n"/>
      <c r="E259" s="32" t="n"/>
      <c r="F259" s="32" t="n"/>
      <c r="G259" s="33" t="n"/>
      <c r="H259" s="32" t="n"/>
      <c r="I259" s="32" t="n"/>
      <c r="J259" s="32" t="n"/>
    </row>
    <row r="260">
      <c r="A260" s="28" t="n"/>
      <c r="B260" s="29" t="n"/>
      <c r="C260" s="29" t="n"/>
      <c r="D260" s="29" t="n"/>
      <c r="E260" s="29" t="n"/>
      <c r="F260" s="29" t="n"/>
      <c r="G260" s="30" t="n"/>
      <c r="H260" s="29" t="n"/>
      <c r="I260" s="29" t="n"/>
      <c r="J260" s="29" t="n"/>
    </row>
    <row r="261">
      <c r="A261" s="31" t="n"/>
      <c r="B261" s="32" t="n"/>
      <c r="C261" s="32" t="n"/>
      <c r="D261" s="32" t="n"/>
      <c r="E261" s="32" t="n"/>
      <c r="F261" s="32" t="n"/>
      <c r="G261" s="33" t="n"/>
      <c r="H261" s="32" t="n"/>
      <c r="I261" s="32" t="n"/>
      <c r="J261" s="32" t="n"/>
    </row>
    <row r="262">
      <c r="A262" s="28" t="n"/>
      <c r="B262" s="29" t="n"/>
      <c r="C262" s="29" t="n"/>
      <c r="D262" s="29" t="n"/>
      <c r="E262" s="29" t="n"/>
      <c r="F262" s="29" t="n"/>
      <c r="G262" s="30" t="n"/>
      <c r="H262" s="29" t="n"/>
      <c r="I262" s="29" t="n"/>
      <c r="J262" s="29" t="n"/>
    </row>
    <row r="263">
      <c r="A263" s="31" t="n"/>
      <c r="B263" s="32" t="n"/>
      <c r="C263" s="32" t="n"/>
      <c r="D263" s="32" t="n"/>
      <c r="E263" s="32" t="n"/>
      <c r="F263" s="32" t="n"/>
      <c r="G263" s="33" t="n"/>
      <c r="H263" s="32" t="n"/>
      <c r="I263" s="32" t="n"/>
      <c r="J263" s="32" t="n"/>
    </row>
    <row r="264">
      <c r="A264" s="28" t="n"/>
      <c r="B264" s="29" t="n"/>
      <c r="C264" s="29" t="n"/>
      <c r="D264" s="29" t="n"/>
      <c r="E264" s="29" t="n"/>
      <c r="F264" s="29" t="n"/>
      <c r="G264" s="30" t="n"/>
      <c r="H264" s="29" t="n"/>
      <c r="I264" s="29" t="n"/>
      <c r="J264" s="29" t="n"/>
    </row>
    <row r="265">
      <c r="A265" s="31" t="n"/>
      <c r="B265" s="32" t="n"/>
      <c r="C265" s="32" t="n"/>
      <c r="D265" s="32" t="n"/>
      <c r="E265" s="32" t="n"/>
      <c r="F265" s="32" t="n"/>
      <c r="G265" s="33" t="n"/>
      <c r="H265" s="32" t="n"/>
      <c r="I265" s="32" t="n"/>
      <c r="J265" s="32" t="n"/>
    </row>
    <row r="266">
      <c r="A266" s="28" t="n"/>
      <c r="B266" s="29" t="n"/>
      <c r="C266" s="29" t="n"/>
      <c r="D266" s="29" t="n"/>
      <c r="E266" s="29" t="n"/>
      <c r="F266" s="29" t="n"/>
      <c r="G266" s="30" t="n"/>
      <c r="H266" s="29" t="n"/>
      <c r="I266" s="29" t="n"/>
      <c r="J266" s="29" t="n"/>
    </row>
    <row r="267">
      <c r="A267" s="31" t="n"/>
      <c r="B267" s="32" t="n"/>
      <c r="C267" s="32" t="n"/>
      <c r="D267" s="32" t="n"/>
      <c r="E267" s="32" t="n"/>
      <c r="F267" s="32" t="n"/>
      <c r="G267" s="33" t="n"/>
      <c r="H267" s="32" t="n"/>
      <c r="I267" s="32" t="n"/>
      <c r="J267" s="32" t="n"/>
    </row>
    <row r="268">
      <c r="A268" s="28" t="n"/>
      <c r="B268" s="29" t="n"/>
      <c r="C268" s="29" t="n"/>
      <c r="D268" s="29" t="n"/>
      <c r="E268" s="29" t="n"/>
      <c r="F268" s="29" t="n"/>
      <c r="G268" s="30" t="n"/>
      <c r="H268" s="29" t="n"/>
      <c r="I268" s="29" t="n"/>
      <c r="J268" s="29" t="n"/>
    </row>
    <row r="269">
      <c r="A269" s="31" t="n"/>
      <c r="B269" s="32" t="n"/>
      <c r="C269" s="32" t="n"/>
      <c r="D269" s="32" t="n"/>
      <c r="E269" s="32" t="n"/>
      <c r="F269" s="32" t="n"/>
      <c r="G269" s="33" t="n"/>
      <c r="H269" s="32" t="n"/>
      <c r="I269" s="32" t="n"/>
      <c r="J269" s="32" t="n"/>
    </row>
    <row r="270">
      <c r="A270" s="28" t="n"/>
      <c r="B270" s="29" t="n"/>
      <c r="C270" s="29" t="n"/>
      <c r="D270" s="29" t="n"/>
      <c r="E270" s="29" t="n"/>
      <c r="F270" s="29" t="n"/>
      <c r="G270" s="30" t="n"/>
      <c r="H270" s="29" t="n"/>
      <c r="I270" s="29" t="n"/>
      <c r="J270" s="29" t="n"/>
    </row>
    <row r="271">
      <c r="A271" s="31" t="n"/>
      <c r="B271" s="32" t="n"/>
      <c r="C271" s="32" t="n"/>
      <c r="D271" s="32" t="n"/>
      <c r="E271" s="32" t="n"/>
      <c r="F271" s="32" t="n"/>
      <c r="G271" s="33" t="n"/>
      <c r="H271" s="32" t="n"/>
      <c r="I271" s="32" t="n"/>
      <c r="J271" s="32" t="n"/>
    </row>
    <row r="272">
      <c r="A272" s="28" t="n"/>
      <c r="B272" s="29" t="n"/>
      <c r="C272" s="29" t="n"/>
      <c r="D272" s="29" t="n"/>
      <c r="E272" s="29" t="n"/>
      <c r="F272" s="29" t="n"/>
      <c r="G272" s="30" t="n"/>
      <c r="H272" s="29" t="n"/>
      <c r="I272" s="29" t="n"/>
      <c r="J272" s="29" t="n"/>
    </row>
    <row r="273">
      <c r="A273" s="31" t="n"/>
      <c r="B273" s="32" t="n"/>
      <c r="C273" s="32" t="n"/>
      <c r="D273" s="32" t="n"/>
      <c r="E273" s="32" t="n"/>
      <c r="F273" s="32" t="n"/>
      <c r="G273" s="33" t="n"/>
      <c r="H273" s="32" t="n"/>
      <c r="I273" s="32" t="n"/>
      <c r="J273" s="32" t="n"/>
    </row>
    <row r="274">
      <c r="A274" s="28" t="n"/>
      <c r="B274" s="29" t="n"/>
      <c r="C274" s="29" t="n"/>
      <c r="D274" s="29" t="n"/>
      <c r="E274" s="29" t="n"/>
      <c r="F274" s="29" t="n"/>
      <c r="G274" s="30" t="n"/>
      <c r="H274" s="29" t="n"/>
      <c r="I274" s="29" t="n"/>
      <c r="J274" s="29" t="n"/>
    </row>
    <row r="275">
      <c r="A275" s="31" t="n"/>
      <c r="B275" s="32" t="n"/>
      <c r="C275" s="32" t="n"/>
      <c r="D275" s="32" t="n"/>
      <c r="E275" s="32" t="n"/>
      <c r="F275" s="32" t="n"/>
      <c r="G275" s="33" t="n"/>
      <c r="H275" s="32" t="n"/>
      <c r="I275" s="32" t="n"/>
      <c r="J275" s="32" t="n"/>
    </row>
    <row r="276">
      <c r="A276" s="28" t="n"/>
      <c r="B276" s="29" t="n"/>
      <c r="C276" s="29" t="n"/>
      <c r="D276" s="29" t="n"/>
      <c r="E276" s="29" t="n"/>
      <c r="F276" s="29" t="n"/>
      <c r="G276" s="30" t="n"/>
      <c r="H276" s="29" t="n"/>
      <c r="I276" s="29" t="n"/>
      <c r="J276" s="29" t="n"/>
    </row>
    <row r="277">
      <c r="A277" s="31" t="n"/>
      <c r="B277" s="32" t="n"/>
      <c r="C277" s="32" t="n"/>
      <c r="D277" s="32" t="n"/>
      <c r="E277" s="32" t="n"/>
      <c r="F277" s="32" t="n"/>
      <c r="G277" s="33" t="n"/>
      <c r="H277" s="32" t="n"/>
      <c r="I277" s="32" t="n"/>
      <c r="J277" s="32" t="n"/>
    </row>
    <row r="278">
      <c r="A278" s="28" t="n"/>
      <c r="B278" s="29" t="n"/>
      <c r="C278" s="29" t="n"/>
      <c r="D278" s="29" t="n"/>
      <c r="E278" s="29" t="n"/>
      <c r="F278" s="29" t="n"/>
      <c r="G278" s="30" t="n"/>
      <c r="H278" s="29" t="n"/>
      <c r="I278" s="29" t="n"/>
      <c r="J278" s="29" t="n"/>
    </row>
    <row r="279">
      <c r="A279" s="31" t="n"/>
      <c r="B279" s="32" t="n"/>
      <c r="C279" s="32" t="n"/>
      <c r="D279" s="32" t="n"/>
      <c r="E279" s="32" t="n"/>
      <c r="F279" s="32" t="n"/>
      <c r="G279" s="33" t="n"/>
      <c r="H279" s="32" t="n"/>
      <c r="I279" s="32" t="n"/>
      <c r="J279" s="32" t="n"/>
    </row>
    <row r="280">
      <c r="A280" s="28" t="n"/>
      <c r="B280" s="29" t="n"/>
      <c r="C280" s="29" t="n"/>
      <c r="D280" s="29" t="n"/>
      <c r="E280" s="29" t="n"/>
      <c r="F280" s="29" t="n"/>
      <c r="G280" s="30" t="n"/>
      <c r="H280" s="29" t="n"/>
      <c r="I280" s="29" t="n"/>
      <c r="J280" s="29" t="n"/>
    </row>
    <row r="281">
      <c r="A281" s="31" t="n"/>
      <c r="B281" s="32" t="n"/>
      <c r="C281" s="32" t="n"/>
      <c r="D281" s="32" t="n"/>
      <c r="E281" s="32" t="n"/>
      <c r="F281" s="32" t="n"/>
      <c r="G281" s="33" t="n"/>
      <c r="H281" s="32" t="n"/>
      <c r="I281" s="32" t="n"/>
      <c r="J281" s="32" t="n"/>
    </row>
    <row r="282">
      <c r="A282" s="28" t="n"/>
      <c r="B282" s="29" t="n"/>
      <c r="C282" s="29" t="n"/>
      <c r="D282" s="29" t="n"/>
      <c r="E282" s="29" t="n"/>
      <c r="F282" s="29" t="n"/>
      <c r="G282" s="30" t="n"/>
      <c r="H282" s="29" t="n"/>
      <c r="I282" s="29" t="n"/>
      <c r="J282" s="29" t="n"/>
    </row>
    <row r="283">
      <c r="A283" s="31" t="n"/>
      <c r="B283" s="32" t="n"/>
      <c r="C283" s="32" t="n"/>
      <c r="D283" s="32" t="n"/>
      <c r="E283" s="32" t="n"/>
      <c r="F283" s="32" t="n"/>
      <c r="G283" s="33" t="n"/>
      <c r="H283" s="32" t="n"/>
      <c r="I283" s="32" t="n"/>
      <c r="J283" s="32" t="n"/>
    </row>
    <row r="284">
      <c r="A284" s="28" t="n"/>
      <c r="B284" s="29" t="n"/>
      <c r="C284" s="29" t="n"/>
      <c r="D284" s="29" t="n"/>
      <c r="E284" s="29" t="n"/>
      <c r="F284" s="29" t="n"/>
      <c r="G284" s="30" t="n"/>
      <c r="H284" s="29" t="n"/>
      <c r="I284" s="29" t="n"/>
      <c r="J284" s="29" t="n"/>
    </row>
    <row r="285">
      <c r="A285" s="31" t="n"/>
      <c r="B285" s="32" t="n"/>
      <c r="C285" s="32" t="n"/>
      <c r="D285" s="32" t="n"/>
      <c r="E285" s="32" t="n"/>
      <c r="F285" s="32" t="n"/>
      <c r="G285" s="33" t="n"/>
      <c r="H285" s="32" t="n"/>
      <c r="I285" s="32" t="n"/>
      <c r="J285" s="32" t="n"/>
    </row>
    <row r="286">
      <c r="A286" s="28" t="n"/>
      <c r="B286" s="29" t="n"/>
      <c r="C286" s="29" t="n"/>
      <c r="D286" s="29" t="n"/>
      <c r="E286" s="29" t="n"/>
      <c r="F286" s="29" t="n"/>
      <c r="G286" s="30" t="n"/>
      <c r="H286" s="29" t="n"/>
      <c r="I286" s="29" t="n"/>
      <c r="J286" s="29" t="n"/>
    </row>
    <row r="287">
      <c r="A287" s="31" t="n"/>
      <c r="B287" s="32" t="n"/>
      <c r="C287" s="32" t="n"/>
      <c r="D287" s="32" t="n"/>
      <c r="E287" s="32" t="n"/>
      <c r="F287" s="32" t="n"/>
      <c r="G287" s="33" t="n"/>
      <c r="H287" s="32" t="n"/>
      <c r="I287" s="32" t="n"/>
      <c r="J287" s="32" t="n"/>
    </row>
    <row r="288">
      <c r="A288" s="28" t="n"/>
      <c r="B288" s="29" t="n"/>
      <c r="C288" s="29" t="n"/>
      <c r="D288" s="29" t="n"/>
      <c r="E288" s="29" t="n"/>
      <c r="F288" s="29" t="n"/>
      <c r="G288" s="30" t="n"/>
      <c r="H288" s="29" t="n"/>
      <c r="I288" s="29" t="n"/>
      <c r="J288" s="29" t="n"/>
    </row>
    <row r="289">
      <c r="A289" s="31" t="n"/>
      <c r="B289" s="32" t="n"/>
      <c r="C289" s="32" t="n"/>
      <c r="D289" s="32" t="n"/>
      <c r="E289" s="32" t="n"/>
      <c r="F289" s="32" t="n"/>
      <c r="G289" s="33" t="n"/>
      <c r="H289" s="32" t="n"/>
      <c r="I289" s="32" t="n"/>
      <c r="J289" s="32" t="n"/>
    </row>
    <row r="290">
      <c r="A290" s="28" t="n"/>
      <c r="B290" s="29" t="n"/>
      <c r="C290" s="29" t="n"/>
      <c r="D290" s="29" t="n"/>
      <c r="E290" s="29" t="n"/>
      <c r="F290" s="29" t="n"/>
      <c r="G290" s="30" t="n"/>
      <c r="H290" s="29" t="n"/>
      <c r="I290" s="29" t="n"/>
      <c r="J290" s="29" t="n"/>
    </row>
    <row r="291">
      <c r="A291" s="31" t="n"/>
      <c r="B291" s="32" t="n"/>
      <c r="C291" s="32" t="n"/>
      <c r="D291" s="32" t="n"/>
      <c r="E291" s="32" t="n"/>
      <c r="F291" s="32" t="n"/>
      <c r="G291" s="33" t="n"/>
      <c r="H291" s="32" t="n"/>
      <c r="I291" s="32" t="n"/>
      <c r="J291" s="32" t="n"/>
    </row>
    <row r="292">
      <c r="A292" s="28" t="n"/>
      <c r="B292" s="29" t="n"/>
      <c r="C292" s="29" t="n"/>
      <c r="D292" s="29" t="n"/>
      <c r="E292" s="29" t="n"/>
      <c r="F292" s="29" t="n"/>
      <c r="G292" s="30" t="n"/>
      <c r="H292" s="29" t="n"/>
      <c r="I292" s="29" t="n"/>
      <c r="J292" s="29" t="n"/>
    </row>
    <row r="293">
      <c r="A293" s="31" t="n"/>
      <c r="B293" s="32" t="n"/>
      <c r="C293" s="32" t="n"/>
      <c r="D293" s="32" t="n"/>
      <c r="E293" s="32" t="n"/>
      <c r="F293" s="32" t="n"/>
      <c r="G293" s="33" t="n"/>
      <c r="H293" s="32" t="n"/>
      <c r="I293" s="32" t="n"/>
      <c r="J293" s="32" t="n"/>
    </row>
    <row r="294">
      <c r="A294" s="28" t="n"/>
      <c r="B294" s="29" t="n"/>
      <c r="C294" s="29" t="n"/>
      <c r="D294" s="29" t="n"/>
      <c r="E294" s="29" t="n"/>
      <c r="F294" s="29" t="n"/>
      <c r="G294" s="30" t="n"/>
      <c r="H294" s="29" t="n"/>
      <c r="I294" s="29" t="n"/>
      <c r="J294" s="29" t="n"/>
    </row>
    <row r="295">
      <c r="A295" s="31" t="n"/>
      <c r="B295" s="32" t="n"/>
      <c r="C295" s="32" t="n"/>
      <c r="D295" s="32" t="n"/>
      <c r="E295" s="32" t="n"/>
      <c r="F295" s="32" t="n"/>
      <c r="G295" s="33" t="n"/>
      <c r="H295" s="32" t="n"/>
      <c r="I295" s="32" t="n"/>
      <c r="J295" s="32" t="n"/>
    </row>
    <row r="296">
      <c r="A296" s="28" t="n"/>
      <c r="B296" s="29" t="n"/>
      <c r="C296" s="29" t="n"/>
      <c r="D296" s="29" t="n"/>
      <c r="E296" s="29" t="n"/>
      <c r="F296" s="29" t="n"/>
      <c r="G296" s="30" t="n"/>
      <c r="H296" s="29" t="n"/>
      <c r="I296" s="29" t="n"/>
      <c r="J296" s="29" t="n"/>
    </row>
    <row r="297">
      <c r="A297" s="31" t="n"/>
      <c r="B297" s="32" t="n"/>
      <c r="C297" s="32" t="n"/>
      <c r="D297" s="32" t="n"/>
      <c r="E297" s="32" t="n"/>
      <c r="F297" s="32" t="n"/>
      <c r="G297" s="33" t="n"/>
      <c r="H297" s="32" t="n"/>
      <c r="I297" s="32" t="n"/>
      <c r="J297" s="32" t="n"/>
    </row>
    <row r="298">
      <c r="A298" s="28" t="n"/>
      <c r="B298" s="29" t="n"/>
      <c r="C298" s="29" t="n"/>
      <c r="D298" s="29" t="n"/>
      <c r="E298" s="29" t="n"/>
      <c r="F298" s="29" t="n"/>
      <c r="G298" s="30" t="n"/>
      <c r="H298" s="29" t="n"/>
      <c r="I298" s="29" t="n"/>
      <c r="J298" s="29" t="n"/>
    </row>
    <row r="299">
      <c r="A299" s="31" t="n"/>
      <c r="B299" s="32" t="n"/>
      <c r="C299" s="32" t="n"/>
      <c r="D299" s="32" t="n"/>
      <c r="E299" s="32" t="n"/>
      <c r="F299" s="32" t="n"/>
      <c r="G299" s="33" t="n"/>
      <c r="H299" s="32" t="n"/>
      <c r="I299" s="32" t="n"/>
      <c r="J299" s="32" t="n"/>
    </row>
    <row r="300">
      <c r="A300" s="28" t="n"/>
      <c r="B300" s="29" t="n"/>
      <c r="C300" s="29" t="n"/>
      <c r="D300" s="29" t="n"/>
      <c r="E300" s="29" t="n"/>
      <c r="F300" s="29" t="n"/>
      <c r="G300" s="30" t="n"/>
      <c r="H300" s="29" t="n"/>
      <c r="I300" s="29" t="n"/>
      <c r="J300" s="29" t="n"/>
    </row>
    <row r="301">
      <c r="A301" s="31" t="n"/>
      <c r="B301" s="32" t="n"/>
      <c r="C301" s="32" t="n"/>
      <c r="D301" s="32" t="n"/>
      <c r="E301" s="32" t="n"/>
      <c r="F301" s="32" t="n"/>
      <c r="G301" s="33" t="n"/>
      <c r="H301" s="32" t="n"/>
      <c r="I301" s="32" t="n"/>
      <c r="J301" s="32" t="n"/>
    </row>
    <row r="302">
      <c r="A302" s="28" t="n"/>
      <c r="B302" s="29" t="n"/>
      <c r="C302" s="29" t="n"/>
      <c r="D302" s="29" t="n"/>
      <c r="E302" s="29" t="n"/>
      <c r="F302" s="29" t="n"/>
      <c r="G302" s="30" t="n"/>
      <c r="H302" s="29" t="n"/>
      <c r="I302" s="29" t="n"/>
      <c r="J302" s="29" t="n"/>
    </row>
    <row r="303">
      <c r="A303" s="31" t="n"/>
      <c r="B303" s="32" t="n"/>
      <c r="C303" s="32" t="n"/>
      <c r="D303" s="32" t="n"/>
      <c r="E303" s="32" t="n"/>
      <c r="F303" s="32" t="n"/>
      <c r="G303" s="33" t="n"/>
      <c r="H303" s="32" t="n"/>
      <c r="I303" s="32" t="n"/>
      <c r="J303" s="32" t="n"/>
    </row>
    <row r="304">
      <c r="A304" s="28" t="n"/>
      <c r="B304" s="29" t="n"/>
      <c r="C304" s="29" t="n"/>
      <c r="D304" s="29" t="n"/>
      <c r="E304" s="29" t="n"/>
      <c r="F304" s="29" t="n"/>
      <c r="G304" s="30" t="n"/>
      <c r="H304" s="29" t="n"/>
      <c r="I304" s="29" t="n"/>
      <c r="J304" s="29" t="n"/>
    </row>
    <row r="305">
      <c r="A305" s="31" t="n"/>
      <c r="B305" s="32" t="n"/>
      <c r="C305" s="32" t="n"/>
      <c r="D305" s="32" t="n"/>
      <c r="E305" s="32" t="n"/>
      <c r="F305" s="32" t="n"/>
      <c r="G305" s="33" t="n"/>
      <c r="H305" s="32" t="n"/>
      <c r="I305" s="32" t="n"/>
      <c r="J305" s="32" t="n"/>
    </row>
    <row r="306">
      <c r="A306" s="28" t="n"/>
      <c r="B306" s="29" t="n"/>
      <c r="C306" s="29" t="n"/>
      <c r="D306" s="29" t="n"/>
      <c r="E306" s="29" t="n"/>
      <c r="F306" s="29" t="n"/>
      <c r="G306" s="30" t="n"/>
      <c r="H306" s="29" t="n"/>
      <c r="I306" s="29" t="n"/>
      <c r="J306" s="29" t="n"/>
    </row>
    <row r="307">
      <c r="A307" s="31" t="n"/>
      <c r="B307" s="32" t="n"/>
      <c r="C307" s="32" t="n"/>
      <c r="D307" s="32" t="n"/>
      <c r="E307" s="32" t="n"/>
      <c r="F307" s="32" t="n"/>
      <c r="G307" s="33" t="n"/>
      <c r="H307" s="32" t="n"/>
      <c r="I307" s="32" t="n"/>
      <c r="J307" s="32" t="n"/>
    </row>
    <row r="308">
      <c r="A308" s="28" t="n"/>
      <c r="B308" s="29" t="n"/>
      <c r="C308" s="29" t="n"/>
      <c r="D308" s="29" t="n"/>
      <c r="E308" s="29" t="n"/>
      <c r="F308" s="29" t="n"/>
      <c r="G308" s="30" t="n"/>
      <c r="H308" s="29" t="n"/>
      <c r="I308" s="29" t="n"/>
      <c r="J308" s="29" t="n"/>
    </row>
    <row r="309">
      <c r="A309" s="31" t="n"/>
      <c r="B309" s="32" t="n"/>
      <c r="C309" s="32" t="n"/>
      <c r="D309" s="32" t="n"/>
      <c r="E309" s="32" t="n"/>
      <c r="F309" s="32" t="n"/>
      <c r="G309" s="33" t="n"/>
      <c r="H309" s="32" t="n"/>
      <c r="I309" s="32" t="n"/>
      <c r="J309" s="32" t="n"/>
    </row>
    <row r="310">
      <c r="A310" s="28" t="n"/>
      <c r="B310" s="29" t="n"/>
      <c r="C310" s="29" t="n"/>
      <c r="D310" s="29" t="n"/>
      <c r="E310" s="29" t="n"/>
      <c r="F310" s="29" t="n"/>
      <c r="G310" s="30" t="n"/>
      <c r="H310" s="29" t="n"/>
      <c r="I310" s="29" t="n"/>
      <c r="J310" s="29" t="n"/>
    </row>
    <row r="311">
      <c r="A311" s="31" t="n"/>
      <c r="B311" s="32" t="n"/>
      <c r="C311" s="32" t="n"/>
      <c r="D311" s="32" t="n"/>
      <c r="E311" s="32" t="n"/>
      <c r="F311" s="32" t="n"/>
      <c r="G311" s="33" t="n"/>
      <c r="H311" s="32" t="n"/>
      <c r="I311" s="32" t="n"/>
      <c r="J311" s="32" t="n"/>
    </row>
    <row r="312">
      <c r="A312" s="28" t="n"/>
      <c r="B312" s="29" t="n"/>
      <c r="C312" s="29" t="n"/>
      <c r="D312" s="29" t="n"/>
      <c r="E312" s="29" t="n"/>
      <c r="F312" s="29" t="n"/>
      <c r="G312" s="30" t="n"/>
      <c r="H312" s="29" t="n"/>
      <c r="I312" s="29" t="n"/>
      <c r="J312" s="29" t="n"/>
    </row>
    <row r="313">
      <c r="A313" s="31" t="n"/>
      <c r="B313" s="32" t="n"/>
      <c r="C313" s="32" t="n"/>
      <c r="D313" s="32" t="n"/>
      <c r="E313" s="32" t="n"/>
      <c r="F313" s="32" t="n"/>
      <c r="G313" s="33" t="n"/>
      <c r="H313" s="32" t="n"/>
      <c r="I313" s="32" t="n"/>
      <c r="J313" s="32" t="n"/>
    </row>
    <row r="314">
      <c r="A314" s="28" t="n"/>
      <c r="B314" s="29" t="n"/>
      <c r="C314" s="29" t="n"/>
      <c r="D314" s="29" t="n"/>
      <c r="E314" s="29" t="n"/>
      <c r="F314" s="29" t="n"/>
      <c r="G314" s="30" t="n"/>
      <c r="H314" s="29" t="n"/>
      <c r="I314" s="29" t="n"/>
      <c r="J314" s="29" t="n"/>
    </row>
    <row r="315">
      <c r="A315" s="31" t="n"/>
      <c r="B315" s="32" t="n"/>
      <c r="C315" s="32" t="n"/>
      <c r="D315" s="32" t="n"/>
      <c r="E315" s="32" t="n"/>
      <c r="F315" s="32" t="n"/>
      <c r="G315" s="33" t="n"/>
      <c r="H315" s="32" t="n"/>
      <c r="I315" s="32" t="n"/>
      <c r="J315" s="32" t="n"/>
    </row>
    <row r="316">
      <c r="A316" s="28" t="n"/>
      <c r="B316" s="29" t="n"/>
      <c r="C316" s="29" t="n"/>
      <c r="D316" s="29" t="n"/>
      <c r="E316" s="29" t="n"/>
      <c r="F316" s="29" t="n"/>
      <c r="G316" s="30" t="n"/>
      <c r="H316" s="29" t="n"/>
      <c r="I316" s="29" t="n"/>
      <c r="J316" s="29" t="n"/>
    </row>
    <row r="317">
      <c r="A317" s="31" t="n"/>
      <c r="B317" s="32" t="n"/>
      <c r="C317" s="32" t="n"/>
      <c r="D317" s="32" t="n"/>
      <c r="E317" s="32" t="n"/>
      <c r="F317" s="32" t="n"/>
      <c r="G317" s="33" t="n"/>
      <c r="H317" s="32" t="n"/>
      <c r="I317" s="32" t="n"/>
      <c r="J317" s="32" t="n"/>
    </row>
    <row r="318">
      <c r="A318" s="28" t="n"/>
      <c r="B318" s="29" t="n"/>
      <c r="C318" s="29" t="n"/>
      <c r="D318" s="29" t="n"/>
      <c r="E318" s="29" t="n"/>
      <c r="F318" s="29" t="n"/>
      <c r="G318" s="30" t="n"/>
      <c r="H318" s="29" t="n"/>
      <c r="I318" s="29" t="n"/>
      <c r="J318" s="29" t="n"/>
    </row>
    <row r="319">
      <c r="A319" s="31" t="n"/>
      <c r="B319" s="32" t="n"/>
      <c r="C319" s="32" t="n"/>
      <c r="D319" s="32" t="n"/>
      <c r="E319" s="32" t="n"/>
      <c r="F319" s="32" t="n"/>
      <c r="G319" s="33" t="n"/>
      <c r="H319" s="32" t="n"/>
      <c r="I319" s="32" t="n"/>
      <c r="J319" s="32" t="n"/>
    </row>
    <row r="320">
      <c r="A320" s="28" t="n"/>
      <c r="B320" s="29" t="n"/>
      <c r="C320" s="29" t="n"/>
      <c r="D320" s="29" t="n"/>
      <c r="E320" s="29" t="n"/>
      <c r="F320" s="29" t="n"/>
      <c r="G320" s="30" t="n"/>
      <c r="H320" s="29" t="n"/>
      <c r="I320" s="29" t="n"/>
      <c r="J320" s="29" t="n"/>
    </row>
    <row r="321">
      <c r="A321" s="31" t="n"/>
      <c r="B321" s="32" t="n"/>
      <c r="C321" s="32" t="n"/>
      <c r="D321" s="32" t="n"/>
      <c r="E321" s="32" t="n"/>
      <c r="F321" s="32" t="n"/>
      <c r="G321" s="33" t="n"/>
      <c r="H321" s="32" t="n"/>
      <c r="I321" s="32" t="n"/>
      <c r="J321" s="32" t="n"/>
    </row>
    <row r="322">
      <c r="A322" s="28" t="n"/>
      <c r="B322" s="29" t="n"/>
      <c r="C322" s="29" t="n"/>
      <c r="D322" s="29" t="n"/>
      <c r="E322" s="29" t="n"/>
      <c r="F322" s="29" t="n"/>
      <c r="G322" s="30" t="n"/>
      <c r="H322" s="29" t="n"/>
      <c r="I322" s="29" t="n"/>
      <c r="J322" s="29" t="n"/>
    </row>
    <row r="323">
      <c r="A323" s="31" t="n"/>
      <c r="B323" s="32" t="n"/>
      <c r="C323" s="32" t="n"/>
      <c r="D323" s="32" t="n"/>
      <c r="E323" s="32" t="n"/>
      <c r="F323" s="32" t="n"/>
      <c r="G323" s="33" t="n"/>
      <c r="H323" s="32" t="n"/>
      <c r="I323" s="32" t="n"/>
      <c r="J323" s="32" t="n"/>
    </row>
    <row r="324">
      <c r="A324" s="28" t="n"/>
      <c r="B324" s="29" t="n"/>
      <c r="C324" s="29" t="n"/>
      <c r="D324" s="29" t="n"/>
      <c r="E324" s="29" t="n"/>
      <c r="F324" s="29" t="n"/>
      <c r="G324" s="30" t="n"/>
      <c r="H324" s="29" t="n"/>
      <c r="I324" s="29" t="n"/>
      <c r="J324" s="29" t="n"/>
    </row>
    <row r="325">
      <c r="A325" s="31" t="n"/>
      <c r="B325" s="32" t="n"/>
      <c r="C325" s="32" t="n"/>
      <c r="D325" s="32" t="n"/>
      <c r="E325" s="32" t="n"/>
      <c r="F325" s="32" t="n"/>
      <c r="G325" s="33" t="n"/>
      <c r="H325" s="32" t="n"/>
      <c r="I325" s="32" t="n"/>
      <c r="J325" s="32" t="n"/>
    </row>
    <row r="326">
      <c r="A326" s="28" t="n"/>
      <c r="B326" s="29" t="n"/>
      <c r="C326" s="29" t="n"/>
      <c r="D326" s="29" t="n"/>
      <c r="E326" s="29" t="n"/>
      <c r="F326" s="29" t="n"/>
      <c r="G326" s="30" t="n"/>
      <c r="H326" s="29" t="n"/>
      <c r="I326" s="29" t="n"/>
      <c r="J326" s="29" t="n"/>
    </row>
    <row r="327">
      <c r="A327" s="31" t="n"/>
      <c r="B327" s="32" t="n"/>
      <c r="C327" s="32" t="n"/>
      <c r="D327" s="32" t="n"/>
      <c r="E327" s="32" t="n"/>
      <c r="F327" s="32" t="n"/>
      <c r="G327" s="33" t="n"/>
      <c r="H327" s="32" t="n"/>
      <c r="I327" s="32" t="n"/>
      <c r="J327" s="32" t="n"/>
    </row>
    <row r="328">
      <c r="A328" s="28" t="n"/>
      <c r="B328" s="29" t="n"/>
      <c r="C328" s="29" t="n"/>
      <c r="D328" s="29" t="n"/>
      <c r="E328" s="29" t="n"/>
      <c r="F328" s="29" t="n"/>
      <c r="G328" s="30" t="n"/>
      <c r="H328" s="29" t="n"/>
      <c r="I328" s="29" t="n"/>
      <c r="J328" s="29" t="n"/>
    </row>
    <row r="329">
      <c r="A329" s="31" t="n"/>
      <c r="B329" s="32" t="n"/>
      <c r="C329" s="32" t="n"/>
      <c r="D329" s="32" t="n"/>
      <c r="E329" s="32" t="n"/>
      <c r="F329" s="32" t="n"/>
      <c r="G329" s="33" t="n"/>
      <c r="H329" s="32" t="n"/>
      <c r="I329" s="32" t="n"/>
      <c r="J329" s="32" t="n"/>
    </row>
    <row r="330">
      <c r="A330" s="28" t="n"/>
      <c r="B330" s="29" t="n"/>
      <c r="C330" s="29" t="n"/>
      <c r="D330" s="29" t="n"/>
      <c r="E330" s="29" t="n"/>
      <c r="F330" s="29" t="n"/>
      <c r="G330" s="30" t="n"/>
      <c r="H330" s="29" t="n"/>
      <c r="I330" s="29" t="n"/>
      <c r="J330" s="29" t="n"/>
    </row>
    <row r="331">
      <c r="A331" s="31" t="n"/>
      <c r="B331" s="32" t="n"/>
      <c r="C331" s="32" t="n"/>
      <c r="D331" s="32" t="n"/>
      <c r="E331" s="32" t="n"/>
      <c r="F331" s="32" t="n"/>
      <c r="G331" s="33" t="n"/>
      <c r="H331" s="32" t="n"/>
      <c r="I331" s="32" t="n"/>
      <c r="J331" s="32" t="n"/>
    </row>
    <row r="332">
      <c r="A332" s="28" t="n"/>
      <c r="B332" s="29" t="n"/>
      <c r="C332" s="29" t="n"/>
      <c r="D332" s="29" t="n"/>
      <c r="E332" s="29" t="n"/>
      <c r="F332" s="29" t="n"/>
      <c r="G332" s="30" t="n"/>
      <c r="H332" s="29" t="n"/>
      <c r="I332" s="29" t="n"/>
      <c r="J332" s="29" t="n"/>
    </row>
    <row r="333">
      <c r="A333" s="31" t="n"/>
      <c r="B333" s="32" t="n"/>
      <c r="C333" s="32" t="n"/>
      <c r="D333" s="32" t="n"/>
      <c r="E333" s="32" t="n"/>
      <c r="F333" s="32" t="n"/>
      <c r="G333" s="33" t="n"/>
      <c r="H333" s="32" t="n"/>
      <c r="I333" s="32" t="n"/>
      <c r="J333" s="32" t="n"/>
    </row>
    <row r="334">
      <c r="A334" s="28" t="n"/>
      <c r="B334" s="29" t="n"/>
      <c r="C334" s="29" t="n"/>
      <c r="D334" s="29" t="n"/>
      <c r="E334" s="29" t="n"/>
      <c r="F334" s="29" t="n"/>
      <c r="G334" s="30" t="n"/>
      <c r="H334" s="29" t="n"/>
      <c r="I334" s="29" t="n"/>
      <c r="J334" s="29" t="n"/>
    </row>
    <row r="335">
      <c r="A335" s="31" t="n"/>
      <c r="B335" s="32" t="n"/>
      <c r="C335" s="32" t="n"/>
      <c r="D335" s="32" t="n"/>
      <c r="E335" s="32" t="n"/>
      <c r="F335" s="32" t="n"/>
      <c r="G335" s="33" t="n"/>
      <c r="H335" s="32" t="n"/>
      <c r="I335" s="32" t="n"/>
      <c r="J335" s="32" t="n"/>
    </row>
    <row r="336">
      <c r="A336" s="28" t="n"/>
      <c r="B336" s="29" t="n"/>
      <c r="C336" s="29" t="n"/>
      <c r="D336" s="29" t="n"/>
      <c r="E336" s="29" t="n"/>
      <c r="F336" s="29" t="n"/>
      <c r="G336" s="30" t="n"/>
      <c r="H336" s="29" t="n"/>
      <c r="I336" s="29" t="n"/>
      <c r="J336" s="29" t="n"/>
    </row>
    <row r="337">
      <c r="A337" s="31" t="n"/>
      <c r="B337" s="32" t="n"/>
      <c r="C337" s="32" t="n"/>
      <c r="D337" s="32" t="n"/>
      <c r="E337" s="32" t="n"/>
      <c r="F337" s="32" t="n"/>
      <c r="G337" s="33" t="n"/>
      <c r="H337" s="32" t="n"/>
      <c r="I337" s="32" t="n"/>
      <c r="J337" s="32" t="n"/>
    </row>
    <row r="338">
      <c r="A338" s="28" t="n"/>
      <c r="B338" s="29" t="n"/>
      <c r="C338" s="29" t="n"/>
      <c r="D338" s="29" t="n"/>
      <c r="E338" s="29" t="n"/>
      <c r="F338" s="29" t="n"/>
      <c r="G338" s="30" t="n"/>
      <c r="H338" s="29" t="n"/>
      <c r="I338" s="29" t="n"/>
      <c r="J338" s="29" t="n"/>
    </row>
    <row r="339">
      <c r="A339" s="31" t="n"/>
      <c r="B339" s="32" t="n"/>
      <c r="C339" s="32" t="n"/>
      <c r="D339" s="32" t="n"/>
      <c r="E339" s="32" t="n"/>
      <c r="F339" s="32" t="n"/>
      <c r="G339" s="33" t="n"/>
      <c r="H339" s="32" t="n"/>
      <c r="I339" s="32" t="n"/>
      <c r="J339" s="32" t="n"/>
    </row>
    <row r="340">
      <c r="A340" s="28" t="n"/>
      <c r="B340" s="29" t="n"/>
      <c r="C340" s="29" t="n"/>
      <c r="D340" s="29" t="n"/>
      <c r="E340" s="29" t="n"/>
      <c r="F340" s="29" t="n"/>
      <c r="G340" s="30" t="n"/>
      <c r="H340" s="29" t="n"/>
      <c r="I340" s="29" t="n"/>
      <c r="J340" s="29" t="n"/>
    </row>
    <row r="341">
      <c r="A341" s="31" t="n"/>
      <c r="B341" s="32" t="n"/>
      <c r="C341" s="32" t="n"/>
      <c r="D341" s="32" t="n"/>
      <c r="E341" s="32" t="n"/>
      <c r="F341" s="32" t="n"/>
      <c r="G341" s="33" t="n"/>
      <c r="H341" s="32" t="n"/>
      <c r="I341" s="32" t="n"/>
      <c r="J341" s="32" t="n"/>
    </row>
    <row r="342">
      <c r="A342" s="28" t="n"/>
      <c r="B342" s="29" t="n"/>
      <c r="C342" s="29" t="n"/>
      <c r="D342" s="29" t="n"/>
      <c r="E342" s="29" t="n"/>
      <c r="F342" s="29" t="n"/>
      <c r="G342" s="30" t="n"/>
      <c r="H342" s="29" t="n"/>
      <c r="I342" s="29" t="n"/>
      <c r="J342" s="29" t="n"/>
    </row>
    <row r="343">
      <c r="A343" s="31" t="n"/>
      <c r="B343" s="32" t="n"/>
      <c r="C343" s="32" t="n"/>
      <c r="D343" s="32" t="n"/>
      <c r="E343" s="32" t="n"/>
      <c r="F343" s="32" t="n"/>
      <c r="G343" s="33" t="n"/>
      <c r="H343" s="32" t="n"/>
      <c r="I343" s="32" t="n"/>
      <c r="J343" s="32" t="n"/>
    </row>
    <row r="344">
      <c r="A344" s="28" t="n"/>
      <c r="B344" s="29" t="n"/>
      <c r="C344" s="29" t="n"/>
      <c r="D344" s="29" t="n"/>
      <c r="E344" s="29" t="n"/>
      <c r="F344" s="29" t="n"/>
      <c r="G344" s="30" t="n"/>
      <c r="H344" s="29" t="n"/>
      <c r="I344" s="29" t="n"/>
      <c r="J344" s="29" t="n"/>
    </row>
    <row r="345">
      <c r="A345" s="31" t="n"/>
      <c r="B345" s="32" t="n"/>
      <c r="C345" s="32" t="n"/>
      <c r="D345" s="32" t="n"/>
      <c r="E345" s="32" t="n"/>
      <c r="F345" s="32" t="n"/>
      <c r="G345" s="33" t="n"/>
      <c r="H345" s="32" t="n"/>
      <c r="I345" s="32" t="n"/>
      <c r="J345" s="32" t="n"/>
    </row>
    <row r="346">
      <c r="A346" s="28" t="n"/>
      <c r="B346" s="29" t="n"/>
      <c r="C346" s="29" t="n"/>
      <c r="D346" s="29" t="n"/>
      <c r="E346" s="29" t="n"/>
      <c r="F346" s="29" t="n"/>
      <c r="G346" s="30" t="n"/>
      <c r="H346" s="29" t="n"/>
      <c r="I346" s="29" t="n"/>
      <c r="J346" s="29" t="n"/>
    </row>
    <row r="347">
      <c r="A347" s="31" t="n"/>
      <c r="B347" s="32" t="n"/>
      <c r="C347" s="32" t="n"/>
      <c r="D347" s="32" t="n"/>
      <c r="E347" s="32" t="n"/>
      <c r="F347" s="32" t="n"/>
      <c r="G347" s="33" t="n"/>
      <c r="H347" s="32" t="n"/>
      <c r="I347" s="32" t="n"/>
      <c r="J347" s="32" t="n"/>
    </row>
    <row r="348">
      <c r="A348" s="28" t="n"/>
      <c r="B348" s="29" t="n"/>
      <c r="C348" s="29" t="n"/>
      <c r="D348" s="29" t="n"/>
      <c r="E348" s="29" t="n"/>
      <c r="F348" s="29" t="n"/>
      <c r="G348" s="30" t="n"/>
      <c r="H348" s="29" t="n"/>
      <c r="I348" s="29" t="n"/>
      <c r="J348" s="29" t="n"/>
    </row>
    <row r="349">
      <c r="A349" s="31" t="n"/>
      <c r="B349" s="32" t="n"/>
      <c r="C349" s="32" t="n"/>
      <c r="D349" s="32" t="n"/>
      <c r="E349" s="32" t="n"/>
      <c r="F349" s="32" t="n"/>
      <c r="G349" s="33" t="n"/>
      <c r="H349" s="32" t="n"/>
      <c r="I349" s="32" t="n"/>
      <c r="J349" s="32" t="n"/>
    </row>
    <row r="350">
      <c r="A350" s="28" t="n"/>
      <c r="B350" s="29" t="n"/>
      <c r="C350" s="29" t="n"/>
      <c r="D350" s="29" t="n"/>
      <c r="E350" s="29" t="n"/>
      <c r="F350" s="29" t="n"/>
      <c r="G350" s="30" t="n"/>
      <c r="H350" s="29" t="n"/>
      <c r="I350" s="29" t="n"/>
      <c r="J350" s="29" t="n"/>
    </row>
    <row r="351">
      <c r="A351" s="31" t="n"/>
      <c r="B351" s="32" t="n"/>
      <c r="C351" s="32" t="n"/>
      <c r="D351" s="32" t="n"/>
      <c r="E351" s="32" t="n"/>
      <c r="F351" s="32" t="n"/>
      <c r="G351" s="33" t="n"/>
      <c r="H351" s="32" t="n"/>
      <c r="I351" s="32" t="n"/>
      <c r="J351" s="32" t="n"/>
    </row>
    <row r="352">
      <c r="A352" s="28" t="n"/>
      <c r="B352" s="29" t="n"/>
      <c r="C352" s="29" t="n"/>
      <c r="D352" s="29" t="n"/>
      <c r="E352" s="29" t="n"/>
      <c r="F352" s="29" t="n"/>
      <c r="G352" s="30" t="n"/>
      <c r="H352" s="29" t="n"/>
      <c r="I352" s="29" t="n"/>
      <c r="J352" s="29" t="n"/>
    </row>
    <row r="353">
      <c r="A353" s="31" t="n"/>
      <c r="B353" s="32" t="n"/>
      <c r="C353" s="32" t="n"/>
      <c r="D353" s="32" t="n"/>
      <c r="E353" s="32" t="n"/>
      <c r="F353" s="32" t="n"/>
      <c r="G353" s="33" t="n"/>
      <c r="H353" s="32" t="n"/>
      <c r="I353" s="32" t="n"/>
      <c r="J353" s="32" t="n"/>
    </row>
    <row r="354">
      <c r="A354" s="28" t="n"/>
      <c r="B354" s="29" t="n"/>
      <c r="C354" s="29" t="n"/>
      <c r="D354" s="29" t="n"/>
      <c r="E354" s="29" t="n"/>
      <c r="F354" s="29" t="n"/>
      <c r="G354" s="30" t="n"/>
      <c r="H354" s="29" t="n"/>
      <c r="I354" s="29" t="n"/>
      <c r="J354" s="29" t="n"/>
    </row>
    <row r="355">
      <c r="A355" s="31" t="n"/>
      <c r="B355" s="32" t="n"/>
      <c r="C355" s="32" t="n"/>
      <c r="D355" s="32" t="n"/>
      <c r="E355" s="32" t="n"/>
      <c r="F355" s="32" t="n"/>
      <c r="G355" s="33" t="n"/>
      <c r="H355" s="32" t="n"/>
      <c r="I355" s="32" t="n"/>
      <c r="J355" s="32" t="n"/>
    </row>
    <row r="356">
      <c r="A356" s="28" t="n"/>
      <c r="B356" s="29" t="n"/>
      <c r="C356" s="29" t="n"/>
      <c r="D356" s="29" t="n"/>
      <c r="E356" s="29" t="n"/>
      <c r="F356" s="29" t="n"/>
      <c r="G356" s="30" t="n"/>
      <c r="H356" s="29" t="n"/>
      <c r="I356" s="29" t="n"/>
      <c r="J356" s="29" t="n"/>
    </row>
    <row r="357">
      <c r="A357" s="31" t="n"/>
      <c r="B357" s="32" t="n"/>
      <c r="C357" s="32" t="n"/>
      <c r="D357" s="32" t="n"/>
      <c r="E357" s="32" t="n"/>
      <c r="F357" s="32" t="n"/>
      <c r="G357" s="33" t="n"/>
      <c r="H357" s="32" t="n"/>
      <c r="I357" s="32" t="n"/>
      <c r="J357" s="32" t="n"/>
    </row>
    <row r="358">
      <c r="A358" s="28" t="n"/>
      <c r="B358" s="29" t="n"/>
      <c r="C358" s="29" t="n"/>
      <c r="D358" s="29" t="n"/>
      <c r="E358" s="29" t="n"/>
      <c r="F358" s="29" t="n"/>
      <c r="G358" s="30" t="n"/>
      <c r="H358" s="29" t="n"/>
      <c r="I358" s="29" t="n"/>
      <c r="J358" s="29" t="n"/>
    </row>
    <row r="359">
      <c r="A359" s="31" t="n"/>
      <c r="B359" s="32" t="n"/>
      <c r="C359" s="32" t="n"/>
      <c r="D359" s="32" t="n"/>
      <c r="E359" s="32" t="n"/>
      <c r="F359" s="32" t="n"/>
      <c r="G359" s="33" t="n"/>
      <c r="H359" s="32" t="n"/>
      <c r="I359" s="32" t="n"/>
      <c r="J359" s="32" t="n"/>
    </row>
    <row r="360">
      <c r="A360" s="28" t="n"/>
      <c r="B360" s="29" t="n"/>
      <c r="C360" s="29" t="n"/>
      <c r="D360" s="29" t="n"/>
      <c r="E360" s="29" t="n"/>
      <c r="F360" s="29" t="n"/>
      <c r="G360" s="30" t="n"/>
      <c r="H360" s="29" t="n"/>
      <c r="I360" s="29" t="n"/>
      <c r="J360" s="29" t="n"/>
    </row>
    <row r="361">
      <c r="A361" s="31" t="n"/>
      <c r="B361" s="32" t="n"/>
      <c r="C361" s="32" t="n"/>
      <c r="D361" s="32" t="n"/>
      <c r="E361" s="32" t="n"/>
      <c r="F361" s="32" t="n"/>
      <c r="G361" s="33" t="n"/>
      <c r="H361" s="32" t="n"/>
      <c r="I361" s="32" t="n"/>
      <c r="J361" s="32" t="n"/>
    </row>
    <row r="362">
      <c r="A362" s="28" t="n"/>
      <c r="B362" s="29" t="n"/>
      <c r="C362" s="29" t="n"/>
      <c r="D362" s="29" t="n"/>
      <c r="E362" s="29" t="n"/>
      <c r="F362" s="29" t="n"/>
      <c r="G362" s="30" t="n"/>
      <c r="H362" s="29" t="n"/>
      <c r="I362" s="29" t="n"/>
      <c r="J362" s="29" t="n"/>
    </row>
    <row r="363">
      <c r="A363" s="31" t="n"/>
      <c r="B363" s="32" t="n"/>
      <c r="C363" s="32" t="n"/>
      <c r="D363" s="32" t="n"/>
      <c r="E363" s="32" t="n"/>
      <c r="F363" s="32" t="n"/>
      <c r="G363" s="33" t="n"/>
      <c r="H363" s="32" t="n"/>
      <c r="I363" s="32" t="n"/>
      <c r="J363" s="32" t="n"/>
    </row>
    <row r="364">
      <c r="A364" s="28" t="n"/>
      <c r="B364" s="29" t="n"/>
      <c r="C364" s="29" t="n"/>
      <c r="D364" s="29" t="n"/>
      <c r="E364" s="29" t="n"/>
      <c r="F364" s="29" t="n"/>
      <c r="G364" s="30" t="n"/>
      <c r="H364" s="29" t="n"/>
      <c r="I364" s="29" t="n"/>
      <c r="J364" s="29" t="n"/>
    </row>
    <row r="365">
      <c r="A365" s="31" t="n"/>
      <c r="B365" s="32" t="n"/>
      <c r="C365" s="32" t="n"/>
      <c r="D365" s="32" t="n"/>
      <c r="E365" s="32" t="n"/>
      <c r="F365" s="32" t="n"/>
      <c r="G365" s="33" t="n"/>
      <c r="H365" s="32" t="n"/>
      <c r="I365" s="32" t="n"/>
      <c r="J365" s="32" t="n"/>
    </row>
    <row r="366">
      <c r="A366" s="28" t="n"/>
      <c r="B366" s="29" t="n"/>
      <c r="C366" s="29" t="n"/>
      <c r="D366" s="29" t="n"/>
      <c r="E366" s="29" t="n"/>
      <c r="F366" s="29" t="n"/>
      <c r="G366" s="30" t="n"/>
      <c r="H366" s="29" t="n"/>
      <c r="I366" s="29" t="n"/>
      <c r="J366" s="29" t="n"/>
    </row>
    <row r="367">
      <c r="A367" s="31" t="n"/>
      <c r="B367" s="32" t="n"/>
      <c r="C367" s="32" t="n"/>
      <c r="D367" s="32" t="n"/>
      <c r="E367" s="32" t="n"/>
      <c r="F367" s="32" t="n"/>
      <c r="G367" s="33" t="n"/>
      <c r="H367" s="32" t="n"/>
      <c r="I367" s="32" t="n"/>
      <c r="J367" s="32" t="n"/>
    </row>
    <row r="368">
      <c r="A368" s="28" t="n"/>
      <c r="B368" s="29" t="n"/>
      <c r="C368" s="29" t="n"/>
      <c r="D368" s="29" t="n"/>
      <c r="E368" s="29" t="n"/>
      <c r="F368" s="29" t="n"/>
      <c r="G368" s="30" t="n"/>
      <c r="H368" s="29" t="n"/>
      <c r="I368" s="29" t="n"/>
      <c r="J368" s="29" t="n"/>
    </row>
    <row r="369">
      <c r="A369" s="31" t="n"/>
      <c r="B369" s="32" t="n"/>
      <c r="C369" s="32" t="n"/>
      <c r="D369" s="32" t="n"/>
      <c r="E369" s="32" t="n"/>
      <c r="F369" s="32" t="n"/>
      <c r="G369" s="33" t="n"/>
      <c r="H369" s="32" t="n"/>
      <c r="I369" s="32" t="n"/>
      <c r="J369" s="32" t="n"/>
    </row>
    <row r="370">
      <c r="A370" s="28" t="n"/>
      <c r="B370" s="29" t="n"/>
      <c r="C370" s="29" t="n"/>
      <c r="D370" s="29" t="n"/>
      <c r="E370" s="29" t="n"/>
      <c r="F370" s="29" t="n"/>
      <c r="G370" s="30" t="n"/>
      <c r="H370" s="29" t="n"/>
      <c r="I370" s="29" t="n"/>
      <c r="J370" s="29" t="n"/>
    </row>
    <row r="371">
      <c r="A371" s="31" t="n"/>
      <c r="B371" s="32" t="n"/>
      <c r="C371" s="32" t="n"/>
      <c r="D371" s="32" t="n"/>
      <c r="E371" s="32" t="n"/>
      <c r="F371" s="32" t="n"/>
      <c r="G371" s="33" t="n"/>
      <c r="H371" s="32" t="n"/>
      <c r="I371" s="32" t="n"/>
      <c r="J371" s="32" t="n"/>
    </row>
    <row r="372">
      <c r="A372" s="28" t="n"/>
      <c r="B372" s="29" t="n"/>
      <c r="C372" s="29" t="n"/>
      <c r="D372" s="29" t="n"/>
      <c r="E372" s="29" t="n"/>
      <c r="F372" s="29" t="n"/>
      <c r="G372" s="30" t="n"/>
      <c r="H372" s="29" t="n"/>
      <c r="I372" s="29" t="n"/>
      <c r="J372" s="29" t="n"/>
    </row>
    <row r="373">
      <c r="A373" s="31" t="n"/>
      <c r="B373" s="32" t="n"/>
      <c r="C373" s="32" t="n"/>
      <c r="D373" s="32" t="n"/>
      <c r="E373" s="32" t="n"/>
      <c r="F373" s="32" t="n"/>
      <c r="G373" s="33" t="n"/>
      <c r="H373" s="32" t="n"/>
      <c r="I373" s="32" t="n"/>
      <c r="J373" s="32" t="n"/>
    </row>
    <row r="374">
      <c r="A374" s="28" t="n"/>
      <c r="B374" s="29" t="n"/>
      <c r="C374" s="29" t="n"/>
      <c r="D374" s="29" t="n"/>
      <c r="E374" s="29" t="n"/>
      <c r="F374" s="29" t="n"/>
      <c r="G374" s="30" t="n"/>
      <c r="H374" s="29" t="n"/>
      <c r="I374" s="29" t="n"/>
      <c r="J374" s="29" t="n"/>
    </row>
    <row r="375">
      <c r="A375" s="31" t="n"/>
      <c r="B375" s="32" t="n"/>
      <c r="C375" s="32" t="n"/>
      <c r="D375" s="32" t="n"/>
      <c r="E375" s="32" t="n"/>
      <c r="F375" s="32" t="n"/>
      <c r="G375" s="33" t="n"/>
      <c r="H375" s="32" t="n"/>
      <c r="I375" s="32" t="n"/>
      <c r="J375" s="32" t="n"/>
    </row>
    <row r="376">
      <c r="A376" s="28" t="n"/>
      <c r="B376" s="29" t="n"/>
      <c r="C376" s="29" t="n"/>
      <c r="D376" s="29" t="n"/>
      <c r="E376" s="29" t="n"/>
      <c r="F376" s="29" t="n"/>
      <c r="G376" s="30" t="n"/>
      <c r="H376" s="29" t="n"/>
      <c r="I376" s="29" t="n"/>
      <c r="J376" s="29" t="n"/>
    </row>
    <row r="377">
      <c r="A377" s="31" t="n"/>
      <c r="B377" s="32" t="n"/>
      <c r="C377" s="32" t="n"/>
      <c r="D377" s="32" t="n"/>
      <c r="E377" s="32" t="n"/>
      <c r="F377" s="32" t="n"/>
      <c r="G377" s="33" t="n"/>
      <c r="H377" s="32" t="n"/>
      <c r="I377" s="32" t="n"/>
      <c r="J377" s="32" t="n"/>
    </row>
    <row r="378">
      <c r="A378" s="28" t="n"/>
      <c r="B378" s="29" t="n"/>
      <c r="C378" s="29" t="n"/>
      <c r="D378" s="29" t="n"/>
      <c r="E378" s="29" t="n"/>
      <c r="F378" s="29" t="n"/>
      <c r="G378" s="30" t="n"/>
      <c r="H378" s="29" t="n"/>
      <c r="I378" s="29" t="n"/>
      <c r="J378" s="29" t="n"/>
    </row>
    <row r="379">
      <c r="A379" s="31" t="n"/>
      <c r="B379" s="32" t="n"/>
      <c r="C379" s="32" t="n"/>
      <c r="D379" s="32" t="n"/>
      <c r="E379" s="32" t="n"/>
      <c r="F379" s="32" t="n"/>
      <c r="G379" s="33" t="n"/>
      <c r="H379" s="32" t="n"/>
      <c r="I379" s="32" t="n"/>
      <c r="J379" s="32" t="n"/>
    </row>
    <row r="380">
      <c r="A380" s="28" t="n"/>
      <c r="B380" s="29" t="n"/>
      <c r="C380" s="29" t="n"/>
      <c r="D380" s="29" t="n"/>
      <c r="E380" s="29" t="n"/>
      <c r="F380" s="29" t="n"/>
      <c r="G380" s="30" t="n"/>
      <c r="H380" s="29" t="n"/>
      <c r="I380" s="29" t="n"/>
      <c r="J380" s="29" t="n"/>
    </row>
    <row r="381">
      <c r="A381" s="31" t="n"/>
      <c r="B381" s="32" t="n"/>
      <c r="C381" s="32" t="n"/>
      <c r="D381" s="32" t="n"/>
      <c r="E381" s="32" t="n"/>
      <c r="F381" s="32" t="n"/>
      <c r="G381" s="33" t="n"/>
      <c r="H381" s="32" t="n"/>
      <c r="I381" s="32" t="n"/>
      <c r="J381" s="32" t="n"/>
    </row>
    <row r="382">
      <c r="A382" s="28" t="n"/>
      <c r="B382" s="29" t="n"/>
      <c r="C382" s="29" t="n"/>
      <c r="D382" s="29" t="n"/>
      <c r="E382" s="29" t="n"/>
      <c r="F382" s="29" t="n"/>
      <c r="G382" s="30" t="n"/>
      <c r="H382" s="29" t="n"/>
      <c r="I382" s="29" t="n"/>
      <c r="J382" s="29" t="n"/>
    </row>
    <row r="383">
      <c r="A383" s="31" t="n"/>
      <c r="B383" s="32" t="n"/>
      <c r="C383" s="32" t="n"/>
      <c r="D383" s="32" t="n"/>
      <c r="E383" s="32" t="n"/>
      <c r="F383" s="32" t="n"/>
      <c r="G383" s="33" t="n"/>
      <c r="H383" s="32" t="n"/>
      <c r="I383" s="32" t="n"/>
      <c r="J383" s="32" t="n"/>
    </row>
    <row r="384">
      <c r="A384" s="28" t="n"/>
      <c r="B384" s="29" t="n"/>
      <c r="C384" s="29" t="n"/>
      <c r="D384" s="29" t="n"/>
      <c r="E384" s="29" t="n"/>
      <c r="F384" s="29" t="n"/>
      <c r="G384" s="30" t="n"/>
      <c r="H384" s="29" t="n"/>
      <c r="I384" s="29" t="n"/>
      <c r="J384" s="29" t="n"/>
    </row>
    <row r="385">
      <c r="A385" s="31" t="n"/>
      <c r="B385" s="32" t="n"/>
      <c r="C385" s="32" t="n"/>
      <c r="D385" s="32" t="n"/>
      <c r="E385" s="32" t="n"/>
      <c r="F385" s="32" t="n"/>
      <c r="G385" s="33" t="n"/>
      <c r="H385" s="32" t="n"/>
      <c r="I385" s="32" t="n"/>
      <c r="J385" s="32" t="n"/>
    </row>
    <row r="386">
      <c r="A386" s="28" t="n"/>
      <c r="B386" s="29" t="n"/>
      <c r="C386" s="29" t="n"/>
      <c r="D386" s="29" t="n"/>
      <c r="E386" s="29" t="n"/>
      <c r="F386" s="29" t="n"/>
      <c r="G386" s="30" t="n"/>
      <c r="H386" s="29" t="n"/>
      <c r="I386" s="29" t="n"/>
      <c r="J386" s="29" t="n"/>
    </row>
    <row r="387">
      <c r="A387" s="31" t="n"/>
      <c r="B387" s="32" t="n"/>
      <c r="C387" s="32" t="n"/>
      <c r="D387" s="32" t="n"/>
      <c r="E387" s="32" t="n"/>
      <c r="F387" s="32" t="n"/>
      <c r="G387" s="33" t="n"/>
      <c r="H387" s="32" t="n"/>
      <c r="I387" s="32" t="n"/>
      <c r="J387" s="32" t="n"/>
    </row>
    <row r="388">
      <c r="A388" s="28" t="n"/>
      <c r="B388" s="29" t="n"/>
      <c r="C388" s="29" t="n"/>
      <c r="D388" s="29" t="n"/>
      <c r="E388" s="29" t="n"/>
      <c r="F388" s="29" t="n"/>
      <c r="G388" s="30" t="n"/>
      <c r="H388" s="29" t="n"/>
      <c r="I388" s="29" t="n"/>
      <c r="J388" s="29" t="n"/>
    </row>
    <row r="389">
      <c r="A389" s="31" t="n"/>
      <c r="B389" s="32" t="n"/>
      <c r="C389" s="32" t="n"/>
      <c r="D389" s="32" t="n"/>
      <c r="E389" s="32" t="n"/>
      <c r="F389" s="32" t="n"/>
      <c r="G389" s="33" t="n"/>
      <c r="H389" s="32" t="n"/>
      <c r="I389" s="32" t="n"/>
      <c r="J389" s="32" t="n"/>
    </row>
    <row r="390">
      <c r="A390" s="28" t="n"/>
      <c r="B390" s="29" t="n"/>
      <c r="C390" s="29" t="n"/>
      <c r="D390" s="29" t="n"/>
      <c r="E390" s="29" t="n"/>
      <c r="F390" s="29" t="n"/>
      <c r="G390" s="30" t="n"/>
      <c r="H390" s="29" t="n"/>
      <c r="I390" s="29" t="n"/>
      <c r="J390" s="29" t="n"/>
    </row>
    <row r="391">
      <c r="A391" s="31" t="n"/>
      <c r="B391" s="32" t="n"/>
      <c r="C391" s="32" t="n"/>
      <c r="D391" s="32" t="n"/>
      <c r="E391" s="32" t="n"/>
      <c r="F391" s="32" t="n"/>
      <c r="G391" s="33" t="n"/>
      <c r="H391" s="32" t="n"/>
      <c r="I391" s="32" t="n"/>
      <c r="J391" s="32" t="n"/>
    </row>
    <row r="392">
      <c r="A392" s="28" t="n"/>
      <c r="B392" s="29" t="n"/>
      <c r="C392" s="29" t="n"/>
      <c r="D392" s="29" t="n"/>
      <c r="E392" s="29" t="n"/>
      <c r="F392" s="29" t="n"/>
      <c r="G392" s="30" t="n"/>
      <c r="H392" s="29" t="n"/>
      <c r="I392" s="29" t="n"/>
      <c r="J392" s="29" t="n"/>
    </row>
    <row r="393">
      <c r="A393" s="31" t="n"/>
      <c r="B393" s="32" t="n"/>
      <c r="C393" s="32" t="n"/>
      <c r="D393" s="32" t="n"/>
      <c r="E393" s="32" t="n"/>
      <c r="F393" s="32" t="n"/>
      <c r="G393" s="33" t="n"/>
      <c r="H393" s="32" t="n"/>
      <c r="I393" s="32" t="n"/>
      <c r="J393" s="32" t="n"/>
    </row>
    <row r="394">
      <c r="A394" s="28" t="n"/>
      <c r="B394" s="29" t="n"/>
      <c r="C394" s="29" t="n"/>
      <c r="D394" s="29" t="n"/>
      <c r="E394" s="29" t="n"/>
      <c r="F394" s="29" t="n"/>
      <c r="G394" s="30" t="n"/>
      <c r="H394" s="29" t="n"/>
      <c r="I394" s="29" t="n"/>
      <c r="J394" s="29" t="n"/>
    </row>
    <row r="395">
      <c r="A395" s="31" t="n"/>
      <c r="B395" s="32" t="n"/>
      <c r="C395" s="32" t="n"/>
      <c r="D395" s="32" t="n"/>
      <c r="E395" s="32" t="n"/>
      <c r="F395" s="32" t="n"/>
      <c r="G395" s="33" t="n"/>
      <c r="H395" s="32" t="n"/>
      <c r="I395" s="32" t="n"/>
      <c r="J395" s="32" t="n"/>
    </row>
    <row r="396">
      <c r="A396" s="28" t="n"/>
      <c r="B396" s="29" t="n"/>
      <c r="C396" s="29" t="n"/>
      <c r="D396" s="29" t="n"/>
      <c r="E396" s="29" t="n"/>
      <c r="F396" s="29" t="n"/>
      <c r="G396" s="30" t="n"/>
      <c r="H396" s="29" t="n"/>
      <c r="I396" s="29" t="n"/>
      <c r="J396" s="29" t="n"/>
    </row>
    <row r="397">
      <c r="A397" s="31" t="n"/>
      <c r="B397" s="32" t="n"/>
      <c r="C397" s="32" t="n"/>
      <c r="D397" s="32" t="n"/>
      <c r="E397" s="32" t="n"/>
      <c r="F397" s="32" t="n"/>
      <c r="G397" s="33" t="n"/>
      <c r="H397" s="32" t="n"/>
      <c r="I397" s="32" t="n"/>
      <c r="J397" s="32" t="n"/>
    </row>
    <row r="398">
      <c r="A398" s="28" t="n"/>
      <c r="B398" s="29" t="n"/>
      <c r="C398" s="29" t="n"/>
      <c r="D398" s="29" t="n"/>
      <c r="E398" s="29" t="n"/>
      <c r="F398" s="29" t="n"/>
      <c r="G398" s="30" t="n"/>
      <c r="H398" s="29" t="n"/>
      <c r="I398" s="29" t="n"/>
      <c r="J398" s="29" t="n"/>
    </row>
    <row r="399">
      <c r="A399" s="31" t="n"/>
      <c r="B399" s="32" t="n"/>
      <c r="C399" s="32" t="n"/>
      <c r="D399" s="32" t="n"/>
      <c r="E399" s="32" t="n"/>
      <c r="F399" s="32" t="n"/>
      <c r="G399" s="33" t="n"/>
      <c r="H399" s="32" t="n"/>
      <c r="I399" s="32" t="n"/>
      <c r="J399" s="32" t="n"/>
    </row>
    <row r="400">
      <c r="A400" s="28" t="n"/>
      <c r="B400" s="29" t="n"/>
      <c r="C400" s="29" t="n"/>
      <c r="D400" s="29" t="n"/>
      <c r="E400" s="29" t="n"/>
      <c r="F400" s="29" t="n"/>
      <c r="G400" s="30" t="n"/>
      <c r="H400" s="29" t="n"/>
      <c r="I400" s="29" t="n"/>
      <c r="J400" s="29" t="n"/>
    </row>
    <row r="401">
      <c r="A401" s="31" t="n"/>
      <c r="B401" s="32" t="n"/>
      <c r="C401" s="32" t="n"/>
      <c r="D401" s="32" t="n"/>
      <c r="E401" s="32" t="n"/>
      <c r="F401" s="32" t="n"/>
      <c r="G401" s="33" t="n"/>
      <c r="H401" s="32" t="n"/>
      <c r="I401" s="32" t="n"/>
      <c r="J401" s="32" t="n"/>
    </row>
    <row r="402">
      <c r="A402" s="28" t="n"/>
      <c r="B402" s="29" t="n"/>
      <c r="C402" s="29" t="n"/>
      <c r="D402" s="29" t="n"/>
      <c r="E402" s="29" t="n"/>
      <c r="F402" s="29" t="n"/>
      <c r="G402" s="30" t="n"/>
      <c r="H402" s="29" t="n"/>
      <c r="I402" s="29" t="n"/>
      <c r="J402" s="29" t="n"/>
    </row>
    <row r="403">
      <c r="A403" s="31" t="n"/>
      <c r="B403" s="32" t="n"/>
      <c r="C403" s="32" t="n"/>
      <c r="D403" s="32" t="n"/>
      <c r="E403" s="32" t="n"/>
      <c r="F403" s="32" t="n"/>
      <c r="G403" s="33" t="n"/>
      <c r="H403" s="32" t="n"/>
      <c r="I403" s="32" t="n"/>
      <c r="J403" s="32" t="n"/>
    </row>
    <row r="404">
      <c r="A404" s="28" t="n"/>
      <c r="B404" s="29" t="n"/>
      <c r="C404" s="29" t="n"/>
      <c r="D404" s="29" t="n"/>
      <c r="E404" s="29" t="n"/>
      <c r="F404" s="29" t="n"/>
      <c r="G404" s="30" t="n"/>
      <c r="H404" s="29" t="n"/>
      <c r="I404" s="29" t="n"/>
      <c r="J404" s="29" t="n"/>
    </row>
    <row r="405">
      <c r="A405" s="31" t="n"/>
      <c r="B405" s="32" t="n"/>
      <c r="C405" s="32" t="n"/>
      <c r="D405" s="32" t="n"/>
      <c r="E405" s="32" t="n"/>
      <c r="F405" s="32" t="n"/>
      <c r="G405" s="33" t="n"/>
      <c r="H405" s="32" t="n"/>
      <c r="I405" s="32" t="n"/>
      <c r="J405" s="32" t="n"/>
    </row>
    <row r="406">
      <c r="A406" s="28" t="n"/>
      <c r="B406" s="29" t="n"/>
      <c r="C406" s="29" t="n"/>
      <c r="D406" s="29" t="n"/>
      <c r="E406" s="29" t="n"/>
      <c r="F406" s="29" t="n"/>
      <c r="G406" s="30" t="n"/>
      <c r="H406" s="29" t="n"/>
      <c r="I406" s="29" t="n"/>
      <c r="J406" s="29" t="n"/>
    </row>
    <row r="407">
      <c r="A407" s="31" t="n"/>
      <c r="B407" s="32" t="n"/>
      <c r="C407" s="32" t="n"/>
      <c r="D407" s="32" t="n"/>
      <c r="E407" s="32" t="n"/>
      <c r="F407" s="32" t="n"/>
      <c r="G407" s="33" t="n"/>
      <c r="H407" s="32" t="n"/>
      <c r="I407" s="32" t="n"/>
      <c r="J407" s="32" t="n"/>
    </row>
    <row r="408">
      <c r="A408" s="28" t="n"/>
      <c r="B408" s="29" t="n"/>
      <c r="C408" s="29" t="n"/>
      <c r="D408" s="29" t="n"/>
      <c r="E408" s="29" t="n"/>
      <c r="F408" s="29" t="n"/>
      <c r="G408" s="30" t="n"/>
      <c r="H408" s="29" t="n"/>
      <c r="I408" s="29" t="n"/>
      <c r="J408" s="29" t="n"/>
    </row>
    <row r="409">
      <c r="A409" s="31" t="n"/>
      <c r="B409" s="32" t="n"/>
      <c r="C409" s="32" t="n"/>
      <c r="D409" s="32" t="n"/>
      <c r="E409" s="32" t="n"/>
      <c r="F409" s="32" t="n"/>
      <c r="G409" s="33" t="n"/>
      <c r="H409" s="32" t="n"/>
      <c r="I409" s="32" t="n"/>
      <c r="J409" s="32" t="n"/>
    </row>
    <row r="410">
      <c r="A410" s="28" t="n"/>
      <c r="B410" s="29" t="n"/>
      <c r="C410" s="29" t="n"/>
      <c r="D410" s="29" t="n"/>
      <c r="E410" s="29" t="n"/>
      <c r="F410" s="29" t="n"/>
      <c r="G410" s="30" t="n"/>
      <c r="H410" s="29" t="n"/>
      <c r="I410" s="29" t="n"/>
      <c r="J410" s="29" t="n"/>
    </row>
    <row r="411">
      <c r="A411" s="31" t="n"/>
      <c r="B411" s="32" t="n"/>
      <c r="C411" s="32" t="n"/>
      <c r="D411" s="32" t="n"/>
      <c r="E411" s="32" t="n"/>
      <c r="F411" s="32" t="n"/>
      <c r="G411" s="33" t="n"/>
      <c r="H411" s="32" t="n"/>
      <c r="I411" s="32" t="n"/>
      <c r="J411" s="32" t="n"/>
    </row>
    <row r="412">
      <c r="A412" s="28" t="n"/>
      <c r="B412" s="29" t="n"/>
      <c r="C412" s="29" t="n"/>
      <c r="D412" s="29" t="n"/>
      <c r="E412" s="29" t="n"/>
      <c r="F412" s="29" t="n"/>
      <c r="G412" s="30" t="n"/>
      <c r="H412" s="29" t="n"/>
      <c r="I412" s="29" t="n"/>
      <c r="J412" s="29" t="n"/>
    </row>
    <row r="413">
      <c r="A413" s="31" t="n"/>
      <c r="B413" s="32" t="n"/>
      <c r="C413" s="32" t="n"/>
      <c r="D413" s="32" t="n"/>
      <c r="E413" s="32" t="n"/>
      <c r="F413" s="32" t="n"/>
      <c r="G413" s="33" t="n"/>
      <c r="H413" s="32" t="n"/>
      <c r="I413" s="32" t="n"/>
      <c r="J413" s="32" t="n"/>
    </row>
    <row r="414">
      <c r="A414" s="28" t="n"/>
      <c r="B414" s="29" t="n"/>
      <c r="C414" s="29" t="n"/>
      <c r="D414" s="29" t="n"/>
      <c r="E414" s="29" t="n"/>
      <c r="F414" s="29" t="n"/>
      <c r="G414" s="30" t="n"/>
      <c r="H414" s="29" t="n"/>
      <c r="I414" s="29" t="n"/>
      <c r="J414" s="29" t="n"/>
    </row>
    <row r="415">
      <c r="A415" s="31" t="n"/>
      <c r="B415" s="32" t="n"/>
      <c r="C415" s="32" t="n"/>
      <c r="D415" s="32" t="n"/>
      <c r="E415" s="32" t="n"/>
      <c r="F415" s="32" t="n"/>
      <c r="G415" s="33" t="n"/>
      <c r="H415" s="32" t="n"/>
      <c r="I415" s="32" t="n"/>
      <c r="J415" s="32" t="n"/>
    </row>
    <row r="416">
      <c r="A416" s="28" t="n"/>
      <c r="B416" s="29" t="n"/>
      <c r="C416" s="29" t="n"/>
      <c r="D416" s="29" t="n"/>
      <c r="E416" s="29" t="n"/>
      <c r="F416" s="29" t="n"/>
      <c r="G416" s="30" t="n"/>
      <c r="H416" s="29" t="n"/>
      <c r="I416" s="29" t="n"/>
      <c r="J416" s="29" t="n"/>
    </row>
    <row r="417">
      <c r="A417" s="31" t="n"/>
      <c r="B417" s="32" t="n"/>
      <c r="C417" s="32" t="n"/>
      <c r="D417" s="32" t="n"/>
      <c r="E417" s="32" t="n"/>
      <c r="F417" s="32" t="n"/>
      <c r="G417" s="33" t="n"/>
      <c r="H417" s="32" t="n"/>
      <c r="I417" s="32" t="n"/>
      <c r="J417" s="32" t="n"/>
    </row>
    <row r="418">
      <c r="A418" s="28" t="n"/>
      <c r="B418" s="29" t="n"/>
      <c r="C418" s="29" t="n"/>
      <c r="D418" s="29" t="n"/>
      <c r="E418" s="29" t="n"/>
      <c r="F418" s="29" t="n"/>
      <c r="G418" s="30" t="n"/>
      <c r="H418" s="29" t="n"/>
      <c r="I418" s="29" t="n"/>
      <c r="J418" s="29" t="n"/>
    </row>
    <row r="419">
      <c r="A419" s="31" t="n"/>
      <c r="B419" s="32" t="n"/>
      <c r="C419" s="32" t="n"/>
      <c r="D419" s="32" t="n"/>
      <c r="E419" s="32" t="n"/>
      <c r="F419" s="32" t="n"/>
      <c r="G419" s="33" t="n"/>
      <c r="H419" s="32" t="n"/>
      <c r="I419" s="32" t="n"/>
      <c r="J419" s="32" t="n"/>
    </row>
    <row r="420">
      <c r="A420" s="28" t="n"/>
      <c r="B420" s="29" t="n"/>
      <c r="C420" s="29" t="n"/>
      <c r="D420" s="29" t="n"/>
      <c r="E420" s="29" t="n"/>
      <c r="F420" s="29" t="n"/>
      <c r="G420" s="30" t="n"/>
      <c r="H420" s="29" t="n"/>
      <c r="I420" s="29" t="n"/>
      <c r="J420" s="29" t="n"/>
    </row>
    <row r="421">
      <c r="A421" s="31" t="n"/>
      <c r="B421" s="32" t="n"/>
      <c r="C421" s="32" t="n"/>
      <c r="D421" s="32" t="n"/>
      <c r="E421" s="32" t="n"/>
      <c r="F421" s="32" t="n"/>
      <c r="G421" s="33" t="n"/>
      <c r="H421" s="32" t="n"/>
      <c r="I421" s="32" t="n"/>
      <c r="J421" s="32" t="n"/>
    </row>
    <row r="422">
      <c r="A422" s="28" t="n"/>
      <c r="B422" s="29" t="n"/>
      <c r="C422" s="29" t="n"/>
      <c r="D422" s="29" t="n"/>
      <c r="E422" s="29" t="n"/>
      <c r="F422" s="29" t="n"/>
      <c r="G422" s="30" t="n"/>
      <c r="H422" s="29" t="n"/>
      <c r="I422" s="29" t="n"/>
      <c r="J422" s="29" t="n"/>
    </row>
    <row r="423">
      <c r="A423" s="31" t="n"/>
      <c r="B423" s="32" t="n"/>
      <c r="C423" s="32" t="n"/>
      <c r="D423" s="32" t="n"/>
      <c r="E423" s="32" t="n"/>
      <c r="F423" s="32" t="n"/>
      <c r="G423" s="33" t="n"/>
      <c r="H423" s="32" t="n"/>
      <c r="I423" s="32" t="n"/>
      <c r="J423" s="32" t="n"/>
    </row>
    <row r="424">
      <c r="A424" s="28" t="n"/>
      <c r="B424" s="29" t="n"/>
      <c r="C424" s="29" t="n"/>
      <c r="D424" s="29" t="n"/>
      <c r="E424" s="29" t="n"/>
      <c r="F424" s="29" t="n"/>
      <c r="G424" s="30" t="n"/>
      <c r="H424" s="29" t="n"/>
      <c r="I424" s="29" t="n"/>
      <c r="J424" s="29" t="n"/>
    </row>
    <row r="425">
      <c r="A425" s="31" t="n"/>
      <c r="B425" s="32" t="n"/>
      <c r="C425" s="32" t="n"/>
      <c r="D425" s="32" t="n"/>
      <c r="E425" s="32" t="n"/>
      <c r="F425" s="32" t="n"/>
      <c r="G425" s="33" t="n"/>
      <c r="H425" s="32" t="n"/>
      <c r="I425" s="32" t="n"/>
      <c r="J425" s="32" t="n"/>
    </row>
    <row r="426">
      <c r="A426" s="28" t="n"/>
      <c r="B426" s="29" t="n"/>
      <c r="C426" s="29" t="n"/>
      <c r="D426" s="29" t="n"/>
      <c r="E426" s="29" t="n"/>
      <c r="F426" s="29" t="n"/>
      <c r="G426" s="30" t="n"/>
      <c r="H426" s="29" t="n"/>
      <c r="I426" s="29" t="n"/>
      <c r="J426" s="29" t="n"/>
    </row>
    <row r="427">
      <c r="A427" s="31" t="n"/>
      <c r="B427" s="32" t="n"/>
      <c r="C427" s="32" t="n"/>
      <c r="D427" s="32" t="n"/>
      <c r="E427" s="32" t="n"/>
      <c r="F427" s="32" t="n"/>
      <c r="G427" s="33" t="n"/>
      <c r="H427" s="32" t="n"/>
      <c r="I427" s="32" t="n"/>
      <c r="J427" s="32" t="n"/>
    </row>
    <row r="428">
      <c r="A428" s="28" t="n"/>
      <c r="B428" s="29" t="n"/>
      <c r="C428" s="29" t="n"/>
      <c r="D428" s="29" t="n"/>
      <c r="E428" s="29" t="n"/>
      <c r="F428" s="29" t="n"/>
      <c r="G428" s="30" t="n"/>
      <c r="H428" s="29" t="n"/>
      <c r="I428" s="29" t="n"/>
      <c r="J428" s="29" t="n"/>
    </row>
    <row r="429">
      <c r="A429" s="31" t="n"/>
      <c r="B429" s="32" t="n"/>
      <c r="C429" s="32" t="n"/>
      <c r="D429" s="32" t="n"/>
      <c r="E429" s="32" t="n"/>
      <c r="F429" s="32" t="n"/>
      <c r="G429" s="33" t="n"/>
      <c r="H429" s="32" t="n"/>
      <c r="I429" s="32" t="n"/>
      <c r="J429" s="32" t="n"/>
    </row>
    <row r="430">
      <c r="A430" s="28" t="n"/>
      <c r="B430" s="29" t="n"/>
      <c r="C430" s="29" t="n"/>
      <c r="D430" s="29" t="n"/>
      <c r="E430" s="29" t="n"/>
      <c r="F430" s="29" t="n"/>
      <c r="G430" s="30" t="n"/>
      <c r="H430" s="29" t="n"/>
      <c r="I430" s="29" t="n"/>
      <c r="J430" s="29" t="n"/>
    </row>
    <row r="431">
      <c r="A431" s="31" t="n"/>
      <c r="B431" s="32" t="n"/>
      <c r="C431" s="32" t="n"/>
      <c r="D431" s="32" t="n"/>
      <c r="E431" s="32" t="n"/>
      <c r="F431" s="32" t="n"/>
      <c r="G431" s="33" t="n"/>
      <c r="H431" s="32" t="n"/>
      <c r="I431" s="32" t="n"/>
      <c r="J431" s="32" t="n"/>
    </row>
    <row r="432">
      <c r="A432" s="28" t="n"/>
      <c r="B432" s="29" t="n"/>
      <c r="C432" s="29" t="n"/>
      <c r="D432" s="29" t="n"/>
      <c r="E432" s="29" t="n"/>
      <c r="F432" s="29" t="n"/>
      <c r="G432" s="30" t="n"/>
      <c r="H432" s="29" t="n"/>
      <c r="I432" s="29" t="n"/>
      <c r="J432" s="29" t="n"/>
    </row>
    <row r="433">
      <c r="A433" s="31" t="n"/>
      <c r="B433" s="32" t="n"/>
      <c r="C433" s="32" t="n"/>
      <c r="D433" s="32" t="n"/>
      <c r="E433" s="32" t="n"/>
      <c r="F433" s="32" t="n"/>
      <c r="G433" s="33" t="n"/>
      <c r="H433" s="32" t="n"/>
      <c r="I433" s="32" t="n"/>
      <c r="J433" s="32" t="n"/>
    </row>
    <row r="434">
      <c r="A434" s="28" t="n"/>
      <c r="B434" s="29" t="n"/>
      <c r="C434" s="29" t="n"/>
      <c r="D434" s="29" t="n"/>
      <c r="E434" s="29" t="n"/>
      <c r="F434" s="29" t="n"/>
      <c r="G434" s="30" t="n"/>
      <c r="H434" s="29" t="n"/>
      <c r="I434" s="29" t="n"/>
      <c r="J434" s="29" t="n"/>
    </row>
    <row r="435">
      <c r="A435" s="31" t="n"/>
      <c r="B435" s="32" t="n"/>
      <c r="C435" s="32" t="n"/>
      <c r="D435" s="32" t="n"/>
      <c r="E435" s="32" t="n"/>
      <c r="F435" s="32" t="n"/>
      <c r="G435" s="33" t="n"/>
      <c r="H435" s="32" t="n"/>
      <c r="I435" s="32" t="n"/>
      <c r="J435" s="32" t="n"/>
    </row>
    <row r="436">
      <c r="A436" s="28" t="n"/>
      <c r="B436" s="29" t="n"/>
      <c r="C436" s="29" t="n"/>
      <c r="D436" s="29" t="n"/>
      <c r="E436" s="29" t="n"/>
      <c r="F436" s="29" t="n"/>
      <c r="G436" s="30" t="n"/>
      <c r="H436" s="29" t="n"/>
      <c r="I436" s="29" t="n"/>
      <c r="J436" s="29" t="n"/>
    </row>
    <row r="437">
      <c r="A437" s="31" t="n"/>
      <c r="B437" s="32" t="n"/>
      <c r="C437" s="32" t="n"/>
      <c r="D437" s="32" t="n"/>
      <c r="E437" s="32" t="n"/>
      <c r="F437" s="32" t="n"/>
      <c r="G437" s="33" t="n"/>
      <c r="H437" s="32" t="n"/>
      <c r="I437" s="32" t="n"/>
      <c r="J437" s="32" t="n"/>
    </row>
    <row r="438">
      <c r="A438" s="28" t="n"/>
      <c r="B438" s="29" t="n"/>
      <c r="C438" s="29" t="n"/>
      <c r="D438" s="29" t="n"/>
      <c r="E438" s="29" t="n"/>
      <c r="F438" s="29" t="n"/>
      <c r="G438" s="30" t="n"/>
      <c r="H438" s="29" t="n"/>
      <c r="I438" s="29" t="n"/>
      <c r="J438" s="29" t="n"/>
    </row>
    <row r="439">
      <c r="A439" s="31" t="n"/>
      <c r="B439" s="32" t="n"/>
      <c r="C439" s="32" t="n"/>
      <c r="D439" s="32" t="n"/>
      <c r="E439" s="32" t="n"/>
      <c r="F439" s="32" t="n"/>
      <c r="G439" s="33" t="n"/>
      <c r="H439" s="32" t="n"/>
      <c r="I439" s="32" t="n"/>
      <c r="J439" s="32" t="n"/>
    </row>
    <row r="440">
      <c r="A440" s="28" t="n"/>
      <c r="B440" s="29" t="n"/>
      <c r="C440" s="29" t="n"/>
      <c r="D440" s="29" t="n"/>
      <c r="E440" s="29" t="n"/>
      <c r="F440" s="29" t="n"/>
      <c r="G440" s="30" t="n"/>
      <c r="H440" s="29" t="n"/>
      <c r="I440" s="29" t="n"/>
      <c r="J440" s="29" t="n"/>
    </row>
    <row r="441">
      <c r="A441" s="31" t="n"/>
      <c r="B441" s="32" t="n"/>
      <c r="C441" s="32" t="n"/>
      <c r="D441" s="32" t="n"/>
      <c r="E441" s="32" t="n"/>
      <c r="F441" s="32" t="n"/>
      <c r="G441" s="33" t="n"/>
      <c r="H441" s="32" t="n"/>
      <c r="I441" s="32" t="n"/>
      <c r="J441" s="32" t="n"/>
    </row>
    <row r="442">
      <c r="A442" s="28" t="n"/>
      <c r="B442" s="29" t="n"/>
      <c r="C442" s="29" t="n"/>
      <c r="D442" s="29" t="n"/>
      <c r="E442" s="29" t="n"/>
      <c r="F442" s="29" t="n"/>
      <c r="G442" s="30" t="n"/>
      <c r="H442" s="29" t="n"/>
      <c r="I442" s="29" t="n"/>
      <c r="J442" s="29" t="n"/>
    </row>
    <row r="443">
      <c r="A443" s="31" t="n"/>
      <c r="B443" s="32" t="n"/>
      <c r="C443" s="32" t="n"/>
      <c r="D443" s="32" t="n"/>
      <c r="E443" s="32" t="n"/>
      <c r="F443" s="32" t="n"/>
      <c r="G443" s="33" t="n"/>
      <c r="H443" s="32" t="n"/>
      <c r="I443" s="32" t="n"/>
      <c r="J443" s="32" t="n"/>
    </row>
    <row r="444">
      <c r="A444" s="28" t="n"/>
      <c r="B444" s="29" t="n"/>
      <c r="C444" s="29" t="n"/>
      <c r="D444" s="29" t="n"/>
      <c r="E444" s="29" t="n"/>
      <c r="F444" s="29" t="n"/>
      <c r="G444" s="30" t="n"/>
      <c r="H444" s="29" t="n"/>
      <c r="I444" s="29" t="n"/>
      <c r="J444" s="29" t="n"/>
    </row>
    <row r="445">
      <c r="A445" s="31" t="n"/>
      <c r="B445" s="32" t="n"/>
      <c r="C445" s="32" t="n"/>
      <c r="D445" s="32" t="n"/>
      <c r="E445" s="32" t="n"/>
      <c r="F445" s="32" t="n"/>
      <c r="G445" s="33" t="n"/>
      <c r="H445" s="32" t="n"/>
      <c r="I445" s="32" t="n"/>
      <c r="J445" s="32" t="n"/>
    </row>
    <row r="446">
      <c r="A446" s="28" t="n"/>
      <c r="B446" s="29" t="n"/>
      <c r="C446" s="29" t="n"/>
      <c r="D446" s="29" t="n"/>
      <c r="E446" s="29" t="n"/>
      <c r="F446" s="29" t="n"/>
      <c r="G446" s="30" t="n"/>
      <c r="H446" s="29" t="n"/>
      <c r="I446" s="29" t="n"/>
      <c r="J446" s="29" t="n"/>
    </row>
    <row r="447">
      <c r="A447" s="31" t="n"/>
      <c r="B447" s="32" t="n"/>
      <c r="C447" s="32" t="n"/>
      <c r="D447" s="32" t="n"/>
      <c r="E447" s="32" t="n"/>
      <c r="F447" s="32" t="n"/>
      <c r="G447" s="33" t="n"/>
      <c r="H447" s="32" t="n"/>
      <c r="I447" s="32" t="n"/>
      <c r="J447" s="32" t="n"/>
    </row>
    <row r="448">
      <c r="A448" s="28" t="n"/>
      <c r="B448" s="29" t="n"/>
      <c r="C448" s="29" t="n"/>
      <c r="D448" s="29" t="n"/>
      <c r="E448" s="29" t="n"/>
      <c r="F448" s="29" t="n"/>
      <c r="G448" s="30" t="n"/>
      <c r="H448" s="29" t="n"/>
      <c r="I448" s="29" t="n"/>
      <c r="J448" s="29" t="n"/>
    </row>
    <row r="449">
      <c r="A449" s="31" t="n"/>
      <c r="B449" s="32" t="n"/>
      <c r="C449" s="32" t="n"/>
      <c r="D449" s="32" t="n"/>
      <c r="E449" s="32" t="n"/>
      <c r="F449" s="32" t="n"/>
      <c r="G449" s="33" t="n"/>
      <c r="H449" s="32" t="n"/>
      <c r="I449" s="32" t="n"/>
      <c r="J449" s="32" t="n"/>
    </row>
    <row r="450">
      <c r="A450" s="28" t="n"/>
      <c r="B450" s="29" t="n"/>
      <c r="C450" s="29" t="n"/>
      <c r="D450" s="29" t="n"/>
      <c r="E450" s="29" t="n"/>
      <c r="F450" s="29" t="n"/>
      <c r="G450" s="30" t="n"/>
      <c r="H450" s="29" t="n"/>
      <c r="I450" s="29" t="n"/>
      <c r="J450" s="29" t="n"/>
    </row>
    <row r="451">
      <c r="A451" s="31" t="n"/>
      <c r="B451" s="32" t="n"/>
      <c r="C451" s="32" t="n"/>
      <c r="D451" s="32" t="n"/>
      <c r="E451" s="32" t="n"/>
      <c r="F451" s="32" t="n"/>
      <c r="G451" s="33" t="n"/>
      <c r="H451" s="32" t="n"/>
      <c r="I451" s="32" t="n"/>
      <c r="J451" s="32" t="n"/>
    </row>
    <row r="452">
      <c r="A452" s="28" t="n"/>
      <c r="B452" s="29" t="n"/>
      <c r="C452" s="29" t="n"/>
      <c r="D452" s="29" t="n"/>
      <c r="E452" s="29" t="n"/>
      <c r="F452" s="29" t="n"/>
      <c r="G452" s="30" t="n"/>
      <c r="H452" s="29" t="n"/>
      <c r="I452" s="29" t="n"/>
      <c r="J452" s="29" t="n"/>
    </row>
    <row r="453">
      <c r="A453" s="31" t="n"/>
      <c r="B453" s="32" t="n"/>
      <c r="C453" s="32" t="n"/>
      <c r="D453" s="32" t="n"/>
      <c r="E453" s="32" t="n"/>
      <c r="F453" s="32" t="n"/>
      <c r="G453" s="33" t="n"/>
      <c r="H453" s="32" t="n"/>
      <c r="I453" s="32" t="n"/>
      <c r="J453" s="32" t="n"/>
    </row>
    <row r="454">
      <c r="A454" s="28" t="n"/>
      <c r="B454" s="29" t="n"/>
      <c r="C454" s="29" t="n"/>
      <c r="D454" s="29" t="n"/>
      <c r="E454" s="29" t="n"/>
      <c r="F454" s="29" t="n"/>
      <c r="G454" s="30" t="n"/>
      <c r="H454" s="29" t="n"/>
      <c r="I454" s="29" t="n"/>
      <c r="J454" s="29" t="n"/>
    </row>
    <row r="455">
      <c r="A455" s="31" t="n"/>
      <c r="B455" s="32" t="n"/>
      <c r="C455" s="32" t="n"/>
      <c r="D455" s="32" t="n"/>
      <c r="E455" s="32" t="n"/>
      <c r="F455" s="32" t="n"/>
      <c r="G455" s="33" t="n"/>
      <c r="H455" s="32" t="n"/>
      <c r="I455" s="32" t="n"/>
      <c r="J455" s="32" t="n"/>
    </row>
    <row r="456">
      <c r="A456" s="28" t="n"/>
      <c r="B456" s="29" t="n"/>
      <c r="C456" s="29" t="n"/>
      <c r="D456" s="29" t="n"/>
      <c r="E456" s="29" t="n"/>
      <c r="F456" s="29" t="n"/>
      <c r="G456" s="30" t="n"/>
      <c r="H456" s="29" t="n"/>
      <c r="I456" s="29" t="n"/>
      <c r="J456" s="29" t="n"/>
    </row>
    <row r="457">
      <c r="A457" s="31" t="n"/>
      <c r="B457" s="32" t="n"/>
      <c r="C457" s="32" t="n"/>
      <c r="D457" s="32" t="n"/>
      <c r="E457" s="32" t="n"/>
      <c r="F457" s="32" t="n"/>
      <c r="G457" s="33" t="n"/>
      <c r="H457" s="32" t="n"/>
      <c r="I457" s="32" t="n"/>
      <c r="J457" s="32" t="n"/>
    </row>
    <row r="458">
      <c r="A458" s="28" t="n"/>
      <c r="B458" s="29" t="n"/>
      <c r="C458" s="29" t="n"/>
      <c r="D458" s="29" t="n"/>
      <c r="E458" s="29" t="n"/>
      <c r="F458" s="29" t="n"/>
      <c r="G458" s="30" t="n"/>
      <c r="H458" s="29" t="n"/>
      <c r="I458" s="29" t="n"/>
      <c r="J458" s="29" t="n"/>
    </row>
    <row r="459">
      <c r="A459" s="31" t="n"/>
      <c r="B459" s="32" t="n"/>
      <c r="C459" s="32" t="n"/>
      <c r="D459" s="32" t="n"/>
      <c r="E459" s="32" t="n"/>
      <c r="F459" s="32" t="n"/>
      <c r="G459" s="33" t="n"/>
      <c r="H459" s="32" t="n"/>
      <c r="I459" s="32" t="n"/>
      <c r="J459" s="32" t="n"/>
    </row>
    <row r="460">
      <c r="A460" s="28" t="n"/>
      <c r="B460" s="29" t="n"/>
      <c r="C460" s="29" t="n"/>
      <c r="D460" s="29" t="n"/>
      <c r="E460" s="29" t="n"/>
      <c r="F460" s="29" t="n"/>
      <c r="G460" s="30" t="n"/>
      <c r="H460" s="29" t="n"/>
      <c r="I460" s="29" t="n"/>
      <c r="J460" s="29" t="n"/>
    </row>
    <row r="461">
      <c r="A461" s="31" t="n"/>
      <c r="B461" s="32" t="n"/>
      <c r="C461" s="32" t="n"/>
      <c r="D461" s="32" t="n"/>
      <c r="E461" s="32" t="n"/>
      <c r="F461" s="32" t="n"/>
      <c r="G461" s="33" t="n"/>
      <c r="H461" s="32" t="n"/>
      <c r="I461" s="32" t="n"/>
      <c r="J461" s="32" t="n"/>
    </row>
    <row r="462">
      <c r="A462" s="28" t="n"/>
      <c r="B462" s="29" t="n"/>
      <c r="C462" s="29" t="n"/>
      <c r="D462" s="29" t="n"/>
      <c r="E462" s="29" t="n"/>
      <c r="F462" s="29" t="n"/>
      <c r="G462" s="30" t="n"/>
      <c r="H462" s="29" t="n"/>
      <c r="I462" s="29" t="n"/>
      <c r="J462" s="29" t="n"/>
    </row>
    <row r="463">
      <c r="A463" s="31" t="n"/>
      <c r="B463" s="32" t="n"/>
      <c r="C463" s="32" t="n"/>
      <c r="D463" s="32" t="n"/>
      <c r="E463" s="32" t="n"/>
      <c r="F463" s="32" t="n"/>
      <c r="G463" s="33" t="n"/>
      <c r="H463" s="32" t="n"/>
      <c r="I463" s="32" t="n"/>
      <c r="J463" s="32" t="n"/>
    </row>
    <row r="464">
      <c r="A464" s="28" t="n"/>
      <c r="B464" s="29" t="n"/>
      <c r="C464" s="29" t="n"/>
      <c r="D464" s="29" t="n"/>
      <c r="E464" s="29" t="n"/>
      <c r="F464" s="29" t="n"/>
      <c r="G464" s="30" t="n"/>
      <c r="H464" s="29" t="n"/>
      <c r="I464" s="29" t="n"/>
      <c r="J464" s="29" t="n"/>
    </row>
    <row r="465">
      <c r="A465" s="31" t="n"/>
      <c r="B465" s="32" t="n"/>
      <c r="C465" s="32" t="n"/>
      <c r="D465" s="32" t="n"/>
      <c r="E465" s="32" t="n"/>
      <c r="F465" s="32" t="n"/>
      <c r="G465" s="33" t="n"/>
      <c r="H465" s="32" t="n"/>
      <c r="I465" s="32" t="n"/>
      <c r="J465" s="32" t="n"/>
    </row>
    <row r="466">
      <c r="A466" s="28" t="n"/>
      <c r="B466" s="29" t="n"/>
      <c r="C466" s="29" t="n"/>
      <c r="D466" s="29" t="n"/>
      <c r="E466" s="29" t="n"/>
      <c r="F466" s="29" t="n"/>
      <c r="G466" s="30" t="n"/>
      <c r="H466" s="29" t="n"/>
      <c r="I466" s="29" t="n"/>
      <c r="J466" s="29" t="n"/>
    </row>
    <row r="467">
      <c r="A467" s="31" t="n"/>
      <c r="B467" s="32" t="n"/>
      <c r="C467" s="32" t="n"/>
      <c r="D467" s="32" t="n"/>
      <c r="E467" s="32" t="n"/>
      <c r="F467" s="32" t="n"/>
      <c r="G467" s="33" t="n"/>
      <c r="H467" s="32" t="n"/>
      <c r="I467" s="32" t="n"/>
      <c r="J467" s="32" t="n"/>
    </row>
    <row r="468">
      <c r="A468" s="28" t="n"/>
      <c r="B468" s="29" t="n"/>
      <c r="C468" s="29" t="n"/>
      <c r="D468" s="29" t="n"/>
      <c r="E468" s="29" t="n"/>
      <c r="F468" s="29" t="n"/>
      <c r="G468" s="30" t="n"/>
      <c r="H468" s="29" t="n"/>
      <c r="I468" s="29" t="n"/>
      <c r="J468" s="29" t="n"/>
    </row>
    <row r="469">
      <c r="A469" s="31" t="n"/>
      <c r="B469" s="32" t="n"/>
      <c r="C469" s="32" t="n"/>
      <c r="D469" s="32" t="n"/>
      <c r="E469" s="32" t="n"/>
      <c r="F469" s="32" t="n"/>
      <c r="G469" s="33" t="n"/>
      <c r="H469" s="32" t="n"/>
      <c r="I469" s="32" t="n"/>
      <c r="J469" s="32" t="n"/>
    </row>
    <row r="470">
      <c r="A470" s="28" t="n"/>
      <c r="B470" s="29" t="n"/>
      <c r="C470" s="29" t="n"/>
      <c r="D470" s="29" t="n"/>
      <c r="E470" s="29" t="n"/>
      <c r="F470" s="29" t="n"/>
      <c r="G470" s="30" t="n"/>
      <c r="H470" s="29" t="n"/>
      <c r="I470" s="29" t="n"/>
      <c r="J470" s="29" t="n"/>
    </row>
    <row r="471">
      <c r="A471" s="31" t="n"/>
      <c r="B471" s="32" t="n"/>
      <c r="C471" s="32" t="n"/>
      <c r="D471" s="32" t="n"/>
      <c r="E471" s="32" t="n"/>
      <c r="F471" s="32" t="n"/>
      <c r="G471" s="33" t="n"/>
      <c r="H471" s="32" t="n"/>
      <c r="I471" s="32" t="n"/>
      <c r="J471" s="32" t="n"/>
    </row>
    <row r="472">
      <c r="A472" s="28" t="n"/>
      <c r="B472" s="29" t="n"/>
      <c r="C472" s="29" t="n"/>
      <c r="D472" s="29" t="n"/>
      <c r="E472" s="29" t="n"/>
      <c r="F472" s="29" t="n"/>
      <c r="G472" s="30" t="n"/>
      <c r="H472" s="29" t="n"/>
      <c r="I472" s="29" t="n"/>
      <c r="J472" s="29" t="n"/>
    </row>
    <row r="473">
      <c r="A473" s="31" t="n"/>
      <c r="B473" s="32" t="n"/>
      <c r="C473" s="32" t="n"/>
      <c r="D473" s="32" t="n"/>
      <c r="E473" s="32" t="n"/>
      <c r="F473" s="32" t="n"/>
      <c r="G473" s="33" t="n"/>
      <c r="H473" s="32" t="n"/>
      <c r="I473" s="32" t="n"/>
      <c r="J473" s="32" t="n"/>
    </row>
    <row r="474">
      <c r="A474" s="28" t="n"/>
      <c r="B474" s="29" t="n"/>
      <c r="C474" s="29" t="n"/>
      <c r="D474" s="29" t="n"/>
      <c r="E474" s="29" t="n"/>
      <c r="F474" s="29" t="n"/>
      <c r="G474" s="30" t="n"/>
      <c r="H474" s="29" t="n"/>
      <c r="I474" s="29" t="n"/>
      <c r="J474" s="29" t="n"/>
    </row>
    <row r="475">
      <c r="A475" s="31" t="n"/>
      <c r="B475" s="32" t="n"/>
      <c r="C475" s="32" t="n"/>
      <c r="D475" s="32" t="n"/>
      <c r="E475" s="32" t="n"/>
      <c r="F475" s="32" t="n"/>
      <c r="G475" s="33" t="n"/>
      <c r="H475" s="32" t="n"/>
      <c r="I475" s="32" t="n"/>
      <c r="J475" s="32" t="n"/>
    </row>
    <row r="476">
      <c r="A476" s="28" t="n"/>
      <c r="B476" s="29" t="n"/>
      <c r="C476" s="29" t="n"/>
      <c r="D476" s="29" t="n"/>
      <c r="E476" s="29" t="n"/>
      <c r="F476" s="29" t="n"/>
      <c r="G476" s="30" t="n"/>
      <c r="H476" s="29" t="n"/>
      <c r="I476" s="29" t="n"/>
      <c r="J476" s="29" t="n"/>
    </row>
    <row r="477">
      <c r="A477" s="31" t="n"/>
      <c r="B477" s="32" t="n"/>
      <c r="C477" s="32" t="n"/>
      <c r="D477" s="32" t="n"/>
      <c r="E477" s="32" t="n"/>
      <c r="F477" s="32" t="n"/>
      <c r="G477" s="33" t="n"/>
      <c r="H477" s="32" t="n"/>
      <c r="I477" s="32" t="n"/>
      <c r="J477" s="32" t="n"/>
    </row>
    <row r="478">
      <c r="A478" s="28" t="n"/>
      <c r="B478" s="29" t="n"/>
      <c r="C478" s="29" t="n"/>
      <c r="D478" s="29" t="n"/>
      <c r="E478" s="29" t="n"/>
      <c r="F478" s="29" t="n"/>
      <c r="G478" s="30" t="n"/>
      <c r="H478" s="29" t="n"/>
      <c r="I478" s="29" t="n"/>
      <c r="J478" s="29" t="n"/>
    </row>
    <row r="479">
      <c r="A479" s="31" t="n"/>
      <c r="B479" s="32" t="n"/>
      <c r="C479" s="32" t="n"/>
      <c r="D479" s="32" t="n"/>
      <c r="E479" s="32" t="n"/>
      <c r="F479" s="32" t="n"/>
      <c r="G479" s="33" t="n"/>
      <c r="H479" s="32" t="n"/>
      <c r="I479" s="32" t="n"/>
      <c r="J479" s="32" t="n"/>
    </row>
    <row r="480">
      <c r="A480" s="28" t="n"/>
      <c r="B480" s="29" t="n"/>
      <c r="C480" s="29" t="n"/>
      <c r="D480" s="29" t="n"/>
      <c r="E480" s="29" t="n"/>
      <c r="F480" s="29" t="n"/>
      <c r="G480" s="30" t="n"/>
      <c r="H480" s="29" t="n"/>
      <c r="I480" s="29" t="n"/>
      <c r="J480" s="29" t="n"/>
    </row>
    <row r="481">
      <c r="A481" s="31" t="n"/>
      <c r="B481" s="32" t="n"/>
      <c r="C481" s="32" t="n"/>
      <c r="D481" s="32" t="n"/>
      <c r="E481" s="32" t="n"/>
      <c r="F481" s="32" t="n"/>
      <c r="G481" s="33" t="n"/>
      <c r="H481" s="32" t="n"/>
      <c r="I481" s="32" t="n"/>
      <c r="J481" s="32" t="n"/>
    </row>
    <row r="482">
      <c r="A482" s="28" t="n"/>
      <c r="B482" s="29" t="n"/>
      <c r="C482" s="29" t="n"/>
      <c r="D482" s="29" t="n"/>
      <c r="E482" s="29" t="n"/>
      <c r="F482" s="29" t="n"/>
      <c r="G482" s="30" t="n"/>
      <c r="H482" s="29" t="n"/>
      <c r="I482" s="29" t="n"/>
      <c r="J482" s="29" t="n"/>
    </row>
    <row r="483">
      <c r="A483" s="31" t="n"/>
      <c r="B483" s="32" t="n"/>
      <c r="C483" s="32" t="n"/>
      <c r="D483" s="32" t="n"/>
      <c r="E483" s="32" t="n"/>
      <c r="F483" s="32" t="n"/>
      <c r="G483" s="33" t="n"/>
      <c r="H483" s="32" t="n"/>
      <c r="I483" s="32" t="n"/>
      <c r="J483" s="32" t="n"/>
    </row>
    <row r="484">
      <c r="A484" s="28" t="n"/>
      <c r="B484" s="29" t="n"/>
      <c r="C484" s="29" t="n"/>
      <c r="D484" s="29" t="n"/>
      <c r="E484" s="29" t="n"/>
      <c r="F484" s="29" t="n"/>
      <c r="G484" s="30" t="n"/>
      <c r="H484" s="29" t="n"/>
      <c r="I484" s="29" t="n"/>
      <c r="J484" s="29" t="n"/>
    </row>
    <row r="485">
      <c r="A485" s="31" t="n"/>
      <c r="B485" s="32" t="n"/>
      <c r="C485" s="32" t="n"/>
      <c r="D485" s="32" t="n"/>
      <c r="E485" s="32" t="n"/>
      <c r="F485" s="32" t="n"/>
      <c r="G485" s="33" t="n"/>
      <c r="H485" s="32" t="n"/>
      <c r="I485" s="32" t="n"/>
      <c r="J485" s="32" t="n"/>
    </row>
    <row r="486">
      <c r="A486" s="28" t="n"/>
      <c r="B486" s="29" t="n"/>
      <c r="C486" s="29" t="n"/>
      <c r="D486" s="29" t="n"/>
      <c r="E486" s="29" t="n"/>
      <c r="F486" s="29" t="n"/>
      <c r="G486" s="30" t="n"/>
      <c r="H486" s="29" t="n"/>
      <c r="I486" s="29" t="n"/>
      <c r="J486" s="29" t="n"/>
    </row>
    <row r="487">
      <c r="A487" s="31" t="n"/>
      <c r="B487" s="32" t="n"/>
      <c r="C487" s="32" t="n"/>
      <c r="D487" s="32" t="n"/>
      <c r="E487" s="32" t="n"/>
      <c r="F487" s="32" t="n"/>
      <c r="G487" s="33" t="n"/>
      <c r="H487" s="32" t="n"/>
      <c r="I487" s="32" t="n"/>
      <c r="J487" s="32" t="n"/>
    </row>
    <row r="488">
      <c r="A488" s="28" t="n"/>
      <c r="B488" s="29" t="n"/>
      <c r="C488" s="29" t="n"/>
      <c r="D488" s="29" t="n"/>
      <c r="E488" s="29" t="n"/>
      <c r="F488" s="29" t="n"/>
      <c r="G488" s="30" t="n"/>
      <c r="H488" s="29" t="n"/>
      <c r="I488" s="29" t="n"/>
      <c r="J488" s="29" t="n"/>
    </row>
    <row r="489">
      <c r="A489" s="31" t="n"/>
      <c r="B489" s="32" t="n"/>
      <c r="C489" s="32" t="n"/>
      <c r="D489" s="32" t="n"/>
      <c r="E489" s="32" t="n"/>
      <c r="F489" s="32" t="n"/>
      <c r="G489" s="33" t="n"/>
      <c r="H489" s="32" t="n"/>
      <c r="I489" s="32" t="n"/>
      <c r="J489" s="32" t="n"/>
    </row>
    <row r="490">
      <c r="A490" s="28" t="n"/>
      <c r="B490" s="29" t="n"/>
      <c r="C490" s="29" t="n"/>
      <c r="D490" s="29" t="n"/>
      <c r="E490" s="29" t="n"/>
      <c r="F490" s="29" t="n"/>
      <c r="G490" s="30" t="n"/>
      <c r="H490" s="29" t="n"/>
      <c r="I490" s="29" t="n"/>
      <c r="J490" s="29" t="n"/>
    </row>
    <row r="491">
      <c r="A491" s="31" t="n"/>
      <c r="B491" s="32" t="n"/>
      <c r="C491" s="32" t="n"/>
      <c r="D491" s="32" t="n"/>
      <c r="E491" s="32" t="n"/>
      <c r="F491" s="32" t="n"/>
      <c r="G491" s="33" t="n"/>
      <c r="H491" s="32" t="n"/>
      <c r="I491" s="32" t="n"/>
      <c r="J491" s="32" t="n"/>
    </row>
    <row r="492">
      <c r="A492" s="28" t="n"/>
      <c r="B492" s="29" t="n"/>
      <c r="C492" s="29" t="n"/>
      <c r="D492" s="29" t="n"/>
      <c r="E492" s="29" t="n"/>
      <c r="F492" s="29" t="n"/>
      <c r="G492" s="30" t="n"/>
      <c r="H492" s="29" t="n"/>
      <c r="I492" s="29" t="n"/>
      <c r="J492" s="29" t="n"/>
    </row>
    <row r="493">
      <c r="A493" s="31" t="n"/>
      <c r="B493" s="32" t="n"/>
      <c r="C493" s="32" t="n"/>
      <c r="D493" s="32" t="n"/>
      <c r="E493" s="32" t="n"/>
      <c r="F493" s="32" t="n"/>
      <c r="G493" s="33" t="n"/>
      <c r="H493" s="32" t="n"/>
      <c r="I493" s="32" t="n"/>
      <c r="J493" s="32" t="n"/>
    </row>
    <row r="494">
      <c r="A494" s="28" t="n"/>
      <c r="B494" s="29" t="n"/>
      <c r="C494" s="29" t="n"/>
      <c r="D494" s="29" t="n"/>
      <c r="E494" s="29" t="n"/>
      <c r="F494" s="29" t="n"/>
      <c r="G494" s="30" t="n"/>
      <c r="H494" s="29" t="n"/>
      <c r="I494" s="29" t="n"/>
      <c r="J494" s="29" t="n"/>
    </row>
    <row r="495">
      <c r="A495" s="31" t="n"/>
      <c r="B495" s="32" t="n"/>
      <c r="C495" s="32" t="n"/>
      <c r="D495" s="32" t="n"/>
      <c r="E495" s="32" t="n"/>
      <c r="F495" s="32" t="n"/>
      <c r="G495" s="33" t="n"/>
      <c r="H495" s="32" t="n"/>
      <c r="I495" s="32" t="n"/>
      <c r="J495" s="32" t="n"/>
    </row>
    <row r="496">
      <c r="A496" s="28" t="n"/>
      <c r="B496" s="29" t="n"/>
      <c r="C496" s="29" t="n"/>
      <c r="D496" s="29" t="n"/>
      <c r="E496" s="29" t="n"/>
      <c r="F496" s="29" t="n"/>
      <c r="G496" s="30" t="n"/>
      <c r="H496" s="29" t="n"/>
      <c r="I496" s="29" t="n"/>
      <c r="J496" s="29" t="n"/>
    </row>
    <row r="497">
      <c r="A497" s="31" t="n"/>
      <c r="B497" s="32" t="n"/>
      <c r="C497" s="32" t="n"/>
      <c r="D497" s="32" t="n"/>
      <c r="E497" s="32" t="n"/>
      <c r="F497" s="32" t="n"/>
      <c r="G497" s="33" t="n"/>
      <c r="H497" s="32" t="n"/>
      <c r="I497" s="32" t="n"/>
      <c r="J497" s="32" t="n"/>
    </row>
    <row r="498">
      <c r="A498" s="28" t="n"/>
      <c r="B498" s="29" t="n"/>
      <c r="C498" s="29" t="n"/>
      <c r="D498" s="29" t="n"/>
      <c r="E498" s="29" t="n"/>
      <c r="F498" s="29" t="n"/>
      <c r="G498" s="30" t="n"/>
      <c r="H498" s="29" t="n"/>
      <c r="I498" s="29" t="n"/>
      <c r="J498" s="29" t="n"/>
    </row>
    <row r="499">
      <c r="A499" s="31" t="n"/>
      <c r="B499" s="32" t="n"/>
      <c r="C499" s="32" t="n"/>
      <c r="D499" s="32" t="n"/>
      <c r="E499" s="32" t="n"/>
      <c r="F499" s="32" t="n"/>
      <c r="G499" s="33" t="n"/>
      <c r="H499" s="32" t="n"/>
      <c r="I499" s="32" t="n"/>
      <c r="J499" s="32" t="n"/>
    </row>
    <row r="500">
      <c r="A500" s="28" t="n"/>
      <c r="B500" s="29" t="n"/>
      <c r="C500" s="29" t="n"/>
      <c r="D500" s="29" t="n"/>
      <c r="E500" s="29" t="n"/>
      <c r="F500" s="29" t="n"/>
      <c r="G500" s="30" t="n"/>
      <c r="H500" s="29" t="n"/>
      <c r="I500" s="29" t="n"/>
      <c r="J500" s="29" t="n"/>
    </row>
    <row r="501">
      <c r="A501" s="31" t="n"/>
      <c r="B501" s="32" t="n"/>
      <c r="C501" s="32" t="n"/>
      <c r="D501" s="32" t="n"/>
      <c r="E501" s="32" t="n"/>
      <c r="F501" s="32" t="n"/>
      <c r="G501" s="33" t="n"/>
      <c r="H501" s="32" t="n"/>
      <c r="I501" s="32" t="n"/>
      <c r="J501" s="32" t="n"/>
    </row>
    <row r="502">
      <c r="A502" s="28" t="n"/>
      <c r="B502" s="29" t="n"/>
      <c r="C502" s="29" t="n"/>
      <c r="D502" s="29" t="n"/>
      <c r="E502" s="29" t="n"/>
      <c r="F502" s="29" t="n"/>
      <c r="G502" s="30" t="n"/>
      <c r="H502" s="29" t="n"/>
      <c r="I502" s="29" t="n"/>
      <c r="J502" s="29" t="n"/>
    </row>
    <row r="503">
      <c r="A503" s="31" t="n"/>
      <c r="B503" s="32" t="n"/>
      <c r="C503" s="32" t="n"/>
      <c r="D503" s="32" t="n"/>
      <c r="E503" s="32" t="n"/>
      <c r="F503" s="32" t="n"/>
      <c r="G503" s="33" t="n"/>
      <c r="H503" s="32" t="n"/>
      <c r="I503" s="32" t="n"/>
      <c r="J503" s="32" t="n"/>
    </row>
    <row r="504">
      <c r="A504" s="28" t="n"/>
      <c r="B504" s="29" t="n"/>
      <c r="C504" s="29" t="n"/>
      <c r="D504" s="29" t="n"/>
      <c r="E504" s="29" t="n"/>
      <c r="F504" s="29" t="n"/>
      <c r="G504" s="30" t="n"/>
      <c r="H504" s="29" t="n"/>
      <c r="I504" s="29" t="n"/>
      <c r="J504" s="29" t="n"/>
    </row>
    <row r="505">
      <c r="A505" s="31" t="n"/>
      <c r="B505" s="32" t="n"/>
      <c r="C505" s="32" t="n"/>
      <c r="D505" s="32" t="n"/>
      <c r="E505" s="32" t="n"/>
      <c r="F505" s="32" t="n"/>
      <c r="G505" s="33" t="n"/>
      <c r="H505" s="32" t="n"/>
      <c r="I505" s="32" t="n"/>
      <c r="J505" s="32" t="n"/>
    </row>
    <row r="506">
      <c r="A506" s="28" t="n"/>
      <c r="B506" s="29" t="n"/>
      <c r="C506" s="29" t="n"/>
      <c r="D506" s="29" t="n"/>
      <c r="E506" s="29" t="n"/>
      <c r="F506" s="29" t="n"/>
      <c r="G506" s="30" t="n"/>
      <c r="H506" s="29" t="n"/>
      <c r="I506" s="29" t="n"/>
      <c r="J506" s="29" t="n"/>
    </row>
    <row r="507">
      <c r="A507" s="31" t="n"/>
      <c r="B507" s="32" t="n"/>
      <c r="C507" s="32" t="n"/>
      <c r="D507" s="32" t="n"/>
      <c r="E507" s="32" t="n"/>
      <c r="F507" s="32" t="n"/>
      <c r="G507" s="33" t="n"/>
      <c r="H507" s="32" t="n"/>
      <c r="I507" s="32" t="n"/>
      <c r="J507" s="32" t="n"/>
    </row>
    <row r="508">
      <c r="A508" s="28" t="n"/>
      <c r="B508" s="29" t="n"/>
      <c r="C508" s="29" t="n"/>
      <c r="D508" s="29" t="n"/>
      <c r="E508" s="29" t="n"/>
      <c r="F508" s="29" t="n"/>
      <c r="G508" s="30" t="n"/>
      <c r="H508" s="29" t="n"/>
      <c r="I508" s="29" t="n"/>
      <c r="J508" s="29" t="n"/>
    </row>
    <row r="509">
      <c r="A509" s="31" t="n"/>
      <c r="B509" s="32" t="n"/>
      <c r="C509" s="32" t="n"/>
      <c r="D509" s="32" t="n"/>
      <c r="E509" s="32" t="n"/>
      <c r="F509" s="32" t="n"/>
      <c r="G509" s="33" t="n"/>
      <c r="H509" s="32" t="n"/>
      <c r="I509" s="32" t="n"/>
      <c r="J509" s="32" t="n"/>
    </row>
    <row r="510">
      <c r="A510" s="28" t="n"/>
      <c r="B510" s="29" t="n"/>
      <c r="C510" s="29" t="n"/>
      <c r="D510" s="29" t="n"/>
      <c r="E510" s="29" t="n"/>
      <c r="F510" s="29" t="n"/>
      <c r="G510" s="30" t="n"/>
      <c r="H510" s="29" t="n"/>
      <c r="I510" s="29" t="n"/>
      <c r="J510" s="29" t="n"/>
    </row>
    <row r="511">
      <c r="A511" s="31" t="n"/>
      <c r="B511" s="32" t="n"/>
      <c r="C511" s="32" t="n"/>
      <c r="D511" s="32" t="n"/>
      <c r="E511" s="32" t="n"/>
      <c r="F511" s="32" t="n"/>
      <c r="G511" s="33" t="n"/>
      <c r="H511" s="32" t="n"/>
      <c r="I511" s="32" t="n"/>
      <c r="J511" s="32" t="n"/>
    </row>
    <row r="512">
      <c r="A512" s="28" t="n"/>
      <c r="B512" s="29" t="n"/>
      <c r="C512" s="29" t="n"/>
      <c r="D512" s="29" t="n"/>
      <c r="E512" s="29" t="n"/>
      <c r="F512" s="29" t="n"/>
      <c r="G512" s="30" t="n"/>
      <c r="H512" s="29" t="n"/>
      <c r="I512" s="29" t="n"/>
      <c r="J512" s="29" t="n"/>
    </row>
    <row r="513">
      <c r="A513" s="31" t="n"/>
      <c r="B513" s="32" t="n"/>
      <c r="C513" s="32" t="n"/>
      <c r="D513" s="32" t="n"/>
      <c r="E513" s="32" t="n"/>
      <c r="F513" s="32" t="n"/>
      <c r="G513" s="33" t="n"/>
      <c r="H513" s="32" t="n"/>
      <c r="I513" s="32" t="n"/>
      <c r="J513" s="32" t="n"/>
    </row>
    <row r="514">
      <c r="A514" s="28" t="n"/>
      <c r="B514" s="29" t="n"/>
      <c r="C514" s="29" t="n"/>
      <c r="D514" s="29" t="n"/>
      <c r="E514" s="29" t="n"/>
      <c r="F514" s="29" t="n"/>
      <c r="G514" s="30" t="n"/>
      <c r="H514" s="29" t="n"/>
      <c r="I514" s="29" t="n"/>
      <c r="J514" s="29" t="n"/>
    </row>
    <row r="515">
      <c r="A515" s="31" t="n"/>
      <c r="B515" s="32" t="n"/>
      <c r="C515" s="32" t="n"/>
      <c r="D515" s="32" t="n"/>
      <c r="E515" s="32" t="n"/>
      <c r="F515" s="32" t="n"/>
      <c r="G515" s="33" t="n"/>
      <c r="H515" s="32" t="n"/>
      <c r="I515" s="32" t="n"/>
      <c r="J515" s="32" t="n"/>
    </row>
    <row r="516">
      <c r="A516" s="28" t="n"/>
      <c r="B516" s="29" t="n"/>
      <c r="C516" s="29" t="n"/>
      <c r="D516" s="29" t="n"/>
      <c r="E516" s="29" t="n"/>
      <c r="F516" s="29" t="n"/>
      <c r="G516" s="30" t="n"/>
      <c r="H516" s="29" t="n"/>
      <c r="I516" s="29" t="n"/>
      <c r="J516" s="29" t="n"/>
    </row>
    <row r="517">
      <c r="A517" s="31" t="n"/>
      <c r="B517" s="32" t="n"/>
      <c r="C517" s="32" t="n"/>
      <c r="D517" s="32" t="n"/>
      <c r="E517" s="32" t="n"/>
      <c r="F517" s="32" t="n"/>
      <c r="G517" s="33" t="n"/>
      <c r="H517" s="32" t="n"/>
      <c r="I517" s="32" t="n"/>
      <c r="J517" s="32" t="n"/>
    </row>
    <row r="518">
      <c r="A518" s="28" t="n"/>
      <c r="B518" s="29" t="n"/>
      <c r="C518" s="29" t="n"/>
      <c r="D518" s="29" t="n"/>
      <c r="E518" s="29" t="n"/>
      <c r="F518" s="29" t="n"/>
      <c r="G518" s="30" t="n"/>
      <c r="H518" s="29" t="n"/>
      <c r="I518" s="29" t="n"/>
      <c r="J518" s="29" t="n"/>
    </row>
    <row r="519">
      <c r="A519" s="31" t="n"/>
      <c r="B519" s="32" t="n"/>
      <c r="C519" s="32" t="n"/>
      <c r="D519" s="32" t="n"/>
      <c r="E519" s="32" t="n"/>
      <c r="F519" s="32" t="n"/>
      <c r="G519" s="33" t="n"/>
      <c r="H519" s="32" t="n"/>
      <c r="I519" s="32" t="n"/>
      <c r="J519" s="32" t="n"/>
    </row>
    <row r="520">
      <c r="A520" s="28" t="n"/>
      <c r="B520" s="29" t="n"/>
      <c r="C520" s="29" t="n"/>
      <c r="D520" s="29" t="n"/>
      <c r="E520" s="29" t="n"/>
      <c r="F520" s="29" t="n"/>
      <c r="G520" s="30" t="n"/>
      <c r="H520" s="29" t="n"/>
      <c r="I520" s="29" t="n"/>
      <c r="J520" s="29" t="n"/>
    </row>
    <row r="521">
      <c r="A521" s="31" t="n"/>
      <c r="B521" s="32" t="n"/>
      <c r="C521" s="32" t="n"/>
      <c r="D521" s="32" t="n"/>
      <c r="E521" s="32" t="n"/>
      <c r="F521" s="32" t="n"/>
      <c r="G521" s="33" t="n"/>
      <c r="H521" s="32" t="n"/>
      <c r="I521" s="32" t="n"/>
      <c r="J521" s="32" t="n"/>
    </row>
    <row r="522">
      <c r="A522" s="28" t="n"/>
      <c r="B522" s="29" t="n"/>
      <c r="C522" s="29" t="n"/>
      <c r="D522" s="29" t="n"/>
      <c r="E522" s="29" t="n"/>
      <c r="F522" s="29" t="n"/>
      <c r="G522" s="30" t="n"/>
      <c r="H522" s="29" t="n"/>
      <c r="I522" s="29" t="n"/>
      <c r="J522" s="29" t="n"/>
    </row>
    <row r="523">
      <c r="A523" s="31" t="n"/>
      <c r="B523" s="32" t="n"/>
      <c r="C523" s="32" t="n"/>
      <c r="D523" s="32" t="n"/>
      <c r="E523" s="32" t="n"/>
      <c r="F523" s="32" t="n"/>
      <c r="G523" s="33" t="n"/>
      <c r="H523" s="32" t="n"/>
      <c r="I523" s="32" t="n"/>
      <c r="J523" s="32" t="n"/>
    </row>
    <row r="524">
      <c r="A524" s="28" t="n"/>
      <c r="B524" s="29" t="n"/>
      <c r="C524" s="29" t="n"/>
      <c r="D524" s="29" t="n"/>
      <c r="E524" s="29" t="n"/>
      <c r="F524" s="29" t="n"/>
      <c r="G524" s="30" t="n"/>
      <c r="H524" s="29" t="n"/>
      <c r="I524" s="29" t="n"/>
      <c r="J524" s="29" t="n"/>
    </row>
    <row r="525">
      <c r="A525" s="31" t="n"/>
      <c r="B525" s="32" t="n"/>
      <c r="C525" s="32" t="n"/>
      <c r="D525" s="32" t="n"/>
      <c r="E525" s="32" t="n"/>
      <c r="F525" s="32" t="n"/>
      <c r="G525" s="33" t="n"/>
      <c r="H525" s="32" t="n"/>
      <c r="I525" s="32" t="n"/>
      <c r="J525" s="32" t="n"/>
    </row>
    <row r="526">
      <c r="A526" s="28" t="n"/>
      <c r="B526" s="29" t="n"/>
      <c r="C526" s="29" t="n"/>
      <c r="D526" s="29" t="n"/>
      <c r="E526" s="29" t="n"/>
      <c r="F526" s="29" t="n"/>
      <c r="G526" s="30" t="n"/>
      <c r="H526" s="29" t="n"/>
      <c r="I526" s="29" t="n"/>
      <c r="J526" s="29" t="n"/>
    </row>
    <row r="527">
      <c r="A527" s="31" t="n"/>
      <c r="B527" s="32" t="n"/>
      <c r="C527" s="32" t="n"/>
      <c r="D527" s="32" t="n"/>
      <c r="E527" s="32" t="n"/>
      <c r="F527" s="32" t="n"/>
      <c r="G527" s="33" t="n"/>
      <c r="H527" s="32" t="n"/>
      <c r="I527" s="32" t="n"/>
      <c r="J527" s="32" t="n"/>
    </row>
    <row r="528">
      <c r="A528" s="28" t="n"/>
      <c r="B528" s="29" t="n"/>
      <c r="C528" s="29" t="n"/>
      <c r="D528" s="29" t="n"/>
      <c r="E528" s="29" t="n"/>
      <c r="F528" s="29" t="n"/>
      <c r="G528" s="30" t="n"/>
      <c r="H528" s="29" t="n"/>
      <c r="I528" s="29" t="n"/>
      <c r="J528" s="29" t="n"/>
    </row>
    <row r="529">
      <c r="A529" s="31" t="n"/>
      <c r="B529" s="32" t="n"/>
      <c r="C529" s="32" t="n"/>
      <c r="D529" s="32" t="n"/>
      <c r="E529" s="32" t="n"/>
      <c r="F529" s="32" t="n"/>
      <c r="G529" s="33" t="n"/>
      <c r="H529" s="32" t="n"/>
      <c r="I529" s="32" t="n"/>
      <c r="J529" s="32" t="n"/>
    </row>
    <row r="530">
      <c r="A530" s="28" t="n"/>
      <c r="B530" s="29" t="n"/>
      <c r="C530" s="29" t="n"/>
      <c r="D530" s="29" t="n"/>
      <c r="E530" s="29" t="n"/>
      <c r="F530" s="29" t="n"/>
      <c r="G530" s="30" t="n"/>
      <c r="H530" s="29" t="n"/>
      <c r="I530" s="29" t="n"/>
      <c r="J530" s="29" t="n"/>
    </row>
    <row r="531">
      <c r="A531" s="31" t="n"/>
      <c r="B531" s="32" t="n"/>
      <c r="C531" s="32" t="n"/>
      <c r="D531" s="32" t="n"/>
      <c r="E531" s="32" t="n"/>
      <c r="F531" s="32" t="n"/>
      <c r="G531" s="33" t="n"/>
      <c r="H531" s="32" t="n"/>
      <c r="I531" s="32" t="n"/>
      <c r="J531" s="32" t="n"/>
    </row>
    <row r="532">
      <c r="A532" s="28" t="n"/>
      <c r="B532" s="29" t="n"/>
      <c r="C532" s="29" t="n"/>
      <c r="D532" s="29" t="n"/>
      <c r="E532" s="29" t="n"/>
      <c r="F532" s="29" t="n"/>
      <c r="G532" s="30" t="n"/>
      <c r="H532" s="29" t="n"/>
      <c r="I532" s="29" t="n"/>
      <c r="J532" s="29" t="n"/>
    </row>
    <row r="533">
      <c r="A533" s="31" t="n"/>
      <c r="B533" s="32" t="n"/>
      <c r="C533" s="32" t="n"/>
      <c r="D533" s="32" t="n"/>
      <c r="E533" s="32" t="n"/>
      <c r="F533" s="32" t="n"/>
      <c r="G533" s="33" t="n"/>
      <c r="H533" s="32" t="n"/>
      <c r="I533" s="32" t="n"/>
      <c r="J533" s="32" t="n"/>
    </row>
    <row r="534">
      <c r="A534" s="28" t="n"/>
      <c r="B534" s="29" t="n"/>
      <c r="C534" s="29" t="n"/>
      <c r="D534" s="29" t="n"/>
      <c r="E534" s="29" t="n"/>
      <c r="F534" s="29" t="n"/>
      <c r="G534" s="30" t="n"/>
      <c r="H534" s="29" t="n"/>
      <c r="I534" s="29" t="n"/>
      <c r="J534" s="29" t="n"/>
    </row>
    <row r="535">
      <c r="A535" s="31" t="n"/>
      <c r="B535" s="32" t="n"/>
      <c r="C535" s="32" t="n"/>
      <c r="D535" s="32" t="n"/>
      <c r="E535" s="32" t="n"/>
      <c r="F535" s="32" t="n"/>
      <c r="G535" s="33" t="n"/>
      <c r="H535" s="32" t="n"/>
      <c r="I535" s="32" t="n"/>
      <c r="J535" s="32" t="n"/>
    </row>
    <row r="536">
      <c r="A536" s="28" t="n"/>
      <c r="B536" s="29" t="n"/>
      <c r="C536" s="29" t="n"/>
      <c r="D536" s="29" t="n"/>
      <c r="E536" s="29" t="n"/>
      <c r="F536" s="29" t="n"/>
      <c r="G536" s="30" t="n"/>
      <c r="H536" s="29" t="n"/>
      <c r="I536" s="29" t="n"/>
      <c r="J536" s="29" t="n"/>
    </row>
    <row r="537">
      <c r="A537" s="31" t="n"/>
      <c r="B537" s="32" t="n"/>
      <c r="C537" s="32" t="n"/>
      <c r="D537" s="32" t="n"/>
      <c r="E537" s="32" t="n"/>
      <c r="F537" s="32" t="n"/>
      <c r="G537" s="33" t="n"/>
      <c r="H537" s="32" t="n"/>
      <c r="I537" s="32" t="n"/>
      <c r="J537" s="32" t="n"/>
    </row>
    <row r="538">
      <c r="A538" s="28" t="n"/>
      <c r="B538" s="29" t="n"/>
      <c r="C538" s="29" t="n"/>
      <c r="D538" s="29" t="n"/>
      <c r="E538" s="29" t="n"/>
      <c r="F538" s="29" t="n"/>
      <c r="G538" s="30" t="n"/>
      <c r="H538" s="29" t="n"/>
      <c r="I538" s="29" t="n"/>
      <c r="J538" s="29" t="n"/>
    </row>
    <row r="539">
      <c r="A539" s="31" t="n"/>
      <c r="B539" s="32" t="n"/>
      <c r="C539" s="32" t="n"/>
      <c r="D539" s="32" t="n"/>
      <c r="E539" s="32" t="n"/>
      <c r="F539" s="32" t="n"/>
      <c r="G539" s="33" t="n"/>
      <c r="H539" s="32" t="n"/>
      <c r="I539" s="32" t="n"/>
      <c r="J539" s="32" t="n"/>
    </row>
    <row r="540">
      <c r="A540" s="28" t="n"/>
      <c r="B540" s="29" t="n"/>
      <c r="C540" s="29" t="n"/>
      <c r="D540" s="29" t="n"/>
      <c r="E540" s="29" t="n"/>
      <c r="F540" s="29" t="n"/>
      <c r="G540" s="30" t="n"/>
      <c r="H540" s="29" t="n"/>
      <c r="I540" s="29" t="n"/>
      <c r="J540" s="29" t="n"/>
    </row>
    <row r="541">
      <c r="A541" s="31" t="n"/>
      <c r="B541" s="32" t="n"/>
      <c r="C541" s="32" t="n"/>
      <c r="D541" s="32" t="n"/>
      <c r="E541" s="32" t="n"/>
      <c r="F541" s="32" t="n"/>
      <c r="G541" s="33" t="n"/>
      <c r="H541" s="32" t="n"/>
      <c r="I541" s="32" t="n"/>
      <c r="J541" s="32" t="n"/>
    </row>
    <row r="542">
      <c r="A542" s="28" t="n"/>
      <c r="B542" s="29" t="n"/>
      <c r="C542" s="29" t="n"/>
      <c r="D542" s="29" t="n"/>
      <c r="E542" s="29" t="n"/>
      <c r="F542" s="29" t="n"/>
      <c r="G542" s="30" t="n"/>
      <c r="H542" s="29" t="n"/>
      <c r="I542" s="29" t="n"/>
      <c r="J542" s="29" t="n"/>
    </row>
    <row r="543">
      <c r="A543" s="31" t="n"/>
      <c r="B543" s="32" t="n"/>
      <c r="C543" s="32" t="n"/>
      <c r="D543" s="32" t="n"/>
      <c r="E543" s="32" t="n"/>
      <c r="F543" s="32" t="n"/>
      <c r="G543" s="33" t="n"/>
      <c r="H543" s="32" t="n"/>
      <c r="I543" s="32" t="n"/>
      <c r="J543" s="32" t="n"/>
    </row>
    <row r="544">
      <c r="A544" s="28" t="n"/>
      <c r="B544" s="29" t="n"/>
      <c r="C544" s="29" t="n"/>
      <c r="D544" s="29" t="n"/>
      <c r="E544" s="29" t="n"/>
      <c r="F544" s="29" t="n"/>
      <c r="G544" s="30" t="n"/>
      <c r="H544" s="29" t="n"/>
      <c r="I544" s="29" t="n"/>
      <c r="J544" s="29" t="n"/>
    </row>
    <row r="545">
      <c r="A545" s="31" t="n"/>
      <c r="B545" s="32" t="n"/>
      <c r="C545" s="32" t="n"/>
      <c r="D545" s="32" t="n"/>
      <c r="E545" s="32" t="n"/>
      <c r="F545" s="32" t="n"/>
      <c r="G545" s="33" t="n"/>
      <c r="H545" s="32" t="n"/>
      <c r="I545" s="32" t="n"/>
      <c r="J545" s="32" t="n"/>
    </row>
    <row r="546">
      <c r="A546" s="28" t="n"/>
      <c r="B546" s="29" t="n"/>
      <c r="C546" s="29" t="n"/>
      <c r="D546" s="29" t="n"/>
      <c r="E546" s="29" t="n"/>
      <c r="F546" s="29" t="n"/>
      <c r="G546" s="30" t="n"/>
      <c r="H546" s="29" t="n"/>
      <c r="I546" s="29" t="n"/>
      <c r="J546" s="29" t="n"/>
    </row>
    <row r="547">
      <c r="A547" s="31" t="n"/>
      <c r="B547" s="32" t="n"/>
      <c r="C547" s="32" t="n"/>
      <c r="D547" s="32" t="n"/>
      <c r="E547" s="32" t="n"/>
      <c r="F547" s="32" t="n"/>
      <c r="G547" s="33" t="n"/>
      <c r="H547" s="32" t="n"/>
      <c r="I547" s="32" t="n"/>
      <c r="J547" s="32" t="n"/>
    </row>
    <row r="548">
      <c r="A548" s="28" t="n"/>
      <c r="B548" s="29" t="n"/>
      <c r="C548" s="29" t="n"/>
      <c r="D548" s="29" t="n"/>
      <c r="E548" s="29" t="n"/>
      <c r="F548" s="29" t="n"/>
      <c r="G548" s="30" t="n"/>
      <c r="H548" s="29" t="n"/>
      <c r="I548" s="29" t="n"/>
      <c r="J548" s="29" t="n"/>
    </row>
    <row r="549">
      <c r="A549" s="31" t="n"/>
      <c r="B549" s="32" t="n"/>
      <c r="C549" s="32" t="n"/>
      <c r="D549" s="32" t="n"/>
      <c r="E549" s="32" t="n"/>
      <c r="F549" s="32" t="n"/>
      <c r="G549" s="33" t="n"/>
      <c r="H549" s="32" t="n"/>
      <c r="I549" s="32" t="n"/>
      <c r="J549" s="32" t="n"/>
    </row>
    <row r="550">
      <c r="A550" s="28" t="n"/>
      <c r="B550" s="29" t="n"/>
      <c r="C550" s="29" t="n"/>
      <c r="D550" s="29" t="n"/>
      <c r="E550" s="29" t="n"/>
      <c r="F550" s="29" t="n"/>
      <c r="G550" s="30" t="n"/>
      <c r="H550" s="29" t="n"/>
      <c r="I550" s="29" t="n"/>
      <c r="J550" s="29" t="n"/>
    </row>
    <row r="551">
      <c r="A551" s="31" t="n"/>
      <c r="B551" s="32" t="n"/>
      <c r="C551" s="32" t="n"/>
      <c r="D551" s="32" t="n"/>
      <c r="E551" s="32" t="n"/>
      <c r="F551" s="32" t="n"/>
      <c r="G551" s="33" t="n"/>
      <c r="H551" s="32" t="n"/>
      <c r="I551" s="32" t="n"/>
      <c r="J551" s="32" t="n"/>
    </row>
    <row r="552">
      <c r="A552" s="28" t="n"/>
      <c r="B552" s="29" t="n"/>
      <c r="C552" s="29" t="n"/>
      <c r="D552" s="29" t="n"/>
      <c r="E552" s="29" t="n"/>
      <c r="F552" s="29" t="n"/>
      <c r="G552" s="30" t="n"/>
      <c r="H552" s="29" t="n"/>
      <c r="I552" s="29" t="n"/>
      <c r="J552" s="29" t="n"/>
    </row>
    <row r="553">
      <c r="A553" s="31" t="n"/>
      <c r="B553" s="32" t="n"/>
      <c r="C553" s="32" t="n"/>
      <c r="D553" s="32" t="n"/>
      <c r="E553" s="32" t="n"/>
      <c r="F553" s="32" t="n"/>
      <c r="G553" s="33" t="n"/>
      <c r="H553" s="32" t="n"/>
      <c r="I553" s="32" t="n"/>
      <c r="J553" s="32" t="n"/>
    </row>
    <row r="554">
      <c r="A554" s="28" t="n"/>
      <c r="B554" s="29" t="n"/>
      <c r="C554" s="29" t="n"/>
      <c r="D554" s="29" t="n"/>
      <c r="E554" s="29" t="n"/>
      <c r="F554" s="29" t="n"/>
      <c r="G554" s="30" t="n"/>
      <c r="H554" s="29" t="n"/>
      <c r="I554" s="29" t="n"/>
      <c r="J554" s="29" t="n"/>
    </row>
    <row r="555">
      <c r="A555" s="31" t="n"/>
      <c r="B555" s="32" t="n"/>
      <c r="C555" s="32" t="n"/>
      <c r="D555" s="32" t="n"/>
      <c r="E555" s="32" t="n"/>
      <c r="F555" s="32" t="n"/>
      <c r="G555" s="33" t="n"/>
      <c r="H555" s="32" t="n"/>
      <c r="I555" s="32" t="n"/>
      <c r="J555" s="32" t="n"/>
    </row>
    <row r="556">
      <c r="A556" s="28" t="n"/>
      <c r="B556" s="29" t="n"/>
      <c r="C556" s="29" t="n"/>
      <c r="D556" s="29" t="n"/>
      <c r="E556" s="29" t="n"/>
      <c r="F556" s="29" t="n"/>
      <c r="G556" s="30" t="n"/>
      <c r="H556" s="29" t="n"/>
      <c r="I556" s="29" t="n"/>
      <c r="J556" s="29" t="n"/>
    </row>
    <row r="557">
      <c r="A557" s="31" t="n"/>
      <c r="B557" s="32" t="n"/>
      <c r="C557" s="32" t="n"/>
      <c r="D557" s="32" t="n"/>
      <c r="E557" s="32" t="n"/>
      <c r="F557" s="32" t="n"/>
      <c r="G557" s="33" t="n"/>
      <c r="H557" s="32" t="n"/>
      <c r="I557" s="32" t="n"/>
      <c r="J557" s="32" t="n"/>
    </row>
    <row r="558">
      <c r="A558" s="28" t="n"/>
      <c r="B558" s="29" t="n"/>
      <c r="C558" s="29" t="n"/>
      <c r="D558" s="29" t="n"/>
      <c r="E558" s="29" t="n"/>
      <c r="F558" s="29" t="n"/>
      <c r="G558" s="30" t="n"/>
      <c r="H558" s="29" t="n"/>
      <c r="I558" s="29" t="n"/>
      <c r="J558" s="29" t="n"/>
    </row>
    <row r="559">
      <c r="A559" s="31" t="n"/>
      <c r="B559" s="32" t="n"/>
      <c r="C559" s="32" t="n"/>
      <c r="D559" s="32" t="n"/>
      <c r="E559" s="32" t="n"/>
      <c r="F559" s="32" t="n"/>
      <c r="G559" s="33" t="n"/>
      <c r="H559" s="32" t="n"/>
      <c r="I559" s="32" t="n"/>
      <c r="J559" s="32" t="n"/>
    </row>
    <row r="560">
      <c r="A560" s="28" t="n"/>
      <c r="B560" s="29" t="n"/>
      <c r="C560" s="29" t="n"/>
      <c r="D560" s="29" t="n"/>
      <c r="E560" s="29" t="n"/>
      <c r="F560" s="29" t="n"/>
      <c r="G560" s="30" t="n"/>
      <c r="H560" s="29" t="n"/>
      <c r="I560" s="29" t="n"/>
      <c r="J560" s="29" t="n"/>
    </row>
    <row r="561">
      <c r="A561" s="31" t="n"/>
      <c r="B561" s="32" t="n"/>
      <c r="C561" s="32" t="n"/>
      <c r="D561" s="32" t="n"/>
      <c r="E561" s="32" t="n"/>
      <c r="F561" s="32" t="n"/>
      <c r="G561" s="33" t="n"/>
      <c r="H561" s="32" t="n"/>
      <c r="I561" s="32" t="n"/>
      <c r="J561" s="32" t="n"/>
    </row>
    <row r="562">
      <c r="A562" s="28" t="n"/>
      <c r="B562" s="29" t="n"/>
      <c r="C562" s="29" t="n"/>
      <c r="D562" s="29" t="n"/>
      <c r="E562" s="29" t="n"/>
      <c r="F562" s="29" t="n"/>
      <c r="G562" s="30" t="n"/>
      <c r="H562" s="29" t="n"/>
      <c r="I562" s="29" t="n"/>
      <c r="J562" s="29" t="n"/>
    </row>
    <row r="563">
      <c r="A563" s="31" t="n"/>
      <c r="B563" s="32" t="n"/>
      <c r="C563" s="32" t="n"/>
      <c r="D563" s="32" t="n"/>
      <c r="E563" s="32" t="n"/>
      <c r="F563" s="32" t="n"/>
      <c r="G563" s="33" t="n"/>
      <c r="H563" s="32" t="n"/>
      <c r="I563" s="32" t="n"/>
      <c r="J563" s="32" t="n"/>
    </row>
    <row r="564">
      <c r="A564" s="28" t="n"/>
      <c r="B564" s="29" t="n"/>
      <c r="C564" s="29" t="n"/>
      <c r="D564" s="29" t="n"/>
      <c r="E564" s="29" t="n"/>
      <c r="F564" s="29" t="n"/>
      <c r="G564" s="30" t="n"/>
      <c r="H564" s="29" t="n"/>
      <c r="I564" s="29" t="n"/>
      <c r="J564" s="29" t="n"/>
    </row>
    <row r="565">
      <c r="A565" s="31" t="n"/>
      <c r="B565" s="32" t="n"/>
      <c r="C565" s="32" t="n"/>
      <c r="D565" s="32" t="n"/>
      <c r="E565" s="32" t="n"/>
      <c r="F565" s="32" t="n"/>
      <c r="G565" s="33" t="n"/>
      <c r="H565" s="32" t="n"/>
      <c r="I565" s="32" t="n"/>
      <c r="J565" s="32" t="n"/>
    </row>
    <row r="566">
      <c r="A566" s="28" t="n"/>
      <c r="B566" s="29" t="n"/>
      <c r="C566" s="29" t="n"/>
      <c r="D566" s="29" t="n"/>
      <c r="E566" s="29" t="n"/>
      <c r="F566" s="29" t="n"/>
      <c r="G566" s="30" t="n"/>
      <c r="H566" s="29" t="n"/>
      <c r="I566" s="29" t="n"/>
      <c r="J566" s="29" t="n"/>
    </row>
    <row r="567">
      <c r="A567" s="31" t="n"/>
      <c r="B567" s="32" t="n"/>
      <c r="C567" s="32" t="n"/>
      <c r="D567" s="32" t="n"/>
      <c r="E567" s="32" t="n"/>
      <c r="F567" s="32" t="n"/>
      <c r="G567" s="33" t="n"/>
      <c r="H567" s="32" t="n"/>
      <c r="I567" s="32" t="n"/>
      <c r="J567" s="32" t="n"/>
    </row>
    <row r="568">
      <c r="A568" s="28" t="n"/>
      <c r="B568" s="29" t="n"/>
      <c r="C568" s="29" t="n"/>
      <c r="D568" s="29" t="n"/>
      <c r="E568" s="29" t="n"/>
      <c r="F568" s="29" t="n"/>
      <c r="G568" s="30" t="n"/>
      <c r="H568" s="29" t="n"/>
      <c r="I568" s="29" t="n"/>
      <c r="J568" s="29" t="n"/>
    </row>
    <row r="569">
      <c r="A569" s="31" t="n"/>
      <c r="B569" s="32" t="n"/>
      <c r="C569" s="32" t="n"/>
      <c r="D569" s="32" t="n"/>
      <c r="E569" s="32" t="n"/>
      <c r="F569" s="32" t="n"/>
      <c r="G569" s="33" t="n"/>
      <c r="H569" s="32" t="n"/>
      <c r="I569" s="32" t="n"/>
      <c r="J569" s="32" t="n"/>
    </row>
    <row r="570">
      <c r="A570" s="28" t="n"/>
      <c r="B570" s="29" t="n"/>
      <c r="C570" s="29" t="n"/>
      <c r="D570" s="29" t="n"/>
      <c r="E570" s="29" t="n"/>
      <c r="F570" s="29" t="n"/>
      <c r="G570" s="30" t="n"/>
      <c r="H570" s="29" t="n"/>
      <c r="I570" s="29" t="n"/>
      <c r="J570" s="29" t="n"/>
    </row>
    <row r="571">
      <c r="A571" s="31" t="n"/>
      <c r="B571" s="32" t="n"/>
      <c r="C571" s="32" t="n"/>
      <c r="D571" s="32" t="n"/>
      <c r="E571" s="32" t="n"/>
      <c r="F571" s="32" t="n"/>
      <c r="G571" s="33" t="n"/>
      <c r="H571" s="32" t="n"/>
      <c r="I571" s="32" t="n"/>
      <c r="J571" s="32" t="n"/>
    </row>
    <row r="572">
      <c r="A572" s="28" t="n"/>
      <c r="B572" s="29" t="n"/>
      <c r="C572" s="29" t="n"/>
      <c r="D572" s="29" t="n"/>
      <c r="E572" s="29" t="n"/>
      <c r="F572" s="29" t="n"/>
      <c r="G572" s="30" t="n"/>
      <c r="H572" s="29" t="n"/>
      <c r="I572" s="29" t="n"/>
      <c r="J572" s="29" t="n"/>
    </row>
    <row r="573">
      <c r="A573" s="31" t="n"/>
      <c r="B573" s="32" t="n"/>
      <c r="C573" s="32" t="n"/>
      <c r="D573" s="32" t="n"/>
      <c r="E573" s="32" t="n"/>
      <c r="F573" s="32" t="n"/>
      <c r="G573" s="33" t="n"/>
      <c r="H573" s="32" t="n"/>
      <c r="I573" s="32" t="n"/>
      <c r="J573" s="32" t="n"/>
    </row>
    <row r="574">
      <c r="A574" s="28" t="n"/>
      <c r="B574" s="29" t="n"/>
      <c r="C574" s="29" t="n"/>
      <c r="D574" s="29" t="n"/>
      <c r="E574" s="29" t="n"/>
      <c r="F574" s="29" t="n"/>
      <c r="G574" s="30" t="n"/>
      <c r="H574" s="29" t="n"/>
      <c r="I574" s="29" t="n"/>
      <c r="J574" s="29" t="n"/>
    </row>
    <row r="575">
      <c r="A575" s="31" t="n"/>
      <c r="B575" s="32" t="n"/>
      <c r="C575" s="32" t="n"/>
      <c r="D575" s="32" t="n"/>
      <c r="E575" s="32" t="n"/>
      <c r="F575" s="32" t="n"/>
      <c r="G575" s="33" t="n"/>
      <c r="H575" s="32" t="n"/>
      <c r="I575" s="32" t="n"/>
      <c r="J575" s="32" t="n"/>
    </row>
    <row r="576">
      <c r="A576" s="28" t="n"/>
      <c r="B576" s="29" t="n"/>
      <c r="C576" s="29" t="n"/>
      <c r="D576" s="29" t="n"/>
      <c r="E576" s="29" t="n"/>
      <c r="F576" s="29" t="n"/>
      <c r="G576" s="30" t="n"/>
      <c r="H576" s="29" t="n"/>
      <c r="I576" s="29" t="n"/>
      <c r="J576" s="29" t="n"/>
    </row>
    <row r="577">
      <c r="A577" s="31" t="n"/>
      <c r="B577" s="32" t="n"/>
      <c r="C577" s="32" t="n"/>
      <c r="D577" s="32" t="n"/>
      <c r="E577" s="32" t="n"/>
      <c r="F577" s="32" t="n"/>
      <c r="G577" s="33" t="n"/>
      <c r="H577" s="32" t="n"/>
      <c r="I577" s="32" t="n"/>
      <c r="J577" s="32" t="n"/>
    </row>
    <row r="578">
      <c r="A578" s="28" t="n"/>
      <c r="B578" s="29" t="n"/>
      <c r="C578" s="29" t="n"/>
      <c r="D578" s="29" t="n"/>
      <c r="E578" s="29" t="n"/>
      <c r="F578" s="29" t="n"/>
      <c r="G578" s="30" t="n"/>
      <c r="H578" s="29" t="n"/>
      <c r="I578" s="29" t="n"/>
      <c r="J578" s="29" t="n"/>
    </row>
    <row r="579">
      <c r="A579" s="31" t="n"/>
      <c r="B579" s="32" t="n"/>
      <c r="C579" s="32" t="n"/>
      <c r="D579" s="32" t="n"/>
      <c r="E579" s="32" t="n"/>
      <c r="F579" s="32" t="n"/>
      <c r="G579" s="33" t="n"/>
      <c r="H579" s="32" t="n"/>
      <c r="I579" s="32" t="n"/>
      <c r="J579" s="32" t="n"/>
    </row>
    <row r="580">
      <c r="A580" s="28" t="n"/>
      <c r="B580" s="29" t="n"/>
      <c r="C580" s="29" t="n"/>
      <c r="D580" s="29" t="n"/>
      <c r="E580" s="29" t="n"/>
      <c r="F580" s="29" t="n"/>
      <c r="G580" s="30" t="n"/>
      <c r="H580" s="29" t="n"/>
      <c r="I580" s="29" t="n"/>
      <c r="J580" s="29" t="n"/>
    </row>
    <row r="581">
      <c r="A581" s="31" t="n"/>
      <c r="B581" s="32" t="n"/>
      <c r="C581" s="32" t="n"/>
      <c r="D581" s="32" t="n"/>
      <c r="E581" s="32" t="n"/>
      <c r="F581" s="32" t="n"/>
      <c r="G581" s="33" t="n"/>
      <c r="H581" s="32" t="n"/>
      <c r="I581" s="32" t="n"/>
      <c r="J581" s="32" t="n"/>
    </row>
    <row r="582">
      <c r="A582" s="28" t="n"/>
      <c r="B582" s="29" t="n"/>
      <c r="C582" s="29" t="n"/>
      <c r="D582" s="29" t="n"/>
      <c r="E582" s="29" t="n"/>
      <c r="F582" s="29" t="n"/>
      <c r="G582" s="30" t="n"/>
      <c r="H582" s="29" t="n"/>
      <c r="I582" s="29" t="n"/>
      <c r="J582" s="29" t="n"/>
    </row>
    <row r="583">
      <c r="A583" s="31" t="n"/>
      <c r="B583" s="32" t="n"/>
      <c r="C583" s="32" t="n"/>
      <c r="D583" s="32" t="n"/>
      <c r="E583" s="32" t="n"/>
      <c r="F583" s="32" t="n"/>
      <c r="G583" s="33" t="n"/>
      <c r="H583" s="32" t="n"/>
      <c r="I583" s="32" t="n"/>
      <c r="J583" s="32" t="n"/>
    </row>
    <row r="584">
      <c r="A584" s="28" t="n"/>
      <c r="B584" s="29" t="n"/>
      <c r="C584" s="29" t="n"/>
      <c r="D584" s="29" t="n"/>
      <c r="E584" s="29" t="n"/>
      <c r="F584" s="29" t="n"/>
      <c r="G584" s="30" t="n"/>
      <c r="H584" s="29" t="n"/>
      <c r="I584" s="29" t="n"/>
      <c r="J584" s="29" t="n"/>
    </row>
    <row r="585">
      <c r="A585" s="31" t="n"/>
      <c r="B585" s="32" t="n"/>
      <c r="C585" s="32" t="n"/>
      <c r="D585" s="32" t="n"/>
      <c r="E585" s="32" t="n"/>
      <c r="F585" s="32" t="n"/>
      <c r="G585" s="33" t="n"/>
      <c r="H585" s="32" t="n"/>
      <c r="I585" s="32" t="n"/>
      <c r="J585" s="32" t="n"/>
    </row>
    <row r="586">
      <c r="A586" s="28" t="n"/>
      <c r="B586" s="29" t="n"/>
      <c r="C586" s="29" t="n"/>
      <c r="D586" s="29" t="n"/>
      <c r="E586" s="29" t="n"/>
      <c r="F586" s="29" t="n"/>
      <c r="G586" s="30" t="n"/>
      <c r="H586" s="29" t="n"/>
      <c r="I586" s="29" t="n"/>
      <c r="J586" s="29" t="n"/>
    </row>
    <row r="587">
      <c r="A587" s="31" t="n"/>
      <c r="B587" s="32" t="n"/>
      <c r="C587" s="32" t="n"/>
      <c r="D587" s="32" t="n"/>
      <c r="E587" s="32" t="n"/>
      <c r="F587" s="32" t="n"/>
      <c r="G587" s="33" t="n"/>
      <c r="H587" s="32" t="n"/>
      <c r="I587" s="32" t="n"/>
      <c r="J587" s="32" t="n"/>
    </row>
    <row r="588">
      <c r="A588" s="28" t="n"/>
      <c r="B588" s="29" t="n"/>
      <c r="C588" s="29" t="n"/>
      <c r="D588" s="29" t="n"/>
      <c r="E588" s="29" t="n"/>
      <c r="F588" s="29" t="n"/>
      <c r="G588" s="30" t="n"/>
      <c r="H588" s="29" t="n"/>
      <c r="I588" s="29" t="n"/>
      <c r="J588" s="29" t="n"/>
    </row>
    <row r="589">
      <c r="A589" s="31" t="n"/>
      <c r="B589" s="32" t="n"/>
      <c r="C589" s="32" t="n"/>
      <c r="D589" s="32" t="n"/>
      <c r="E589" s="32" t="n"/>
      <c r="F589" s="32" t="n"/>
      <c r="G589" s="33" t="n"/>
      <c r="H589" s="32" t="n"/>
      <c r="I589" s="32" t="n"/>
      <c r="J589" s="32" t="n"/>
    </row>
    <row r="590">
      <c r="A590" s="28" t="n"/>
      <c r="B590" s="29" t="n"/>
      <c r="C590" s="29" t="n"/>
      <c r="D590" s="29" t="n"/>
      <c r="E590" s="29" t="n"/>
      <c r="F590" s="29" t="n"/>
      <c r="G590" s="30" t="n"/>
      <c r="H590" s="29" t="n"/>
      <c r="I590" s="29" t="n"/>
      <c r="J590" s="29" t="n"/>
    </row>
    <row r="591">
      <c r="A591" s="31" t="n"/>
      <c r="B591" s="32" t="n"/>
      <c r="C591" s="32" t="n"/>
      <c r="D591" s="32" t="n"/>
      <c r="E591" s="32" t="n"/>
      <c r="F591" s="32" t="n"/>
      <c r="G591" s="33" t="n"/>
      <c r="H591" s="32" t="n"/>
      <c r="I591" s="32" t="n"/>
      <c r="J591" s="32" t="n"/>
    </row>
    <row r="592">
      <c r="A592" s="28" t="n"/>
      <c r="B592" s="29" t="n"/>
      <c r="C592" s="29" t="n"/>
      <c r="D592" s="29" t="n"/>
      <c r="E592" s="29" t="n"/>
      <c r="F592" s="29" t="n"/>
      <c r="G592" s="30" t="n"/>
      <c r="H592" s="29" t="n"/>
      <c r="I592" s="29" t="n"/>
      <c r="J592" s="29" t="n"/>
    </row>
    <row r="593">
      <c r="A593" s="31" t="n"/>
      <c r="B593" s="32" t="n"/>
      <c r="C593" s="32" t="n"/>
      <c r="D593" s="32" t="n"/>
      <c r="E593" s="32" t="n"/>
      <c r="F593" s="32" t="n"/>
      <c r="G593" s="33" t="n"/>
      <c r="H593" s="32" t="n"/>
      <c r="I593" s="32" t="n"/>
      <c r="J593" s="32" t="n"/>
    </row>
    <row r="594">
      <c r="A594" s="28" t="n"/>
      <c r="B594" s="29" t="n"/>
      <c r="C594" s="29" t="n"/>
      <c r="D594" s="29" t="n"/>
      <c r="E594" s="29" t="n"/>
      <c r="F594" s="29" t="n"/>
      <c r="G594" s="30" t="n"/>
      <c r="H594" s="29" t="n"/>
      <c r="I594" s="29" t="n"/>
      <c r="J594" s="29" t="n"/>
    </row>
    <row r="595">
      <c r="A595" s="31" t="n"/>
      <c r="B595" s="32" t="n"/>
      <c r="C595" s="32" t="n"/>
      <c r="D595" s="32" t="n"/>
      <c r="E595" s="32" t="n"/>
      <c r="F595" s="32" t="n"/>
      <c r="G595" s="33" t="n"/>
      <c r="H595" s="32" t="n"/>
      <c r="I595" s="32" t="n"/>
      <c r="J595" s="32" t="n"/>
    </row>
    <row r="596">
      <c r="A596" s="28" t="n"/>
      <c r="B596" s="29" t="n"/>
      <c r="C596" s="29" t="n"/>
      <c r="D596" s="29" t="n"/>
      <c r="E596" s="29" t="n"/>
      <c r="F596" s="29" t="n"/>
      <c r="G596" s="30" t="n"/>
      <c r="H596" s="29" t="n"/>
      <c r="I596" s="29" t="n"/>
      <c r="J596" s="29" t="n"/>
    </row>
    <row r="597">
      <c r="A597" s="31" t="n"/>
      <c r="B597" s="32" t="n"/>
      <c r="C597" s="32" t="n"/>
      <c r="D597" s="32" t="n"/>
      <c r="E597" s="32" t="n"/>
      <c r="F597" s="32" t="n"/>
      <c r="G597" s="33" t="n"/>
      <c r="H597" s="32" t="n"/>
      <c r="I597" s="32" t="n"/>
      <c r="J597" s="32" t="n"/>
    </row>
    <row r="598">
      <c r="A598" s="28" t="n"/>
      <c r="B598" s="29" t="n"/>
      <c r="C598" s="29" t="n"/>
      <c r="D598" s="29" t="n"/>
      <c r="E598" s="29" t="n"/>
      <c r="F598" s="29" t="n"/>
      <c r="G598" s="30" t="n"/>
      <c r="H598" s="29" t="n"/>
      <c r="I598" s="29" t="n"/>
      <c r="J598" s="29" t="n"/>
    </row>
    <row r="599">
      <c r="A599" s="31" t="n"/>
      <c r="B599" s="32" t="n"/>
      <c r="C599" s="32" t="n"/>
      <c r="D599" s="32" t="n"/>
      <c r="E599" s="32" t="n"/>
      <c r="F599" s="32" t="n"/>
      <c r="G599" s="33" t="n"/>
      <c r="H599" s="32" t="n"/>
      <c r="I599" s="32" t="n"/>
      <c r="J599" s="32" t="n"/>
    </row>
    <row r="600">
      <c r="A600" s="28" t="n"/>
      <c r="B600" s="29" t="n"/>
      <c r="C600" s="29" t="n"/>
      <c r="D600" s="29" t="n"/>
      <c r="E600" s="29" t="n"/>
      <c r="F600" s="29" t="n"/>
      <c r="G600" s="30" t="n"/>
      <c r="H600" s="29" t="n"/>
      <c r="I600" s="29" t="n"/>
      <c r="J600" s="29" t="n"/>
    </row>
    <row r="601">
      <c r="A601" s="31" t="n"/>
      <c r="B601" s="32" t="n"/>
      <c r="C601" s="32" t="n"/>
      <c r="D601" s="32" t="n"/>
      <c r="E601" s="32" t="n"/>
      <c r="F601" s="32" t="n"/>
      <c r="G601" s="33" t="n"/>
      <c r="H601" s="32" t="n"/>
      <c r="I601" s="32" t="n"/>
      <c r="J601" s="32" t="n"/>
    </row>
    <row r="602">
      <c r="A602" s="28" t="n"/>
      <c r="B602" s="29" t="n"/>
      <c r="C602" s="29" t="n"/>
      <c r="D602" s="29" t="n"/>
      <c r="E602" s="29" t="n"/>
      <c r="F602" s="29" t="n"/>
      <c r="G602" s="30" t="n"/>
      <c r="H602" s="29" t="n"/>
      <c r="I602" s="29" t="n"/>
      <c r="J602" s="29" t="n"/>
    </row>
    <row r="603">
      <c r="A603" s="31" t="n"/>
      <c r="B603" s="32" t="n"/>
      <c r="C603" s="32" t="n"/>
      <c r="D603" s="32" t="n"/>
      <c r="E603" s="32" t="n"/>
      <c r="F603" s="32" t="n"/>
      <c r="G603" s="33" t="n"/>
      <c r="H603" s="32" t="n"/>
      <c r="I603" s="32" t="n"/>
      <c r="J603" s="32" t="n"/>
    </row>
    <row r="604">
      <c r="A604" s="28" t="n"/>
      <c r="B604" s="29" t="n"/>
      <c r="C604" s="29" t="n"/>
      <c r="D604" s="29" t="n"/>
      <c r="E604" s="29" t="n"/>
      <c r="F604" s="29" t="n"/>
      <c r="G604" s="30" t="n"/>
      <c r="H604" s="29" t="n"/>
      <c r="I604" s="29" t="n"/>
      <c r="J604" s="29" t="n"/>
    </row>
    <row r="605">
      <c r="A605" s="31" t="n"/>
      <c r="B605" s="32" t="n"/>
      <c r="C605" s="32" t="n"/>
      <c r="D605" s="32" t="n"/>
      <c r="E605" s="32" t="n"/>
      <c r="F605" s="32" t="n"/>
      <c r="G605" s="33" t="n"/>
      <c r="H605" s="32" t="n"/>
      <c r="I605" s="32" t="n"/>
      <c r="J605" s="32" t="n"/>
    </row>
    <row r="606">
      <c r="A606" s="28" t="n"/>
      <c r="B606" s="29" t="n"/>
      <c r="C606" s="29" t="n"/>
      <c r="D606" s="29" t="n"/>
      <c r="E606" s="29" t="n"/>
      <c r="F606" s="29" t="n"/>
      <c r="G606" s="30" t="n"/>
      <c r="H606" s="29" t="n"/>
      <c r="I606" s="29" t="n"/>
      <c r="J606" s="29" t="n"/>
    </row>
    <row r="607">
      <c r="A607" s="31" t="n"/>
      <c r="B607" s="32" t="n"/>
      <c r="C607" s="32" t="n"/>
      <c r="D607" s="32" t="n"/>
      <c r="E607" s="32" t="n"/>
      <c r="F607" s="32" t="n"/>
      <c r="G607" s="33" t="n"/>
      <c r="H607" s="32" t="n"/>
      <c r="I607" s="32" t="n"/>
      <c r="J607" s="32" t="n"/>
    </row>
    <row r="608">
      <c r="A608" s="28" t="n"/>
      <c r="B608" s="29" t="n"/>
      <c r="C608" s="29" t="n"/>
      <c r="D608" s="29" t="n"/>
      <c r="E608" s="29" t="n"/>
      <c r="F608" s="29" t="n"/>
      <c r="G608" s="30" t="n"/>
      <c r="H608" s="29" t="n"/>
      <c r="I608" s="29" t="n"/>
      <c r="J608" s="29" t="n"/>
    </row>
    <row r="609">
      <c r="A609" s="31" t="n"/>
      <c r="B609" s="32" t="n"/>
      <c r="C609" s="32" t="n"/>
      <c r="D609" s="32" t="n"/>
      <c r="E609" s="32" t="n"/>
      <c r="F609" s="32" t="n"/>
      <c r="G609" s="33" t="n"/>
      <c r="H609" s="32" t="n"/>
      <c r="I609" s="32" t="n"/>
      <c r="J609" s="32" t="n"/>
    </row>
    <row r="610">
      <c r="A610" s="28" t="n"/>
      <c r="B610" s="29" t="n"/>
      <c r="C610" s="29" t="n"/>
      <c r="D610" s="29" t="n"/>
      <c r="E610" s="29" t="n"/>
      <c r="F610" s="29" t="n"/>
      <c r="G610" s="30" t="n"/>
      <c r="H610" s="29" t="n"/>
      <c r="I610" s="29" t="n"/>
      <c r="J610" s="29" t="n"/>
    </row>
    <row r="611">
      <c r="A611" s="31" t="n"/>
      <c r="B611" s="32" t="n"/>
      <c r="C611" s="32" t="n"/>
      <c r="D611" s="32" t="n"/>
      <c r="E611" s="32" t="n"/>
      <c r="F611" s="32" t="n"/>
      <c r="G611" s="33" t="n"/>
      <c r="H611" s="32" t="n"/>
      <c r="I611" s="32" t="n"/>
      <c r="J611" s="32" t="n"/>
    </row>
    <row r="612">
      <c r="A612" s="28" t="n"/>
      <c r="B612" s="29" t="n"/>
      <c r="C612" s="29" t="n"/>
      <c r="D612" s="29" t="n"/>
      <c r="E612" s="29" t="n"/>
      <c r="F612" s="29" t="n"/>
      <c r="G612" s="30" t="n"/>
      <c r="H612" s="29" t="n"/>
      <c r="I612" s="29" t="n"/>
      <c r="J612" s="29" t="n"/>
    </row>
    <row r="613">
      <c r="A613" s="31" t="n"/>
      <c r="B613" s="32" t="n"/>
      <c r="C613" s="32" t="n"/>
      <c r="D613" s="32" t="n"/>
      <c r="E613" s="32" t="n"/>
      <c r="F613" s="32" t="n"/>
      <c r="G613" s="33" t="n"/>
      <c r="H613" s="32" t="n"/>
      <c r="I613" s="32" t="n"/>
      <c r="J613" s="32" t="n"/>
    </row>
    <row r="614">
      <c r="A614" s="28" t="n"/>
      <c r="B614" s="29" t="n"/>
      <c r="C614" s="29" t="n"/>
      <c r="D614" s="29" t="n"/>
      <c r="E614" s="29" t="n"/>
      <c r="F614" s="29" t="n"/>
      <c r="G614" s="30" t="n"/>
      <c r="H614" s="29" t="n"/>
      <c r="I614" s="29" t="n"/>
      <c r="J614" s="29" t="n"/>
    </row>
    <row r="615">
      <c r="A615" s="31" t="n"/>
      <c r="B615" s="32" t="n"/>
      <c r="C615" s="32" t="n"/>
      <c r="D615" s="32" t="n"/>
      <c r="E615" s="32" t="n"/>
      <c r="F615" s="32" t="n"/>
      <c r="G615" s="33" t="n"/>
      <c r="H615" s="32" t="n"/>
      <c r="I615" s="32" t="n"/>
      <c r="J615" s="32" t="n"/>
    </row>
    <row r="616">
      <c r="A616" s="28" t="n"/>
      <c r="B616" s="29" t="n"/>
      <c r="C616" s="29" t="n"/>
      <c r="D616" s="29" t="n"/>
      <c r="E616" s="29" t="n"/>
      <c r="F616" s="29" t="n"/>
      <c r="G616" s="30" t="n"/>
      <c r="H616" s="29" t="n"/>
      <c r="I616" s="29" t="n"/>
      <c r="J616" s="29" t="n"/>
    </row>
    <row r="617">
      <c r="A617" s="31" t="n"/>
      <c r="B617" s="32" t="n"/>
      <c r="C617" s="32" t="n"/>
      <c r="D617" s="32" t="n"/>
      <c r="E617" s="32" t="n"/>
      <c r="F617" s="32" t="n"/>
      <c r="G617" s="33" t="n"/>
      <c r="H617" s="32" t="n"/>
      <c r="I617" s="32" t="n"/>
      <c r="J617" s="32" t="n"/>
    </row>
    <row r="618">
      <c r="A618" s="28" t="n"/>
      <c r="B618" s="29" t="n"/>
      <c r="C618" s="29" t="n"/>
      <c r="D618" s="29" t="n"/>
      <c r="E618" s="29" t="n"/>
      <c r="F618" s="29" t="n"/>
      <c r="G618" s="30" t="n"/>
      <c r="H618" s="29" t="n"/>
      <c r="I618" s="29" t="n"/>
      <c r="J618" s="29" t="n"/>
    </row>
    <row r="619">
      <c r="A619" s="31" t="n"/>
      <c r="B619" s="32" t="n"/>
      <c r="C619" s="32" t="n"/>
      <c r="D619" s="32" t="n"/>
      <c r="E619" s="32" t="n"/>
      <c r="F619" s="32" t="n"/>
      <c r="G619" s="33" t="n"/>
      <c r="H619" s="32" t="n"/>
      <c r="I619" s="32" t="n"/>
      <c r="J619" s="32" t="n"/>
    </row>
    <row r="620">
      <c r="A620" s="28" t="n"/>
      <c r="B620" s="29" t="n"/>
      <c r="C620" s="29" t="n"/>
      <c r="D620" s="29" t="n"/>
      <c r="E620" s="29" t="n"/>
      <c r="F620" s="29" t="n"/>
      <c r="G620" s="30" t="n"/>
      <c r="H620" s="29" t="n"/>
      <c r="I620" s="29" t="n"/>
      <c r="J620" s="29" t="n"/>
    </row>
    <row r="621">
      <c r="A621" s="31" t="n"/>
      <c r="B621" s="32" t="n"/>
      <c r="C621" s="32" t="n"/>
      <c r="D621" s="32" t="n"/>
      <c r="E621" s="32" t="n"/>
      <c r="F621" s="32" t="n"/>
      <c r="G621" s="33" t="n"/>
      <c r="H621" s="32" t="n"/>
      <c r="I621" s="32" t="n"/>
      <c r="J621" s="32" t="n"/>
    </row>
    <row r="622">
      <c r="A622" s="28" t="n"/>
      <c r="B622" s="29" t="n"/>
      <c r="C622" s="29" t="n"/>
      <c r="D622" s="29" t="n"/>
      <c r="E622" s="29" t="n"/>
      <c r="F622" s="29" t="n"/>
      <c r="G622" s="30" t="n"/>
      <c r="H622" s="29" t="n"/>
      <c r="I622" s="29" t="n"/>
      <c r="J622" s="29" t="n"/>
    </row>
    <row r="623">
      <c r="A623" s="31" t="n"/>
      <c r="B623" s="32" t="n"/>
      <c r="C623" s="32" t="n"/>
      <c r="D623" s="32" t="n"/>
      <c r="E623" s="32" t="n"/>
      <c r="F623" s="32" t="n"/>
      <c r="G623" s="33" t="n"/>
      <c r="H623" s="32" t="n"/>
      <c r="I623" s="32" t="n"/>
      <c r="J623" s="32" t="n"/>
    </row>
    <row r="624">
      <c r="A624" s="28" t="n"/>
      <c r="B624" s="29" t="n"/>
      <c r="C624" s="29" t="n"/>
      <c r="D624" s="29" t="n"/>
      <c r="E624" s="29" t="n"/>
      <c r="F624" s="29" t="n"/>
      <c r="G624" s="30" t="n"/>
      <c r="H624" s="29" t="n"/>
      <c r="I624" s="29" t="n"/>
      <c r="J624" s="29" t="n"/>
    </row>
    <row r="625">
      <c r="A625" s="31" t="n"/>
      <c r="B625" s="32" t="n"/>
      <c r="C625" s="32" t="n"/>
      <c r="D625" s="32" t="n"/>
      <c r="E625" s="32" t="n"/>
      <c r="F625" s="32" t="n"/>
      <c r="G625" s="33" t="n"/>
      <c r="H625" s="32" t="n"/>
      <c r="I625" s="32" t="n"/>
      <c r="J625" s="32" t="n"/>
    </row>
    <row r="626">
      <c r="A626" s="28" t="n"/>
      <c r="B626" s="29" t="n"/>
      <c r="C626" s="29" t="n"/>
      <c r="D626" s="29" t="n"/>
      <c r="E626" s="29" t="n"/>
      <c r="F626" s="29" t="n"/>
      <c r="G626" s="30" t="n"/>
      <c r="H626" s="29" t="n"/>
      <c r="I626" s="29" t="n"/>
      <c r="J626" s="29" t="n"/>
    </row>
    <row r="627">
      <c r="A627" s="31" t="n"/>
      <c r="B627" s="32" t="n"/>
      <c r="C627" s="32" t="n"/>
      <c r="D627" s="32" t="n"/>
      <c r="E627" s="32" t="n"/>
      <c r="F627" s="32" t="n"/>
      <c r="G627" s="33" t="n"/>
      <c r="H627" s="32" t="n"/>
      <c r="I627" s="32" t="n"/>
      <c r="J627" s="32" t="n"/>
    </row>
    <row r="628">
      <c r="A628" s="28" t="n"/>
      <c r="B628" s="29" t="n"/>
      <c r="C628" s="29" t="n"/>
      <c r="D628" s="29" t="n"/>
      <c r="E628" s="29" t="n"/>
      <c r="F628" s="29" t="n"/>
      <c r="G628" s="30" t="n"/>
      <c r="H628" s="29" t="n"/>
      <c r="I628" s="29" t="n"/>
      <c r="J628" s="29" t="n"/>
    </row>
    <row r="629">
      <c r="A629" s="31" t="n"/>
      <c r="B629" s="32" t="n"/>
      <c r="C629" s="32" t="n"/>
      <c r="D629" s="32" t="n"/>
      <c r="E629" s="32" t="n"/>
      <c r="F629" s="32" t="n"/>
      <c r="G629" s="33" t="n"/>
      <c r="H629" s="32" t="n"/>
      <c r="I629" s="32" t="n"/>
      <c r="J629" s="32" t="n"/>
    </row>
    <row r="630">
      <c r="A630" s="28" t="n"/>
      <c r="B630" s="29" t="n"/>
      <c r="C630" s="29" t="n"/>
      <c r="D630" s="29" t="n"/>
      <c r="E630" s="29" t="n"/>
      <c r="F630" s="29" t="n"/>
      <c r="G630" s="30" t="n"/>
      <c r="H630" s="29" t="n"/>
      <c r="I630" s="29" t="n"/>
      <c r="J630" s="29" t="n"/>
    </row>
    <row r="631">
      <c r="A631" s="31" t="n"/>
      <c r="B631" s="32" t="n"/>
      <c r="C631" s="32" t="n"/>
      <c r="D631" s="32" t="n"/>
      <c r="E631" s="32" t="n"/>
      <c r="F631" s="32" t="n"/>
      <c r="G631" s="33" t="n"/>
      <c r="H631" s="32" t="n"/>
      <c r="I631" s="32" t="n"/>
      <c r="J631" s="32" t="n"/>
    </row>
    <row r="632">
      <c r="A632" s="28" t="n"/>
      <c r="B632" s="29" t="n"/>
      <c r="C632" s="29" t="n"/>
      <c r="D632" s="29" t="n"/>
      <c r="E632" s="29" t="n"/>
      <c r="F632" s="29" t="n"/>
      <c r="G632" s="30" t="n"/>
      <c r="H632" s="29" t="n"/>
      <c r="I632" s="29" t="n"/>
      <c r="J632" s="29" t="n"/>
    </row>
    <row r="633">
      <c r="A633" s="31" t="n"/>
      <c r="B633" s="32" t="n"/>
      <c r="C633" s="32" t="n"/>
      <c r="D633" s="32" t="n"/>
      <c r="E633" s="32" t="n"/>
      <c r="F633" s="32" t="n"/>
      <c r="G633" s="33" t="n"/>
      <c r="H633" s="32" t="n"/>
      <c r="I633" s="32" t="n"/>
      <c r="J633" s="32" t="n"/>
    </row>
    <row r="634">
      <c r="A634" s="28" t="n"/>
      <c r="B634" s="29" t="n"/>
      <c r="C634" s="29" t="n"/>
      <c r="D634" s="29" t="n"/>
      <c r="E634" s="29" t="n"/>
      <c r="F634" s="29" t="n"/>
      <c r="G634" s="30" t="n"/>
      <c r="H634" s="29" t="n"/>
      <c r="I634" s="29" t="n"/>
      <c r="J634" s="29" t="n"/>
    </row>
    <row r="635">
      <c r="A635" s="31" t="n"/>
      <c r="B635" s="32" t="n"/>
      <c r="C635" s="32" t="n"/>
      <c r="D635" s="32" t="n"/>
      <c r="E635" s="32" t="n"/>
      <c r="F635" s="32" t="n"/>
      <c r="G635" s="33" t="n"/>
      <c r="H635" s="32" t="n"/>
      <c r="I635" s="32" t="n"/>
      <c r="J635" s="32" t="n"/>
    </row>
    <row r="636">
      <c r="A636" s="28" t="n"/>
      <c r="B636" s="29" t="n"/>
      <c r="C636" s="29" t="n"/>
      <c r="D636" s="29" t="n"/>
      <c r="E636" s="29" t="n"/>
      <c r="F636" s="29" t="n"/>
      <c r="G636" s="30" t="n"/>
      <c r="H636" s="29" t="n"/>
      <c r="I636" s="29" t="n"/>
      <c r="J636" s="29" t="n"/>
    </row>
    <row r="637">
      <c r="A637" s="31" t="n"/>
      <c r="B637" s="32" t="n"/>
      <c r="C637" s="32" t="n"/>
      <c r="D637" s="32" t="n"/>
      <c r="E637" s="32" t="n"/>
      <c r="F637" s="32" t="n"/>
      <c r="G637" s="33" t="n"/>
      <c r="H637" s="32" t="n"/>
      <c r="I637" s="32" t="n"/>
      <c r="J637" s="32" t="n"/>
    </row>
    <row r="638">
      <c r="A638" s="28" t="n"/>
      <c r="B638" s="29" t="n"/>
      <c r="C638" s="29" t="n"/>
      <c r="D638" s="29" t="n"/>
      <c r="E638" s="29" t="n"/>
      <c r="F638" s="29" t="n"/>
      <c r="G638" s="30" t="n"/>
      <c r="H638" s="29" t="n"/>
      <c r="I638" s="29" t="n"/>
      <c r="J638" s="29" t="n"/>
    </row>
    <row r="639">
      <c r="A639" s="31" t="n"/>
      <c r="B639" s="32" t="n"/>
      <c r="C639" s="32" t="n"/>
      <c r="D639" s="32" t="n"/>
      <c r="E639" s="32" t="n"/>
      <c r="F639" s="32" t="n"/>
      <c r="G639" s="33" t="n"/>
      <c r="H639" s="32" t="n"/>
      <c r="I639" s="32" t="n"/>
      <c r="J639" s="32" t="n"/>
    </row>
    <row r="640">
      <c r="A640" s="28" t="n"/>
      <c r="B640" s="29" t="n"/>
      <c r="C640" s="29" t="n"/>
      <c r="D640" s="29" t="n"/>
      <c r="E640" s="29" t="n"/>
      <c r="F640" s="29" t="n"/>
      <c r="G640" s="30" t="n"/>
      <c r="H640" s="29" t="n"/>
      <c r="I640" s="29" t="n"/>
      <c r="J640" s="29" t="n"/>
    </row>
    <row r="641">
      <c r="A641" s="31" t="n"/>
      <c r="B641" s="32" t="n"/>
      <c r="C641" s="32" t="n"/>
      <c r="D641" s="32" t="n"/>
      <c r="E641" s="32" t="n"/>
      <c r="F641" s="32" t="n"/>
      <c r="G641" s="33" t="n"/>
      <c r="H641" s="32" t="n"/>
      <c r="I641" s="32" t="n"/>
      <c r="J641" s="32" t="n"/>
    </row>
    <row r="642">
      <c r="A642" s="28" t="n"/>
      <c r="B642" s="29" t="n"/>
      <c r="C642" s="29" t="n"/>
      <c r="D642" s="29" t="n"/>
      <c r="E642" s="29" t="n"/>
      <c r="F642" s="29" t="n"/>
      <c r="G642" s="30" t="n"/>
      <c r="H642" s="29" t="n"/>
      <c r="I642" s="29" t="n"/>
      <c r="J642" s="29" t="n"/>
    </row>
    <row r="643">
      <c r="A643" s="31" t="n"/>
      <c r="B643" s="32" t="n"/>
      <c r="C643" s="32" t="n"/>
      <c r="D643" s="32" t="n"/>
      <c r="E643" s="32" t="n"/>
      <c r="F643" s="32" t="n"/>
      <c r="G643" s="33" t="n"/>
      <c r="H643" s="32" t="n"/>
      <c r="I643" s="32" t="n"/>
      <c r="J643" s="32" t="n"/>
    </row>
    <row r="644">
      <c r="A644" s="28" t="n"/>
      <c r="B644" s="29" t="n"/>
      <c r="C644" s="29" t="n"/>
      <c r="D644" s="29" t="n"/>
      <c r="E644" s="29" t="n"/>
      <c r="F644" s="29" t="n"/>
      <c r="G644" s="30" t="n"/>
      <c r="H644" s="29" t="n"/>
      <c r="I644" s="29" t="n"/>
      <c r="J644" s="29" t="n"/>
    </row>
    <row r="645">
      <c r="A645" s="31" t="n"/>
      <c r="B645" s="32" t="n"/>
      <c r="C645" s="32" t="n"/>
      <c r="D645" s="32" t="n"/>
      <c r="E645" s="32" t="n"/>
      <c r="F645" s="32" t="n"/>
      <c r="G645" s="33" t="n"/>
      <c r="H645" s="32" t="n"/>
      <c r="I645" s="32" t="n"/>
      <c r="J645" s="32" t="n"/>
    </row>
    <row r="646">
      <c r="A646" s="28" t="n"/>
      <c r="B646" s="29" t="n"/>
      <c r="C646" s="29" t="n"/>
      <c r="D646" s="29" t="n"/>
      <c r="E646" s="29" t="n"/>
      <c r="F646" s="29" t="n"/>
      <c r="G646" s="30" t="n"/>
      <c r="H646" s="29" t="n"/>
      <c r="I646" s="29" t="n"/>
      <c r="J646" s="29" t="n"/>
    </row>
    <row r="647">
      <c r="A647" s="31" t="n"/>
      <c r="B647" s="32" t="n"/>
      <c r="C647" s="32" t="n"/>
      <c r="D647" s="32" t="n"/>
      <c r="E647" s="32" t="n"/>
      <c r="F647" s="32" t="n"/>
      <c r="G647" s="33" t="n"/>
      <c r="H647" s="32" t="n"/>
      <c r="I647" s="32" t="n"/>
      <c r="J647" s="32" t="n"/>
    </row>
    <row r="648">
      <c r="A648" s="28" t="n"/>
      <c r="B648" s="29" t="n"/>
      <c r="C648" s="29" t="n"/>
      <c r="D648" s="29" t="n"/>
      <c r="E648" s="29" t="n"/>
      <c r="F648" s="29" t="n"/>
      <c r="G648" s="30" t="n"/>
      <c r="H648" s="29" t="n"/>
      <c r="I648" s="29" t="n"/>
      <c r="J648" s="29" t="n"/>
    </row>
    <row r="649">
      <c r="A649" s="31" t="n"/>
      <c r="B649" s="32" t="n"/>
      <c r="C649" s="32" t="n"/>
      <c r="D649" s="32" t="n"/>
      <c r="E649" s="32" t="n"/>
      <c r="F649" s="32" t="n"/>
      <c r="G649" s="33" t="n"/>
      <c r="H649" s="32" t="n"/>
      <c r="I649" s="32" t="n"/>
      <c r="J649" s="32" t="n"/>
    </row>
    <row r="650">
      <c r="A650" s="28" t="n"/>
      <c r="B650" s="29" t="n"/>
      <c r="C650" s="29" t="n"/>
      <c r="D650" s="29" t="n"/>
      <c r="E650" s="29" t="n"/>
      <c r="F650" s="29" t="n"/>
      <c r="G650" s="30" t="n"/>
      <c r="H650" s="29" t="n"/>
      <c r="I650" s="29" t="n"/>
      <c r="J650" s="29" t="n"/>
    </row>
    <row r="651">
      <c r="A651" s="31" t="n"/>
      <c r="B651" s="32" t="n"/>
      <c r="C651" s="32" t="n"/>
      <c r="D651" s="32" t="n"/>
      <c r="E651" s="32" t="n"/>
      <c r="F651" s="32" t="n"/>
      <c r="G651" s="33" t="n"/>
      <c r="H651" s="32" t="n"/>
      <c r="I651" s="32" t="n"/>
      <c r="J651" s="32" t="n"/>
    </row>
    <row r="652">
      <c r="A652" s="28" t="n"/>
      <c r="B652" s="29" t="n"/>
      <c r="C652" s="29" t="n"/>
      <c r="D652" s="29" t="n"/>
      <c r="E652" s="29" t="n"/>
      <c r="F652" s="29" t="n"/>
      <c r="G652" s="30" t="n"/>
      <c r="H652" s="29" t="n"/>
      <c r="I652" s="29" t="n"/>
      <c r="J652" s="29" t="n"/>
    </row>
    <row r="653">
      <c r="A653" s="31" t="n"/>
      <c r="B653" s="32" t="n"/>
      <c r="C653" s="32" t="n"/>
      <c r="D653" s="32" t="n"/>
      <c r="E653" s="32" t="n"/>
      <c r="F653" s="32" t="n"/>
      <c r="G653" s="33" t="n"/>
      <c r="H653" s="32" t="n"/>
      <c r="I653" s="32" t="n"/>
      <c r="J653" s="32" t="n"/>
    </row>
    <row r="654">
      <c r="A654" s="28" t="n"/>
      <c r="B654" s="29" t="n"/>
      <c r="C654" s="29" t="n"/>
      <c r="D654" s="29" t="n"/>
      <c r="E654" s="29" t="n"/>
      <c r="F654" s="29" t="n"/>
      <c r="G654" s="30" t="n"/>
      <c r="H654" s="29" t="n"/>
      <c r="I654" s="29" t="n"/>
      <c r="J654" s="29" t="n"/>
    </row>
    <row r="655">
      <c r="A655" s="31" t="n"/>
      <c r="B655" s="32" t="n"/>
      <c r="C655" s="32" t="n"/>
      <c r="D655" s="32" t="n"/>
      <c r="E655" s="32" t="n"/>
      <c r="F655" s="32" t="n"/>
      <c r="G655" s="33" t="n"/>
      <c r="H655" s="32" t="n"/>
      <c r="I655" s="32" t="n"/>
      <c r="J655" s="32" t="n"/>
    </row>
    <row r="656">
      <c r="A656" s="28" t="n"/>
      <c r="B656" s="29" t="n"/>
      <c r="C656" s="29" t="n"/>
      <c r="D656" s="29" t="n"/>
      <c r="E656" s="29" t="n"/>
      <c r="F656" s="29" t="n"/>
      <c r="G656" s="30" t="n"/>
      <c r="H656" s="29" t="n"/>
      <c r="I656" s="29" t="n"/>
      <c r="J656" s="29" t="n"/>
    </row>
    <row r="657">
      <c r="A657" s="31" t="n"/>
      <c r="B657" s="32" t="n"/>
      <c r="C657" s="32" t="n"/>
      <c r="D657" s="32" t="n"/>
      <c r="E657" s="32" t="n"/>
      <c r="F657" s="32" t="n"/>
      <c r="G657" s="33" t="n"/>
      <c r="H657" s="32" t="n"/>
      <c r="I657" s="32" t="n"/>
      <c r="J657" s="32" t="n"/>
    </row>
    <row r="658">
      <c r="A658" s="28" t="n"/>
      <c r="B658" s="29" t="n"/>
      <c r="C658" s="29" t="n"/>
      <c r="D658" s="29" t="n"/>
      <c r="E658" s="29" t="n"/>
      <c r="F658" s="29" t="n"/>
      <c r="G658" s="30" t="n"/>
      <c r="H658" s="29" t="n"/>
      <c r="I658" s="29" t="n"/>
      <c r="J658" s="29" t="n"/>
    </row>
    <row r="659">
      <c r="A659" s="31" t="n"/>
      <c r="B659" s="32" t="n"/>
      <c r="C659" s="32" t="n"/>
      <c r="D659" s="32" t="n"/>
      <c r="E659" s="32" t="n"/>
      <c r="F659" s="32" t="n"/>
      <c r="G659" s="33" t="n"/>
      <c r="H659" s="32" t="n"/>
      <c r="I659" s="32" t="n"/>
      <c r="J659" s="32" t="n"/>
    </row>
    <row r="660">
      <c r="A660" s="28" t="n"/>
      <c r="B660" s="29" t="n"/>
      <c r="C660" s="29" t="n"/>
      <c r="D660" s="29" t="n"/>
      <c r="E660" s="29" t="n"/>
      <c r="F660" s="29" t="n"/>
      <c r="G660" s="30" t="n"/>
      <c r="H660" s="29" t="n"/>
      <c r="I660" s="29" t="n"/>
      <c r="J660" s="29" t="n"/>
    </row>
    <row r="661">
      <c r="A661" s="31" t="n"/>
      <c r="B661" s="32" t="n"/>
      <c r="C661" s="32" t="n"/>
      <c r="D661" s="32" t="n"/>
      <c r="E661" s="32" t="n"/>
      <c r="F661" s="32" t="n"/>
      <c r="G661" s="33" t="n"/>
      <c r="H661" s="32" t="n"/>
      <c r="I661" s="32" t="n"/>
      <c r="J661" s="32" t="n"/>
    </row>
    <row r="662">
      <c r="A662" s="28" t="n"/>
      <c r="B662" s="29" t="n"/>
      <c r="C662" s="29" t="n"/>
      <c r="D662" s="29" t="n"/>
      <c r="E662" s="29" t="n"/>
      <c r="F662" s="29" t="n"/>
      <c r="G662" s="30" t="n"/>
      <c r="H662" s="29" t="n"/>
      <c r="I662" s="29" t="n"/>
      <c r="J662" s="29" t="n"/>
    </row>
    <row r="663">
      <c r="A663" s="31" t="n"/>
      <c r="B663" s="32" t="n"/>
      <c r="C663" s="32" t="n"/>
      <c r="D663" s="32" t="n"/>
      <c r="E663" s="32" t="n"/>
      <c r="F663" s="32" t="n"/>
      <c r="G663" s="33" t="n"/>
      <c r="H663" s="32" t="n"/>
      <c r="I663" s="32" t="n"/>
      <c r="J663" s="32" t="n"/>
    </row>
    <row r="664">
      <c r="A664" s="28" t="n"/>
      <c r="B664" s="29" t="n"/>
      <c r="C664" s="29" t="n"/>
      <c r="D664" s="29" t="n"/>
      <c r="E664" s="29" t="n"/>
      <c r="F664" s="29" t="n"/>
      <c r="G664" s="30" t="n"/>
      <c r="H664" s="29" t="n"/>
      <c r="I664" s="29" t="n"/>
      <c r="J664" s="29" t="n"/>
    </row>
    <row r="665">
      <c r="A665" s="31" t="n"/>
      <c r="B665" s="32" t="n"/>
      <c r="C665" s="32" t="n"/>
      <c r="D665" s="32" t="n"/>
      <c r="E665" s="32" t="n"/>
      <c r="F665" s="32" t="n"/>
      <c r="G665" s="33" t="n"/>
      <c r="H665" s="32" t="n"/>
      <c r="I665" s="32" t="n"/>
      <c r="J665" s="32" t="n"/>
    </row>
    <row r="666">
      <c r="A666" s="28" t="n"/>
      <c r="B666" s="29" t="n"/>
      <c r="C666" s="29" t="n"/>
      <c r="D666" s="29" t="n"/>
      <c r="E666" s="29" t="n"/>
      <c r="F666" s="29" t="n"/>
      <c r="G666" s="30" t="n"/>
      <c r="H666" s="29" t="n"/>
      <c r="I666" s="29" t="n"/>
      <c r="J666" s="29" t="n"/>
    </row>
    <row r="667">
      <c r="A667" s="31" t="n"/>
      <c r="B667" s="32" t="n"/>
      <c r="C667" s="32" t="n"/>
      <c r="D667" s="32" t="n"/>
      <c r="E667" s="32" t="n"/>
      <c r="F667" s="32" t="n"/>
      <c r="G667" s="33" t="n"/>
      <c r="H667" s="32" t="n"/>
      <c r="I667" s="32" t="n"/>
      <c r="J667" s="32" t="n"/>
    </row>
    <row r="668">
      <c r="A668" s="28" t="n"/>
      <c r="B668" s="29" t="n"/>
      <c r="C668" s="29" t="n"/>
      <c r="D668" s="29" t="n"/>
      <c r="E668" s="29" t="n"/>
      <c r="F668" s="29" t="n"/>
      <c r="G668" s="30" t="n"/>
      <c r="H668" s="29" t="n"/>
      <c r="I668" s="29" t="n"/>
      <c r="J668" s="29" t="n"/>
    </row>
    <row r="669">
      <c r="A669" s="31" t="n"/>
      <c r="B669" s="32" t="n"/>
      <c r="C669" s="32" t="n"/>
      <c r="D669" s="32" t="n"/>
      <c r="E669" s="32" t="n"/>
      <c r="F669" s="32" t="n"/>
      <c r="G669" s="33" t="n"/>
      <c r="H669" s="32" t="n"/>
      <c r="I669" s="32" t="n"/>
      <c r="J669" s="32" t="n"/>
    </row>
    <row r="670">
      <c r="A670" s="28" t="n"/>
      <c r="B670" s="29" t="n"/>
      <c r="C670" s="29" t="n"/>
      <c r="D670" s="29" t="n"/>
      <c r="E670" s="29" t="n"/>
      <c r="F670" s="29" t="n"/>
      <c r="G670" s="30" t="n"/>
      <c r="H670" s="29" t="n"/>
      <c r="I670" s="29" t="n"/>
      <c r="J670" s="29" t="n"/>
    </row>
    <row r="671">
      <c r="A671" s="31" t="n"/>
      <c r="B671" s="32" t="n"/>
      <c r="C671" s="32" t="n"/>
      <c r="D671" s="32" t="n"/>
      <c r="E671" s="32" t="n"/>
      <c r="F671" s="32" t="n"/>
      <c r="G671" s="33" t="n"/>
      <c r="H671" s="32" t="n"/>
      <c r="I671" s="32" t="n"/>
      <c r="J671" s="32" t="n"/>
    </row>
    <row r="672">
      <c r="A672" s="28" t="n"/>
      <c r="B672" s="29" t="n"/>
      <c r="C672" s="29" t="n"/>
      <c r="D672" s="29" t="n"/>
      <c r="E672" s="29" t="n"/>
      <c r="F672" s="29" t="n"/>
      <c r="G672" s="30" t="n"/>
      <c r="H672" s="29" t="n"/>
      <c r="I672" s="29" t="n"/>
      <c r="J672" s="29" t="n"/>
    </row>
    <row r="673">
      <c r="A673" s="31" t="n"/>
      <c r="B673" s="32" t="n"/>
      <c r="C673" s="32" t="n"/>
      <c r="D673" s="32" t="n"/>
      <c r="E673" s="32" t="n"/>
      <c r="F673" s="32" t="n"/>
      <c r="G673" s="33" t="n"/>
      <c r="H673" s="32" t="n"/>
      <c r="I673" s="32" t="n"/>
      <c r="J673" s="32" t="n"/>
    </row>
    <row r="674">
      <c r="A674" s="28" t="n"/>
      <c r="B674" s="29" t="n"/>
      <c r="C674" s="29" t="n"/>
      <c r="D674" s="29" t="n"/>
      <c r="E674" s="29" t="n"/>
      <c r="F674" s="29" t="n"/>
      <c r="G674" s="30" t="n"/>
      <c r="H674" s="29" t="n"/>
      <c r="I674" s="29" t="n"/>
      <c r="J674" s="29" t="n"/>
    </row>
    <row r="675">
      <c r="A675" s="31" t="n"/>
      <c r="B675" s="32" t="n"/>
      <c r="C675" s="32" t="n"/>
      <c r="D675" s="32" t="n"/>
      <c r="E675" s="32" t="n"/>
      <c r="F675" s="32" t="n"/>
      <c r="G675" s="33" t="n"/>
      <c r="H675" s="32" t="n"/>
      <c r="I675" s="32" t="n"/>
      <c r="J675" s="32" t="n"/>
    </row>
    <row r="676">
      <c r="A676" s="28" t="n"/>
      <c r="B676" s="29" t="n"/>
      <c r="C676" s="29" t="n"/>
      <c r="D676" s="29" t="n"/>
      <c r="E676" s="29" t="n"/>
      <c r="F676" s="29" t="n"/>
      <c r="G676" s="30" t="n"/>
      <c r="H676" s="29" t="n"/>
      <c r="I676" s="29" t="n"/>
      <c r="J676" s="29" t="n"/>
    </row>
    <row r="677">
      <c r="A677" s="31" t="n"/>
      <c r="B677" s="32" t="n"/>
      <c r="C677" s="32" t="n"/>
      <c r="D677" s="32" t="n"/>
      <c r="E677" s="32" t="n"/>
      <c r="F677" s="32" t="n"/>
      <c r="G677" s="33" t="n"/>
      <c r="H677" s="32" t="n"/>
      <c r="I677" s="32" t="n"/>
      <c r="J677" s="32" t="n"/>
    </row>
    <row r="678">
      <c r="A678" s="28" t="n"/>
      <c r="B678" s="29" t="n"/>
      <c r="C678" s="29" t="n"/>
      <c r="D678" s="29" t="n"/>
      <c r="E678" s="29" t="n"/>
      <c r="F678" s="29" t="n"/>
      <c r="G678" s="30" t="n"/>
      <c r="H678" s="29" t="n"/>
      <c r="I678" s="29" t="n"/>
      <c r="J678" s="29" t="n"/>
    </row>
    <row r="679">
      <c r="A679" s="31" t="n"/>
      <c r="B679" s="32" t="n"/>
      <c r="C679" s="32" t="n"/>
      <c r="D679" s="32" t="n"/>
      <c r="E679" s="32" t="n"/>
      <c r="F679" s="32" t="n"/>
      <c r="G679" s="33" t="n"/>
      <c r="H679" s="32" t="n"/>
      <c r="I679" s="32" t="n"/>
      <c r="J679" s="32" t="n"/>
    </row>
    <row r="680">
      <c r="A680" s="28" t="n"/>
      <c r="B680" s="29" t="n"/>
      <c r="C680" s="29" t="n"/>
      <c r="D680" s="29" t="n"/>
      <c r="E680" s="29" t="n"/>
      <c r="F680" s="29" t="n"/>
      <c r="G680" s="30" t="n"/>
      <c r="H680" s="29" t="n"/>
      <c r="I680" s="29" t="n"/>
      <c r="J680" s="29" t="n"/>
    </row>
    <row r="681">
      <c r="A681" s="31" t="n"/>
      <c r="B681" s="32" t="n"/>
      <c r="C681" s="32" t="n"/>
      <c r="D681" s="32" t="n"/>
      <c r="E681" s="32" t="n"/>
      <c r="F681" s="32" t="n"/>
      <c r="G681" s="33" t="n"/>
      <c r="H681" s="32" t="n"/>
      <c r="I681" s="32" t="n"/>
      <c r="J681" s="32" t="n"/>
    </row>
    <row r="682">
      <c r="A682" s="28" t="n"/>
      <c r="B682" s="29" t="n"/>
      <c r="C682" s="29" t="n"/>
      <c r="D682" s="29" t="n"/>
      <c r="E682" s="29" t="n"/>
      <c r="F682" s="29" t="n"/>
      <c r="G682" s="30" t="n"/>
      <c r="H682" s="29" t="n"/>
      <c r="I682" s="29" t="n"/>
      <c r="J682" s="29" t="n"/>
    </row>
    <row r="683">
      <c r="A683" s="31" t="n"/>
      <c r="B683" s="32" t="n"/>
      <c r="C683" s="32" t="n"/>
      <c r="D683" s="32" t="n"/>
      <c r="E683" s="32" t="n"/>
      <c r="F683" s="32" t="n"/>
      <c r="G683" s="33" t="n"/>
      <c r="H683" s="32" t="n"/>
      <c r="I683" s="32" t="n"/>
      <c r="J683" s="32" t="n"/>
    </row>
    <row r="684">
      <c r="A684" s="28" t="n"/>
      <c r="B684" s="29" t="n"/>
      <c r="C684" s="29" t="n"/>
      <c r="D684" s="29" t="n"/>
      <c r="E684" s="29" t="n"/>
      <c r="F684" s="29" t="n"/>
      <c r="G684" s="30" t="n"/>
      <c r="H684" s="29" t="n"/>
      <c r="I684" s="29" t="n"/>
      <c r="J684" s="29" t="n"/>
    </row>
    <row r="685">
      <c r="A685" s="31" t="n"/>
      <c r="B685" s="32" t="n"/>
      <c r="C685" s="32" t="n"/>
      <c r="D685" s="32" t="n"/>
      <c r="E685" s="32" t="n"/>
      <c r="F685" s="32" t="n"/>
      <c r="G685" s="33" t="n"/>
      <c r="H685" s="32" t="n"/>
      <c r="I685" s="32" t="n"/>
      <c r="J685" s="32" t="n"/>
    </row>
    <row r="686">
      <c r="A686" s="28" t="n"/>
      <c r="B686" s="29" t="n"/>
      <c r="C686" s="29" t="n"/>
      <c r="D686" s="29" t="n"/>
      <c r="E686" s="29" t="n"/>
      <c r="F686" s="29" t="n"/>
      <c r="G686" s="30" t="n"/>
      <c r="H686" s="29" t="n"/>
      <c r="I686" s="29" t="n"/>
      <c r="J686" s="29" t="n"/>
    </row>
    <row r="687">
      <c r="A687" s="31" t="n"/>
      <c r="B687" s="32" t="n"/>
      <c r="C687" s="32" t="n"/>
      <c r="D687" s="32" t="n"/>
      <c r="E687" s="32" t="n"/>
      <c r="F687" s="32" t="n"/>
      <c r="G687" s="33" t="n"/>
      <c r="H687" s="32" t="n"/>
      <c r="I687" s="32" t="n"/>
      <c r="J687" s="32" t="n"/>
    </row>
    <row r="688">
      <c r="A688" s="28" t="n"/>
      <c r="B688" s="29" t="n"/>
      <c r="C688" s="29" t="n"/>
      <c r="D688" s="29" t="n"/>
      <c r="E688" s="29" t="n"/>
      <c r="F688" s="29" t="n"/>
      <c r="G688" s="30" t="n"/>
      <c r="H688" s="29" t="n"/>
      <c r="I688" s="29" t="n"/>
      <c r="J688" s="29" t="n"/>
    </row>
    <row r="689">
      <c r="A689" s="31" t="n"/>
      <c r="B689" s="32" t="n"/>
      <c r="C689" s="32" t="n"/>
      <c r="D689" s="32" t="n"/>
      <c r="E689" s="32" t="n"/>
      <c r="F689" s="32" t="n"/>
      <c r="G689" s="33" t="n"/>
      <c r="H689" s="32" t="n"/>
      <c r="I689" s="32" t="n"/>
      <c r="J689" s="32" t="n"/>
    </row>
    <row r="690">
      <c r="A690" s="28" t="n"/>
      <c r="B690" s="29" t="n"/>
      <c r="C690" s="29" t="n"/>
      <c r="D690" s="29" t="n"/>
      <c r="E690" s="29" t="n"/>
      <c r="F690" s="29" t="n"/>
      <c r="G690" s="30" t="n"/>
      <c r="H690" s="29" t="n"/>
      <c r="I690" s="29" t="n"/>
      <c r="J690" s="29" t="n"/>
    </row>
    <row r="691">
      <c r="A691" s="31" t="n"/>
      <c r="B691" s="32" t="n"/>
      <c r="C691" s="32" t="n"/>
      <c r="D691" s="32" t="n"/>
      <c r="E691" s="32" t="n"/>
      <c r="F691" s="32" t="n"/>
      <c r="G691" s="33" t="n"/>
      <c r="H691" s="32" t="n"/>
      <c r="I691" s="32" t="n"/>
      <c r="J691" s="32" t="n"/>
    </row>
    <row r="692">
      <c r="A692" s="28" t="n"/>
      <c r="B692" s="29" t="n"/>
      <c r="C692" s="29" t="n"/>
      <c r="D692" s="29" t="n"/>
      <c r="E692" s="29" t="n"/>
      <c r="F692" s="29" t="n"/>
      <c r="G692" s="30" t="n"/>
      <c r="H692" s="29" t="n"/>
      <c r="I692" s="29" t="n"/>
      <c r="J692" s="29" t="n"/>
    </row>
    <row r="693">
      <c r="A693" s="31" t="n"/>
      <c r="B693" s="32" t="n"/>
      <c r="C693" s="32" t="n"/>
      <c r="D693" s="32" t="n"/>
      <c r="E693" s="32" t="n"/>
      <c r="F693" s="32" t="n"/>
      <c r="G693" s="33" t="n"/>
      <c r="H693" s="32" t="n"/>
      <c r="I693" s="32" t="n"/>
      <c r="J693" s="32" t="n"/>
    </row>
    <row r="694">
      <c r="A694" s="28" t="n"/>
      <c r="B694" s="29" t="n"/>
      <c r="C694" s="29" t="n"/>
      <c r="D694" s="29" t="n"/>
      <c r="E694" s="29" t="n"/>
      <c r="F694" s="29" t="n"/>
      <c r="G694" s="30" t="n"/>
      <c r="H694" s="29" t="n"/>
      <c r="I694" s="29" t="n"/>
      <c r="J694" s="29" t="n"/>
    </row>
    <row r="695">
      <c r="A695" s="31" t="n"/>
      <c r="B695" s="32" t="n"/>
      <c r="C695" s="32" t="n"/>
      <c r="D695" s="32" t="n"/>
      <c r="E695" s="32" t="n"/>
      <c r="F695" s="32" t="n"/>
      <c r="G695" s="33" t="n"/>
      <c r="H695" s="32" t="n"/>
      <c r="I695" s="32" t="n"/>
      <c r="J695" s="32" t="n"/>
    </row>
    <row r="696">
      <c r="A696" s="28" t="n"/>
      <c r="B696" s="29" t="n"/>
      <c r="C696" s="29" t="n"/>
      <c r="D696" s="29" t="n"/>
      <c r="E696" s="29" t="n"/>
      <c r="F696" s="29" t="n"/>
      <c r="G696" s="30" t="n"/>
      <c r="H696" s="29" t="n"/>
      <c r="I696" s="29" t="n"/>
      <c r="J696" s="29" t="n"/>
    </row>
    <row r="697">
      <c r="A697" s="31" t="n"/>
      <c r="B697" s="32" t="n"/>
      <c r="C697" s="32" t="n"/>
      <c r="D697" s="32" t="n"/>
      <c r="E697" s="32" t="n"/>
      <c r="F697" s="32" t="n"/>
      <c r="G697" s="33" t="n"/>
      <c r="H697" s="32" t="n"/>
      <c r="I697" s="32" t="n"/>
      <c r="J697" s="32" t="n"/>
    </row>
    <row r="698">
      <c r="A698" s="28" t="n"/>
      <c r="B698" s="29" t="n"/>
      <c r="C698" s="29" t="n"/>
      <c r="D698" s="29" t="n"/>
      <c r="E698" s="29" t="n"/>
      <c r="F698" s="29" t="n"/>
      <c r="G698" s="30" t="n"/>
      <c r="H698" s="29" t="n"/>
      <c r="I698" s="29" t="n"/>
      <c r="J698" s="29" t="n"/>
    </row>
    <row r="699">
      <c r="A699" s="31" t="n"/>
      <c r="B699" s="32" t="n"/>
      <c r="C699" s="32" t="n"/>
      <c r="D699" s="32" t="n"/>
      <c r="E699" s="32" t="n"/>
      <c r="F699" s="32" t="n"/>
      <c r="G699" s="33" t="n"/>
      <c r="H699" s="32" t="n"/>
      <c r="I699" s="32" t="n"/>
      <c r="J699" s="32" t="n"/>
    </row>
    <row r="700">
      <c r="A700" s="28" t="n"/>
      <c r="B700" s="29" t="n"/>
      <c r="C700" s="29" t="n"/>
      <c r="D700" s="29" t="n"/>
      <c r="E700" s="29" t="n"/>
      <c r="F700" s="29" t="n"/>
      <c r="G700" s="30" t="n"/>
      <c r="H700" s="29" t="n"/>
      <c r="I700" s="29" t="n"/>
      <c r="J700" s="29" t="n"/>
    </row>
    <row r="701">
      <c r="A701" s="31" t="n"/>
      <c r="B701" s="32" t="n"/>
      <c r="C701" s="32" t="n"/>
      <c r="D701" s="32" t="n"/>
      <c r="E701" s="32" t="n"/>
      <c r="F701" s="32" t="n"/>
      <c r="G701" s="33" t="n"/>
      <c r="H701" s="32" t="n"/>
      <c r="I701" s="32" t="n"/>
      <c r="J701" s="32" t="n"/>
    </row>
    <row r="702">
      <c r="A702" s="28" t="n"/>
      <c r="B702" s="29" t="n"/>
      <c r="C702" s="29" t="n"/>
      <c r="D702" s="29" t="n"/>
      <c r="E702" s="29" t="n"/>
      <c r="F702" s="29" t="n"/>
      <c r="G702" s="30" t="n"/>
      <c r="H702" s="29" t="n"/>
      <c r="I702" s="29" t="n"/>
      <c r="J702" s="29" t="n"/>
    </row>
    <row r="703">
      <c r="A703" s="31" t="n"/>
      <c r="B703" s="32" t="n"/>
      <c r="C703" s="32" t="n"/>
      <c r="D703" s="32" t="n"/>
      <c r="E703" s="32" t="n"/>
      <c r="F703" s="32" t="n"/>
      <c r="G703" s="33" t="n"/>
      <c r="H703" s="32" t="n"/>
      <c r="I703" s="32" t="n"/>
      <c r="J703" s="32" t="n"/>
    </row>
    <row r="704">
      <c r="A704" s="28" t="n"/>
      <c r="B704" s="29" t="n"/>
      <c r="C704" s="29" t="n"/>
      <c r="D704" s="29" t="n"/>
      <c r="E704" s="29" t="n"/>
      <c r="F704" s="29" t="n"/>
      <c r="G704" s="30" t="n"/>
      <c r="H704" s="29" t="n"/>
      <c r="I704" s="29" t="n"/>
      <c r="J704" s="29" t="n"/>
    </row>
    <row r="705">
      <c r="A705" s="31" t="n"/>
      <c r="B705" s="32" t="n"/>
      <c r="C705" s="32" t="n"/>
      <c r="D705" s="32" t="n"/>
      <c r="E705" s="32" t="n"/>
      <c r="F705" s="32" t="n"/>
      <c r="G705" s="33" t="n"/>
      <c r="H705" s="32" t="n"/>
      <c r="I705" s="32" t="n"/>
      <c r="J705" s="32" t="n"/>
    </row>
    <row r="706">
      <c r="A706" s="28" t="n"/>
      <c r="B706" s="29" t="n"/>
      <c r="C706" s="29" t="n"/>
      <c r="D706" s="29" t="n"/>
      <c r="E706" s="29" t="n"/>
      <c r="F706" s="29" t="n"/>
      <c r="G706" s="30" t="n"/>
      <c r="H706" s="29" t="n"/>
      <c r="I706" s="29" t="n"/>
      <c r="J706" s="29" t="n"/>
    </row>
    <row r="707">
      <c r="A707" s="31" t="n"/>
      <c r="B707" s="32" t="n"/>
      <c r="C707" s="32" t="n"/>
      <c r="D707" s="32" t="n"/>
      <c r="E707" s="32" t="n"/>
      <c r="F707" s="32" t="n"/>
      <c r="G707" s="33" t="n"/>
      <c r="H707" s="32" t="n"/>
      <c r="I707" s="32" t="n"/>
      <c r="J707" s="32" t="n"/>
    </row>
    <row r="708">
      <c r="A708" s="28" t="n"/>
      <c r="B708" s="29" t="n"/>
      <c r="C708" s="29" t="n"/>
      <c r="D708" s="29" t="n"/>
      <c r="E708" s="29" t="n"/>
      <c r="F708" s="29" t="n"/>
      <c r="G708" s="30" t="n"/>
      <c r="H708" s="29" t="n"/>
      <c r="I708" s="29" t="n"/>
      <c r="J708" s="29" t="n"/>
    </row>
    <row r="709">
      <c r="A709" s="31" t="n"/>
      <c r="B709" s="32" t="n"/>
      <c r="C709" s="32" t="n"/>
      <c r="D709" s="32" t="n"/>
      <c r="E709" s="32" t="n"/>
      <c r="F709" s="32" t="n"/>
      <c r="G709" s="33" t="n"/>
      <c r="H709" s="32" t="n"/>
      <c r="I709" s="32" t="n"/>
      <c r="J709" s="32" t="n"/>
    </row>
    <row r="710">
      <c r="A710" s="28" t="n"/>
      <c r="B710" s="29" t="n"/>
      <c r="C710" s="29" t="n"/>
      <c r="D710" s="29" t="n"/>
      <c r="E710" s="29" t="n"/>
      <c r="F710" s="29" t="n"/>
      <c r="G710" s="30" t="n"/>
      <c r="H710" s="29" t="n"/>
      <c r="I710" s="29" t="n"/>
      <c r="J710" s="29" t="n"/>
    </row>
    <row r="711">
      <c r="A711" s="31" t="n"/>
      <c r="B711" s="32" t="n"/>
      <c r="C711" s="32" t="n"/>
      <c r="D711" s="32" t="n"/>
      <c r="E711" s="32" t="n"/>
      <c r="F711" s="32" t="n"/>
      <c r="G711" s="33" t="n"/>
      <c r="H711" s="32" t="n"/>
      <c r="I711" s="32" t="n"/>
      <c r="J711" s="32" t="n"/>
    </row>
    <row r="712">
      <c r="A712" s="28" t="n"/>
      <c r="B712" s="29" t="n"/>
      <c r="C712" s="29" t="n"/>
      <c r="D712" s="29" t="n"/>
      <c r="E712" s="29" t="n"/>
      <c r="F712" s="29" t="n"/>
      <c r="G712" s="30" t="n"/>
      <c r="H712" s="29" t="n"/>
      <c r="I712" s="29" t="n"/>
      <c r="J712" s="29" t="n"/>
    </row>
    <row r="713">
      <c r="A713" s="31" t="n"/>
      <c r="B713" s="32" t="n"/>
      <c r="C713" s="32" t="n"/>
      <c r="D713" s="32" t="n"/>
      <c r="E713" s="32" t="n"/>
      <c r="F713" s="32" t="n"/>
      <c r="G713" s="33" t="n"/>
      <c r="H713" s="32" t="n"/>
      <c r="I713" s="32" t="n"/>
      <c r="J713" s="32" t="n"/>
    </row>
    <row r="714">
      <c r="A714" s="28" t="n"/>
      <c r="B714" s="29" t="n"/>
      <c r="C714" s="29" t="n"/>
      <c r="D714" s="29" t="n"/>
      <c r="E714" s="29" t="n"/>
      <c r="F714" s="29" t="n"/>
      <c r="G714" s="30" t="n"/>
      <c r="H714" s="29" t="n"/>
      <c r="I714" s="29" t="n"/>
      <c r="J714" s="29" t="n"/>
    </row>
    <row r="715">
      <c r="A715" s="31" t="n"/>
      <c r="B715" s="32" t="n"/>
      <c r="C715" s="32" t="n"/>
      <c r="D715" s="32" t="n"/>
      <c r="E715" s="32" t="n"/>
      <c r="F715" s="32" t="n"/>
      <c r="G715" s="33" t="n"/>
      <c r="H715" s="32" t="n"/>
      <c r="I715" s="32" t="n"/>
      <c r="J715" s="32" t="n"/>
    </row>
    <row r="716">
      <c r="A716" s="28" t="n"/>
      <c r="B716" s="29" t="n"/>
      <c r="C716" s="29" t="n"/>
      <c r="D716" s="29" t="n"/>
      <c r="E716" s="29" t="n"/>
      <c r="F716" s="29" t="n"/>
      <c r="G716" s="30" t="n"/>
      <c r="H716" s="29" t="n"/>
      <c r="I716" s="29" t="n"/>
      <c r="J716" s="29" t="n"/>
    </row>
    <row r="717">
      <c r="A717" s="31" t="n"/>
      <c r="B717" s="32" t="n"/>
      <c r="C717" s="32" t="n"/>
      <c r="D717" s="32" t="n"/>
      <c r="E717" s="32" t="n"/>
      <c r="F717" s="32" t="n"/>
      <c r="G717" s="33" t="n"/>
      <c r="H717" s="32" t="n"/>
      <c r="I717" s="32" t="n"/>
      <c r="J717" s="32" t="n"/>
    </row>
    <row r="718">
      <c r="A718" s="28" t="n"/>
      <c r="B718" s="29" t="n"/>
      <c r="C718" s="29" t="n"/>
      <c r="D718" s="29" t="n"/>
      <c r="E718" s="29" t="n"/>
      <c r="F718" s="29" t="n"/>
      <c r="G718" s="30" t="n"/>
      <c r="H718" s="29" t="n"/>
      <c r="I718" s="29" t="n"/>
      <c r="J718" s="29" t="n"/>
    </row>
    <row r="719">
      <c r="A719" s="31" t="n"/>
      <c r="B719" s="32" t="n"/>
      <c r="C719" s="32" t="n"/>
      <c r="D719" s="32" t="n"/>
      <c r="E719" s="32" t="n"/>
      <c r="F719" s="32" t="n"/>
      <c r="G719" s="33" t="n"/>
      <c r="H719" s="32" t="n"/>
      <c r="I719" s="32" t="n"/>
      <c r="J719" s="32" t="n"/>
    </row>
    <row r="720">
      <c r="A720" s="28" t="n"/>
      <c r="B720" s="29" t="n"/>
      <c r="C720" s="29" t="n"/>
      <c r="D720" s="29" t="n"/>
      <c r="E720" s="29" t="n"/>
      <c r="F720" s="29" t="n"/>
      <c r="G720" s="30" t="n"/>
      <c r="H720" s="29" t="n"/>
      <c r="I720" s="29" t="n"/>
      <c r="J720" s="29" t="n"/>
    </row>
    <row r="721">
      <c r="A721" s="31" t="n"/>
      <c r="B721" s="32" t="n"/>
      <c r="C721" s="32" t="n"/>
      <c r="D721" s="32" t="n"/>
      <c r="E721" s="32" t="n"/>
      <c r="F721" s="32" t="n"/>
      <c r="G721" s="33" t="n"/>
      <c r="H721" s="32" t="n"/>
      <c r="I721" s="32" t="n"/>
      <c r="J721" s="32" t="n"/>
    </row>
    <row r="722">
      <c r="A722" s="28" t="n"/>
      <c r="B722" s="29" t="n"/>
      <c r="C722" s="29" t="n"/>
      <c r="D722" s="29" t="n"/>
      <c r="E722" s="29" t="n"/>
      <c r="F722" s="29" t="n"/>
      <c r="G722" s="30" t="n"/>
      <c r="H722" s="29" t="n"/>
      <c r="I722" s="29" t="n"/>
      <c r="J722" s="29" t="n"/>
    </row>
    <row r="723">
      <c r="A723" s="31" t="n"/>
      <c r="B723" s="32" t="n"/>
      <c r="C723" s="32" t="n"/>
      <c r="D723" s="32" t="n"/>
      <c r="E723" s="32" t="n"/>
      <c r="F723" s="32" t="n"/>
      <c r="G723" s="33" t="n"/>
      <c r="H723" s="32" t="n"/>
      <c r="I723" s="32" t="n"/>
      <c r="J723" s="32" t="n"/>
    </row>
    <row r="724">
      <c r="A724" s="28" t="n"/>
      <c r="B724" s="29" t="n"/>
      <c r="C724" s="29" t="n"/>
      <c r="D724" s="29" t="n"/>
      <c r="E724" s="29" t="n"/>
      <c r="F724" s="29" t="n"/>
      <c r="G724" s="30" t="n"/>
      <c r="H724" s="29" t="n"/>
      <c r="I724" s="29" t="n"/>
      <c r="J724" s="29" t="n"/>
    </row>
    <row r="725">
      <c r="A725" s="31" t="n"/>
      <c r="B725" s="32" t="n"/>
      <c r="C725" s="32" t="n"/>
      <c r="D725" s="32" t="n"/>
      <c r="E725" s="32" t="n"/>
      <c r="F725" s="32" t="n"/>
      <c r="G725" s="33" t="n"/>
      <c r="H725" s="32" t="n"/>
      <c r="I725" s="32" t="n"/>
      <c r="J725" s="32" t="n"/>
    </row>
    <row r="726">
      <c r="A726" s="28" t="n"/>
      <c r="B726" s="29" t="n"/>
      <c r="C726" s="29" t="n"/>
      <c r="D726" s="29" t="n"/>
      <c r="E726" s="29" t="n"/>
      <c r="F726" s="29" t="n"/>
      <c r="G726" s="30" t="n"/>
      <c r="H726" s="29" t="n"/>
      <c r="I726" s="29" t="n"/>
      <c r="J726" s="29" t="n"/>
    </row>
    <row r="727">
      <c r="A727" s="31" t="n"/>
      <c r="B727" s="32" t="n"/>
      <c r="C727" s="32" t="n"/>
      <c r="D727" s="32" t="n"/>
      <c r="E727" s="32" t="n"/>
      <c r="F727" s="32" t="n"/>
      <c r="G727" s="33" t="n"/>
      <c r="H727" s="32" t="n"/>
      <c r="I727" s="32" t="n"/>
      <c r="J727" s="32" t="n"/>
    </row>
    <row r="728">
      <c r="A728" s="28" t="n"/>
      <c r="B728" s="29" t="n"/>
      <c r="C728" s="29" t="n"/>
      <c r="D728" s="29" t="n"/>
      <c r="E728" s="29" t="n"/>
      <c r="F728" s="29" t="n"/>
      <c r="G728" s="30" t="n"/>
      <c r="H728" s="29" t="n"/>
      <c r="I728" s="29" t="n"/>
      <c r="J728" s="29" t="n"/>
    </row>
    <row r="729">
      <c r="A729" s="31" t="n"/>
      <c r="B729" s="32" t="n"/>
      <c r="C729" s="32" t="n"/>
      <c r="D729" s="32" t="n"/>
      <c r="E729" s="32" t="n"/>
      <c r="F729" s="32" t="n"/>
      <c r="G729" s="33" t="n"/>
      <c r="H729" s="32" t="n"/>
      <c r="I729" s="32" t="n"/>
      <c r="J729" s="32" t="n"/>
    </row>
    <row r="730">
      <c r="A730" s="28" t="n"/>
      <c r="B730" s="29" t="n"/>
      <c r="C730" s="29" t="n"/>
      <c r="D730" s="29" t="n"/>
      <c r="E730" s="29" t="n"/>
      <c r="F730" s="29" t="n"/>
      <c r="G730" s="30" t="n"/>
      <c r="H730" s="29" t="n"/>
      <c r="I730" s="29" t="n"/>
      <c r="J730" s="29" t="n"/>
    </row>
    <row r="731">
      <c r="A731" s="31" t="n"/>
      <c r="B731" s="32" t="n"/>
      <c r="C731" s="32" t="n"/>
      <c r="D731" s="32" t="n"/>
      <c r="E731" s="32" t="n"/>
      <c r="F731" s="32" t="n"/>
      <c r="G731" s="33" t="n"/>
      <c r="H731" s="32" t="n"/>
      <c r="I731" s="32" t="n"/>
      <c r="J731" s="32" t="n"/>
    </row>
    <row r="732">
      <c r="A732" s="28" t="n"/>
      <c r="B732" s="29" t="n"/>
      <c r="C732" s="29" t="n"/>
      <c r="D732" s="29" t="n"/>
      <c r="E732" s="29" t="n"/>
      <c r="F732" s="29" t="n"/>
      <c r="G732" s="30" t="n"/>
      <c r="H732" s="29" t="n"/>
      <c r="I732" s="29" t="n"/>
      <c r="J732" s="29" t="n"/>
    </row>
    <row r="733">
      <c r="A733" s="31" t="n"/>
      <c r="B733" s="32" t="n"/>
      <c r="C733" s="32" t="n"/>
      <c r="D733" s="32" t="n"/>
      <c r="E733" s="32" t="n"/>
      <c r="F733" s="32" t="n"/>
      <c r="G733" s="33" t="n"/>
      <c r="H733" s="32" t="n"/>
      <c r="I733" s="32" t="n"/>
      <c r="J733" s="32" t="n"/>
    </row>
    <row r="734">
      <c r="A734" s="28" t="n"/>
      <c r="B734" s="29" t="n"/>
      <c r="C734" s="29" t="n"/>
      <c r="D734" s="29" t="n"/>
      <c r="E734" s="29" t="n"/>
      <c r="F734" s="29" t="n"/>
      <c r="G734" s="30" t="n"/>
      <c r="H734" s="29" t="n"/>
      <c r="I734" s="29" t="n"/>
      <c r="J734" s="29" t="n"/>
    </row>
    <row r="735">
      <c r="A735" s="31" t="n"/>
      <c r="B735" s="32" t="n"/>
      <c r="C735" s="32" t="n"/>
      <c r="D735" s="32" t="n"/>
      <c r="E735" s="32" t="n"/>
      <c r="F735" s="32" t="n"/>
      <c r="G735" s="33" t="n"/>
      <c r="H735" s="32" t="n"/>
      <c r="I735" s="32" t="n"/>
      <c r="J735" s="32" t="n"/>
    </row>
    <row r="736">
      <c r="A736" s="28" t="n"/>
      <c r="B736" s="29" t="n"/>
      <c r="C736" s="29" t="n"/>
      <c r="D736" s="29" t="n"/>
      <c r="E736" s="29" t="n"/>
      <c r="F736" s="29" t="n"/>
      <c r="G736" s="30" t="n"/>
      <c r="H736" s="29" t="n"/>
      <c r="I736" s="29" t="n"/>
      <c r="J736" s="29" t="n"/>
    </row>
    <row r="737">
      <c r="A737" s="31" t="n"/>
      <c r="B737" s="32" t="n"/>
      <c r="C737" s="32" t="n"/>
      <c r="D737" s="32" t="n"/>
      <c r="E737" s="32" t="n"/>
      <c r="F737" s="32" t="n"/>
      <c r="G737" s="33" t="n"/>
      <c r="H737" s="32" t="n"/>
      <c r="I737" s="32" t="n"/>
      <c r="J737" s="32" t="n"/>
    </row>
    <row r="738">
      <c r="A738" s="28" t="n"/>
      <c r="B738" s="29" t="n"/>
      <c r="C738" s="29" t="n"/>
      <c r="D738" s="29" t="n"/>
      <c r="E738" s="29" t="n"/>
      <c r="F738" s="29" t="n"/>
      <c r="G738" s="30" t="n"/>
      <c r="H738" s="29" t="n"/>
      <c r="I738" s="29" t="n"/>
      <c r="J738" s="29" t="n"/>
    </row>
    <row r="739">
      <c r="A739" s="31" t="n"/>
      <c r="B739" s="32" t="n"/>
      <c r="C739" s="32" t="n"/>
      <c r="D739" s="32" t="n"/>
      <c r="E739" s="32" t="n"/>
      <c r="F739" s="32" t="n"/>
      <c r="G739" s="33" t="n"/>
      <c r="H739" s="32" t="n"/>
      <c r="I739" s="32" t="n"/>
      <c r="J739" s="32" t="n"/>
    </row>
    <row r="740">
      <c r="A740" s="28" t="n"/>
      <c r="B740" s="29" t="n"/>
      <c r="C740" s="29" t="n"/>
      <c r="D740" s="29" t="n"/>
      <c r="E740" s="29" t="n"/>
      <c r="F740" s="29" t="n"/>
      <c r="G740" s="30" t="n"/>
      <c r="H740" s="29" t="n"/>
      <c r="I740" s="29" t="n"/>
      <c r="J740" s="29" t="n"/>
    </row>
    <row r="741">
      <c r="A741" s="31" t="n"/>
      <c r="B741" s="32" t="n"/>
      <c r="C741" s="32" t="n"/>
      <c r="D741" s="32" t="n"/>
      <c r="E741" s="32" t="n"/>
      <c r="F741" s="32" t="n"/>
      <c r="G741" s="33" t="n"/>
      <c r="H741" s="32" t="n"/>
      <c r="I741" s="32" t="n"/>
      <c r="J741" s="32" t="n"/>
    </row>
    <row r="742">
      <c r="A742" s="28" t="n"/>
      <c r="B742" s="29" t="n"/>
      <c r="C742" s="29" t="n"/>
      <c r="D742" s="29" t="n"/>
      <c r="E742" s="29" t="n"/>
      <c r="F742" s="29" t="n"/>
      <c r="G742" s="30" t="n"/>
      <c r="H742" s="29" t="n"/>
      <c r="I742" s="29" t="n"/>
      <c r="J742" s="29" t="n"/>
    </row>
    <row r="743">
      <c r="A743" s="31" t="n"/>
      <c r="B743" s="32" t="n"/>
      <c r="C743" s="32" t="n"/>
      <c r="D743" s="32" t="n"/>
      <c r="E743" s="32" t="n"/>
      <c r="F743" s="32" t="n"/>
      <c r="G743" s="33" t="n"/>
      <c r="H743" s="32" t="n"/>
      <c r="I743" s="32" t="n"/>
      <c r="J743" s="32" t="n"/>
    </row>
    <row r="744">
      <c r="A744" s="28" t="n"/>
      <c r="B744" s="29" t="n"/>
      <c r="C744" s="29" t="n"/>
      <c r="D744" s="29" t="n"/>
      <c r="E744" s="29" t="n"/>
      <c r="F744" s="29" t="n"/>
      <c r="G744" s="30" t="n"/>
      <c r="H744" s="29" t="n"/>
      <c r="I744" s="29" t="n"/>
      <c r="J744" s="29" t="n"/>
    </row>
    <row r="745">
      <c r="A745" s="31" t="n"/>
      <c r="B745" s="32" t="n"/>
      <c r="C745" s="32" t="n"/>
      <c r="D745" s="32" t="n"/>
      <c r="E745" s="32" t="n"/>
      <c r="F745" s="32" t="n"/>
      <c r="G745" s="33" t="n"/>
      <c r="H745" s="32" t="n"/>
      <c r="I745" s="32" t="n"/>
      <c r="J745" s="32" t="n"/>
    </row>
    <row r="746">
      <c r="A746" s="28" t="n"/>
      <c r="B746" s="29" t="n"/>
      <c r="C746" s="29" t="n"/>
      <c r="D746" s="29" t="n"/>
      <c r="E746" s="29" t="n"/>
      <c r="F746" s="29" t="n"/>
      <c r="G746" s="30" t="n"/>
      <c r="H746" s="29" t="n"/>
      <c r="I746" s="29" t="n"/>
      <c r="J746" s="29" t="n"/>
    </row>
    <row r="747">
      <c r="A747" s="31" t="n"/>
      <c r="B747" s="32" t="n"/>
      <c r="C747" s="32" t="n"/>
      <c r="D747" s="32" t="n"/>
      <c r="E747" s="32" t="n"/>
      <c r="F747" s="32" t="n"/>
      <c r="G747" s="33" t="n"/>
      <c r="H747" s="32" t="n"/>
      <c r="I747" s="32" t="n"/>
      <c r="J747" s="32" t="n"/>
    </row>
    <row r="748">
      <c r="A748" s="28" t="n"/>
      <c r="B748" s="29" t="n"/>
      <c r="C748" s="29" t="n"/>
      <c r="D748" s="29" t="n"/>
      <c r="E748" s="29" t="n"/>
      <c r="F748" s="29" t="n"/>
      <c r="G748" s="30" t="n"/>
      <c r="H748" s="29" t="n"/>
      <c r="I748" s="29" t="n"/>
      <c r="J748" s="29" t="n"/>
    </row>
    <row r="749">
      <c r="A749" s="31" t="n"/>
      <c r="B749" s="32" t="n"/>
      <c r="C749" s="32" t="n"/>
      <c r="D749" s="32" t="n"/>
      <c r="E749" s="32" t="n"/>
      <c r="F749" s="32" t="n"/>
      <c r="G749" s="33" t="n"/>
      <c r="H749" s="32" t="n"/>
      <c r="I749" s="32" t="n"/>
      <c r="J749" s="32" t="n"/>
    </row>
    <row r="750">
      <c r="A750" s="28" t="n"/>
      <c r="B750" s="29" t="n"/>
      <c r="C750" s="29" t="n"/>
      <c r="D750" s="29" t="n"/>
      <c r="E750" s="29" t="n"/>
      <c r="F750" s="29" t="n"/>
      <c r="G750" s="30" t="n"/>
      <c r="H750" s="29" t="n"/>
      <c r="I750" s="29" t="n"/>
      <c r="J750" s="29" t="n"/>
    </row>
    <row r="751">
      <c r="A751" s="31" t="n"/>
      <c r="B751" s="32" t="n"/>
      <c r="C751" s="32" t="n"/>
      <c r="D751" s="32" t="n"/>
      <c r="E751" s="32" t="n"/>
      <c r="F751" s="32" t="n"/>
      <c r="G751" s="33" t="n"/>
      <c r="H751" s="32" t="n"/>
      <c r="I751" s="32" t="n"/>
      <c r="J751" s="32" t="n"/>
    </row>
    <row r="752">
      <c r="A752" s="28" t="n"/>
      <c r="B752" s="29" t="n"/>
      <c r="C752" s="29" t="n"/>
      <c r="D752" s="29" t="n"/>
      <c r="E752" s="29" t="n"/>
      <c r="F752" s="29" t="n"/>
      <c r="G752" s="30" t="n"/>
      <c r="H752" s="29" t="n"/>
      <c r="I752" s="29" t="n"/>
      <c r="J752" s="29" t="n"/>
    </row>
    <row r="753">
      <c r="A753" s="31" t="n"/>
      <c r="B753" s="32" t="n"/>
      <c r="C753" s="32" t="n"/>
      <c r="D753" s="32" t="n"/>
      <c r="E753" s="32" t="n"/>
      <c r="F753" s="32" t="n"/>
      <c r="G753" s="33" t="n"/>
      <c r="H753" s="32" t="n"/>
      <c r="I753" s="32" t="n"/>
      <c r="J753" s="32" t="n"/>
    </row>
    <row r="754">
      <c r="A754" s="28" t="n"/>
      <c r="B754" s="29" t="n"/>
      <c r="C754" s="29" t="n"/>
      <c r="D754" s="29" t="n"/>
      <c r="E754" s="29" t="n"/>
      <c r="F754" s="29" t="n"/>
      <c r="G754" s="30" t="n"/>
      <c r="H754" s="29" t="n"/>
      <c r="I754" s="29" t="n"/>
      <c r="J754" s="29" t="n"/>
    </row>
    <row r="755">
      <c r="A755" s="31" t="n"/>
      <c r="B755" s="32" t="n"/>
      <c r="C755" s="32" t="n"/>
      <c r="D755" s="32" t="n"/>
      <c r="E755" s="32" t="n"/>
      <c r="F755" s="32" t="n"/>
      <c r="G755" s="33" t="n"/>
      <c r="H755" s="32" t="n"/>
      <c r="I755" s="32" t="n"/>
      <c r="J755" s="32" t="n"/>
    </row>
    <row r="756">
      <c r="A756" s="28" t="n"/>
      <c r="B756" s="29" t="n"/>
      <c r="C756" s="29" t="n"/>
      <c r="D756" s="29" t="n"/>
      <c r="E756" s="29" t="n"/>
      <c r="F756" s="29" t="n"/>
      <c r="G756" s="30" t="n"/>
      <c r="H756" s="29" t="n"/>
      <c r="I756" s="29" t="n"/>
      <c r="J756" s="29" t="n"/>
    </row>
    <row r="757">
      <c r="A757" s="31" t="n"/>
      <c r="B757" s="32" t="n"/>
      <c r="C757" s="32" t="n"/>
      <c r="D757" s="32" t="n"/>
      <c r="E757" s="32" t="n"/>
      <c r="F757" s="32" t="n"/>
      <c r="G757" s="33" t="n"/>
      <c r="H757" s="32" t="n"/>
      <c r="I757" s="32" t="n"/>
      <c r="J757" s="32" t="n"/>
    </row>
    <row r="758">
      <c r="A758" s="28" t="n"/>
      <c r="B758" s="29" t="n"/>
      <c r="C758" s="29" t="n"/>
      <c r="D758" s="29" t="n"/>
      <c r="E758" s="29" t="n"/>
      <c r="F758" s="29" t="n"/>
      <c r="G758" s="30" t="n"/>
      <c r="H758" s="29" t="n"/>
      <c r="I758" s="29" t="n"/>
      <c r="J758" s="29" t="n"/>
    </row>
    <row r="759">
      <c r="A759" s="31" t="n"/>
      <c r="B759" s="32" t="n"/>
      <c r="C759" s="32" t="n"/>
      <c r="D759" s="32" t="n"/>
      <c r="E759" s="32" t="n"/>
      <c r="F759" s="32" t="n"/>
      <c r="G759" s="33" t="n"/>
      <c r="H759" s="32" t="n"/>
      <c r="I759" s="32" t="n"/>
      <c r="J759" s="32" t="n"/>
    </row>
    <row r="760">
      <c r="A760" s="28" t="n"/>
      <c r="B760" s="29" t="n"/>
      <c r="C760" s="29" t="n"/>
      <c r="D760" s="29" t="n"/>
      <c r="E760" s="29" t="n"/>
      <c r="F760" s="29" t="n"/>
      <c r="G760" s="30" t="n"/>
      <c r="H760" s="29" t="n"/>
      <c r="I760" s="29" t="n"/>
      <c r="J760" s="29" t="n"/>
    </row>
    <row r="761">
      <c r="A761" s="31" t="n"/>
      <c r="B761" s="32" t="n"/>
      <c r="C761" s="32" t="n"/>
      <c r="D761" s="32" t="n"/>
      <c r="E761" s="32" t="n"/>
      <c r="F761" s="32" t="n"/>
      <c r="G761" s="33" t="n"/>
      <c r="H761" s="32" t="n"/>
      <c r="I761" s="32" t="n"/>
      <c r="J761" s="32" t="n"/>
    </row>
    <row r="762">
      <c r="A762" s="28" t="n"/>
      <c r="B762" s="29" t="n"/>
      <c r="C762" s="29" t="n"/>
      <c r="D762" s="29" t="n"/>
      <c r="E762" s="29" t="n"/>
      <c r="F762" s="29" t="n"/>
      <c r="G762" s="30" t="n"/>
      <c r="H762" s="29" t="n"/>
      <c r="I762" s="29" t="n"/>
      <c r="J762" s="29" t="n"/>
    </row>
    <row r="763">
      <c r="A763" s="31" t="n"/>
      <c r="B763" s="32" t="n"/>
      <c r="C763" s="32" t="n"/>
      <c r="D763" s="32" t="n"/>
      <c r="E763" s="32" t="n"/>
      <c r="F763" s="32" t="n"/>
      <c r="G763" s="33" t="n"/>
      <c r="H763" s="32" t="n"/>
      <c r="I763" s="32" t="n"/>
      <c r="J763" s="32" t="n"/>
    </row>
    <row r="764">
      <c r="A764" s="28" t="n"/>
      <c r="B764" s="29" t="n"/>
      <c r="C764" s="29" t="n"/>
      <c r="D764" s="29" t="n"/>
      <c r="E764" s="29" t="n"/>
      <c r="F764" s="29" t="n"/>
      <c r="G764" s="30" t="n"/>
      <c r="H764" s="29" t="n"/>
      <c r="I764" s="29" t="n"/>
      <c r="J764" s="29" t="n"/>
    </row>
    <row r="765">
      <c r="A765" s="31" t="n"/>
      <c r="B765" s="32" t="n"/>
      <c r="C765" s="32" t="n"/>
      <c r="D765" s="32" t="n"/>
      <c r="E765" s="32" t="n"/>
      <c r="F765" s="32" t="n"/>
      <c r="G765" s="33" t="n"/>
      <c r="H765" s="32" t="n"/>
      <c r="I765" s="32" t="n"/>
      <c r="J765" s="32" t="n"/>
    </row>
    <row r="766">
      <c r="A766" s="28" t="n"/>
      <c r="B766" s="29" t="n"/>
      <c r="C766" s="29" t="n"/>
      <c r="D766" s="29" t="n"/>
      <c r="E766" s="29" t="n"/>
      <c r="F766" s="29" t="n"/>
      <c r="G766" s="30" t="n"/>
      <c r="H766" s="29" t="n"/>
      <c r="I766" s="29" t="n"/>
      <c r="J766" s="29" t="n"/>
    </row>
    <row r="767">
      <c r="A767" s="31" t="n"/>
      <c r="B767" s="32" t="n"/>
      <c r="C767" s="32" t="n"/>
      <c r="D767" s="32" t="n"/>
      <c r="E767" s="32" t="n"/>
      <c r="F767" s="32" t="n"/>
      <c r="G767" s="33" t="n"/>
      <c r="H767" s="32" t="n"/>
      <c r="I767" s="32" t="n"/>
      <c r="J767" s="32" t="n"/>
    </row>
    <row r="768">
      <c r="A768" s="28" t="n"/>
      <c r="B768" s="29" t="n"/>
      <c r="C768" s="29" t="n"/>
      <c r="D768" s="29" t="n"/>
      <c r="E768" s="29" t="n"/>
      <c r="F768" s="29" t="n"/>
      <c r="G768" s="30" t="n"/>
      <c r="H768" s="29" t="n"/>
      <c r="I768" s="29" t="n"/>
      <c r="J768" s="29" t="n"/>
    </row>
    <row r="769">
      <c r="A769" s="31" t="n"/>
      <c r="B769" s="32" t="n"/>
      <c r="C769" s="32" t="n"/>
      <c r="D769" s="32" t="n"/>
      <c r="E769" s="32" t="n"/>
      <c r="F769" s="32" t="n"/>
      <c r="G769" s="33" t="n"/>
      <c r="H769" s="32" t="n"/>
      <c r="I769" s="32" t="n"/>
      <c r="J769" s="32" t="n"/>
    </row>
    <row r="770">
      <c r="A770" s="28" t="n"/>
      <c r="B770" s="29" t="n"/>
      <c r="C770" s="29" t="n"/>
      <c r="D770" s="29" t="n"/>
      <c r="E770" s="29" t="n"/>
      <c r="F770" s="29" t="n"/>
      <c r="G770" s="30" t="n"/>
      <c r="H770" s="29" t="n"/>
      <c r="I770" s="29" t="n"/>
      <c r="J770" s="29" t="n"/>
    </row>
    <row r="771">
      <c r="A771" s="31" t="n"/>
      <c r="B771" s="32" t="n"/>
      <c r="C771" s="32" t="n"/>
      <c r="D771" s="32" t="n"/>
      <c r="E771" s="32" t="n"/>
      <c r="F771" s="32" t="n"/>
      <c r="G771" s="33" t="n"/>
      <c r="H771" s="32" t="n"/>
      <c r="I771" s="32" t="n"/>
      <c r="J771" s="32" t="n"/>
    </row>
    <row r="772">
      <c r="A772" s="28" t="n"/>
      <c r="B772" s="29" t="n"/>
      <c r="C772" s="29" t="n"/>
      <c r="D772" s="29" t="n"/>
      <c r="E772" s="29" t="n"/>
      <c r="F772" s="29" t="n"/>
      <c r="G772" s="30" t="n"/>
      <c r="H772" s="29" t="n"/>
      <c r="I772" s="29" t="n"/>
      <c r="J772" s="29" t="n"/>
    </row>
    <row r="773">
      <c r="A773" s="31" t="n"/>
      <c r="B773" s="32" t="n"/>
      <c r="C773" s="32" t="n"/>
      <c r="D773" s="32" t="n"/>
      <c r="E773" s="32" t="n"/>
      <c r="F773" s="32" t="n"/>
      <c r="G773" s="33" t="n"/>
      <c r="H773" s="32" t="n"/>
      <c r="I773" s="32" t="n"/>
      <c r="J773" s="32" t="n"/>
    </row>
    <row r="774">
      <c r="A774" s="28" t="n"/>
      <c r="B774" s="29" t="n"/>
      <c r="C774" s="29" t="n"/>
      <c r="D774" s="29" t="n"/>
      <c r="E774" s="29" t="n"/>
      <c r="F774" s="29" t="n"/>
      <c r="G774" s="30" t="n"/>
      <c r="H774" s="29" t="n"/>
      <c r="I774" s="29" t="n"/>
      <c r="J774" s="29" t="n"/>
    </row>
    <row r="775">
      <c r="A775" s="31" t="n"/>
      <c r="B775" s="32" t="n"/>
      <c r="C775" s="32" t="n"/>
      <c r="D775" s="32" t="n"/>
      <c r="E775" s="32" t="n"/>
      <c r="F775" s="32" t="n"/>
      <c r="G775" s="33" t="n"/>
      <c r="H775" s="32" t="n"/>
      <c r="I775" s="32" t="n"/>
      <c r="J775" s="32" t="n"/>
    </row>
    <row r="776">
      <c r="A776" s="28" t="n"/>
      <c r="B776" s="29" t="n"/>
      <c r="C776" s="29" t="n"/>
      <c r="D776" s="29" t="n"/>
      <c r="E776" s="29" t="n"/>
      <c r="F776" s="29" t="n"/>
      <c r="G776" s="30" t="n"/>
      <c r="H776" s="29" t="n"/>
      <c r="I776" s="29" t="n"/>
      <c r="J776" s="29" t="n"/>
    </row>
    <row r="777">
      <c r="A777" s="31" t="n"/>
      <c r="B777" s="32" t="n"/>
      <c r="C777" s="32" t="n"/>
      <c r="D777" s="32" t="n"/>
      <c r="E777" s="32" t="n"/>
      <c r="F777" s="32" t="n"/>
      <c r="G777" s="33" t="n"/>
      <c r="H777" s="32" t="n"/>
      <c r="I777" s="32" t="n"/>
      <c r="J777" s="32" t="n"/>
    </row>
    <row r="778">
      <c r="A778" s="28" t="n"/>
      <c r="B778" s="29" t="n"/>
      <c r="C778" s="29" t="n"/>
      <c r="D778" s="29" t="n"/>
      <c r="E778" s="29" t="n"/>
      <c r="F778" s="29" t="n"/>
      <c r="G778" s="30" t="n"/>
      <c r="H778" s="29" t="n"/>
      <c r="I778" s="29" t="n"/>
      <c r="J778" s="29" t="n"/>
    </row>
    <row r="779">
      <c r="A779" s="31" t="n"/>
      <c r="B779" s="32" t="n"/>
      <c r="C779" s="32" t="n"/>
      <c r="D779" s="32" t="n"/>
      <c r="E779" s="32" t="n"/>
      <c r="F779" s="32" t="n"/>
      <c r="G779" s="33" t="n"/>
      <c r="H779" s="32" t="n"/>
      <c r="I779" s="32" t="n"/>
      <c r="J779" s="32" t="n"/>
    </row>
    <row r="780">
      <c r="A780" s="28" t="n"/>
      <c r="B780" s="29" t="n"/>
      <c r="C780" s="29" t="n"/>
      <c r="D780" s="29" t="n"/>
      <c r="E780" s="29" t="n"/>
      <c r="F780" s="29" t="n"/>
      <c r="G780" s="30" t="n"/>
      <c r="H780" s="29" t="n"/>
      <c r="I780" s="29" t="n"/>
      <c r="J780" s="29" t="n"/>
    </row>
    <row r="781">
      <c r="A781" s="31" t="n"/>
      <c r="B781" s="32" t="n"/>
      <c r="C781" s="32" t="n"/>
      <c r="D781" s="32" t="n"/>
      <c r="E781" s="32" t="n"/>
      <c r="F781" s="32" t="n"/>
      <c r="G781" s="33" t="n"/>
      <c r="H781" s="32" t="n"/>
      <c r="I781" s="32" t="n"/>
      <c r="J781" s="32" t="n"/>
    </row>
    <row r="782">
      <c r="A782" s="28" t="n"/>
      <c r="B782" s="29" t="n"/>
      <c r="C782" s="29" t="n"/>
      <c r="D782" s="29" t="n"/>
      <c r="E782" s="29" t="n"/>
      <c r="F782" s="29" t="n"/>
      <c r="G782" s="30" t="n"/>
      <c r="H782" s="29" t="n"/>
      <c r="I782" s="29" t="n"/>
      <c r="J782" s="29" t="n"/>
    </row>
    <row r="783">
      <c r="A783" s="31" t="n"/>
      <c r="B783" s="32" t="n"/>
      <c r="C783" s="32" t="n"/>
      <c r="D783" s="32" t="n"/>
      <c r="E783" s="32" t="n"/>
      <c r="F783" s="32" t="n"/>
      <c r="G783" s="33" t="n"/>
      <c r="H783" s="32" t="n"/>
      <c r="I783" s="32" t="n"/>
      <c r="J783" s="32" t="n"/>
    </row>
    <row r="784">
      <c r="A784" s="28" t="n"/>
      <c r="B784" s="29" t="n"/>
      <c r="C784" s="29" t="n"/>
      <c r="D784" s="29" t="n"/>
      <c r="E784" s="29" t="n"/>
      <c r="F784" s="29" t="n"/>
      <c r="G784" s="30" t="n"/>
      <c r="H784" s="29" t="n"/>
      <c r="I784" s="29" t="n"/>
      <c r="J784" s="29" t="n"/>
    </row>
    <row r="785">
      <c r="A785" s="31" t="n"/>
      <c r="B785" s="32" t="n"/>
      <c r="C785" s="32" t="n"/>
      <c r="D785" s="32" t="n"/>
      <c r="E785" s="32" t="n"/>
      <c r="F785" s="32" t="n"/>
      <c r="G785" s="33" t="n"/>
      <c r="H785" s="32" t="n"/>
      <c r="I785" s="32" t="n"/>
      <c r="J785" s="32" t="n"/>
    </row>
    <row r="786">
      <c r="A786" s="28" t="n"/>
      <c r="B786" s="29" t="n"/>
      <c r="C786" s="29" t="n"/>
      <c r="D786" s="29" t="n"/>
      <c r="E786" s="29" t="n"/>
      <c r="F786" s="29" t="n"/>
      <c r="G786" s="30" t="n"/>
      <c r="H786" s="29" t="n"/>
      <c r="I786" s="29" t="n"/>
      <c r="J786" s="29" t="n"/>
    </row>
    <row r="787">
      <c r="A787" s="31" t="n"/>
      <c r="B787" s="32" t="n"/>
      <c r="C787" s="32" t="n"/>
      <c r="D787" s="32" t="n"/>
      <c r="E787" s="32" t="n"/>
      <c r="F787" s="32" t="n"/>
      <c r="G787" s="33" t="n"/>
      <c r="H787" s="32" t="n"/>
      <c r="I787" s="32" t="n"/>
      <c r="J787" s="32" t="n"/>
    </row>
    <row r="788">
      <c r="A788" s="28" t="n"/>
      <c r="B788" s="29" t="n"/>
      <c r="C788" s="29" t="n"/>
      <c r="D788" s="29" t="n"/>
      <c r="E788" s="29" t="n"/>
      <c r="F788" s="29" t="n"/>
      <c r="G788" s="30" t="n"/>
      <c r="H788" s="29" t="n"/>
      <c r="I788" s="29" t="n"/>
      <c r="J788" s="29" t="n"/>
    </row>
    <row r="789">
      <c r="A789" s="31" t="n"/>
      <c r="B789" s="32" t="n"/>
      <c r="C789" s="32" t="n"/>
      <c r="D789" s="32" t="n"/>
      <c r="E789" s="32" t="n"/>
      <c r="F789" s="32" t="n"/>
      <c r="G789" s="33" t="n"/>
      <c r="H789" s="32" t="n"/>
      <c r="I789" s="32" t="n"/>
      <c r="J789" s="32" t="n"/>
    </row>
    <row r="790">
      <c r="A790" s="28" t="n"/>
      <c r="B790" s="29" t="n"/>
      <c r="C790" s="29" t="n"/>
      <c r="D790" s="29" t="n"/>
      <c r="E790" s="29" t="n"/>
      <c r="F790" s="29" t="n"/>
      <c r="G790" s="30" t="n"/>
      <c r="H790" s="29" t="n"/>
      <c r="I790" s="29" t="n"/>
      <c r="J790" s="29" t="n"/>
    </row>
    <row r="791">
      <c r="A791" s="31" t="n"/>
      <c r="B791" s="32" t="n"/>
      <c r="C791" s="32" t="n"/>
      <c r="D791" s="32" t="n"/>
      <c r="E791" s="32" t="n"/>
      <c r="F791" s="32" t="n"/>
      <c r="G791" s="33" t="n"/>
      <c r="H791" s="32" t="n"/>
      <c r="I791" s="32" t="n"/>
      <c r="J791" s="32" t="n"/>
    </row>
    <row r="792">
      <c r="A792" s="28" t="n"/>
      <c r="B792" s="29" t="n"/>
      <c r="C792" s="29" t="n"/>
      <c r="D792" s="29" t="n"/>
      <c r="E792" s="29" t="n"/>
      <c r="F792" s="29" t="n"/>
      <c r="G792" s="30" t="n"/>
      <c r="H792" s="29" t="n"/>
      <c r="I792" s="29" t="n"/>
      <c r="J792" s="29" t="n"/>
    </row>
    <row r="793">
      <c r="A793" s="31" t="n"/>
      <c r="B793" s="32" t="n"/>
      <c r="C793" s="32" t="n"/>
      <c r="D793" s="32" t="n"/>
      <c r="E793" s="32" t="n"/>
      <c r="F793" s="32" t="n"/>
      <c r="G793" s="33" t="n"/>
      <c r="H793" s="32" t="n"/>
      <c r="I793" s="32" t="n"/>
      <c r="J793" s="32" t="n"/>
    </row>
    <row r="794">
      <c r="A794" s="28" t="n"/>
      <c r="B794" s="29" t="n"/>
      <c r="C794" s="29" t="n"/>
      <c r="D794" s="29" t="n"/>
      <c r="E794" s="29" t="n"/>
      <c r="F794" s="29" t="n"/>
      <c r="G794" s="30" t="n"/>
      <c r="H794" s="29" t="n"/>
      <c r="I794" s="29" t="n"/>
      <c r="J794" s="29" t="n"/>
    </row>
    <row r="795">
      <c r="A795" s="31" t="n"/>
      <c r="B795" s="32" t="n"/>
      <c r="C795" s="32" t="n"/>
      <c r="D795" s="32" t="n"/>
      <c r="E795" s="32" t="n"/>
      <c r="F795" s="32" t="n"/>
      <c r="G795" s="33" t="n"/>
      <c r="H795" s="32" t="n"/>
      <c r="I795" s="32" t="n"/>
      <c r="J795" s="32" t="n"/>
    </row>
    <row r="796">
      <c r="A796" s="28" t="n"/>
      <c r="B796" s="29" t="n"/>
      <c r="C796" s="29" t="n"/>
      <c r="D796" s="29" t="n"/>
      <c r="E796" s="29" t="n"/>
      <c r="F796" s="29" t="n"/>
      <c r="G796" s="30" t="n"/>
      <c r="H796" s="29" t="n"/>
      <c r="I796" s="29" t="n"/>
      <c r="J796" s="29" t="n"/>
    </row>
    <row r="797">
      <c r="A797" s="31" t="n"/>
      <c r="B797" s="32" t="n"/>
      <c r="C797" s="32" t="n"/>
      <c r="D797" s="32" t="n"/>
      <c r="E797" s="32" t="n"/>
      <c r="F797" s="32" t="n"/>
      <c r="G797" s="33" t="n"/>
      <c r="H797" s="32" t="n"/>
      <c r="I797" s="32" t="n"/>
      <c r="J797" s="32" t="n"/>
    </row>
    <row r="798">
      <c r="A798" s="28" t="n"/>
      <c r="B798" s="29" t="n"/>
      <c r="C798" s="29" t="n"/>
      <c r="D798" s="29" t="n"/>
      <c r="E798" s="29" t="n"/>
      <c r="F798" s="29" t="n"/>
      <c r="G798" s="30" t="n"/>
      <c r="H798" s="29" t="n"/>
      <c r="I798" s="29" t="n"/>
      <c r="J798" s="29" t="n"/>
    </row>
    <row r="799">
      <c r="A799" s="31" t="n"/>
      <c r="B799" s="32" t="n"/>
      <c r="C799" s="32" t="n"/>
      <c r="D799" s="32" t="n"/>
      <c r="E799" s="32" t="n"/>
      <c r="F799" s="32" t="n"/>
      <c r="G799" s="33" t="n"/>
      <c r="H799" s="32" t="n"/>
      <c r="I799" s="32" t="n"/>
      <c r="J799" s="32" t="n"/>
    </row>
    <row r="800">
      <c r="A800" s="28" t="n"/>
      <c r="B800" s="29" t="n"/>
      <c r="C800" s="29" t="n"/>
      <c r="D800" s="29" t="n"/>
      <c r="E800" s="29" t="n"/>
      <c r="F800" s="29" t="n"/>
      <c r="G800" s="30" t="n"/>
      <c r="H800" s="29" t="n"/>
      <c r="I800" s="29" t="n"/>
      <c r="J800" s="29" t="n"/>
    </row>
    <row r="801">
      <c r="A801" s="31" t="n"/>
      <c r="B801" s="32" t="n"/>
      <c r="C801" s="32" t="n"/>
      <c r="D801" s="32" t="n"/>
      <c r="E801" s="32" t="n"/>
      <c r="F801" s="32" t="n"/>
      <c r="G801" s="33" t="n"/>
      <c r="H801" s="32" t="n"/>
      <c r="I801" s="32" t="n"/>
      <c r="J801" s="32" t="n"/>
    </row>
    <row r="802">
      <c r="A802" s="28" t="n"/>
      <c r="B802" s="29" t="n"/>
      <c r="C802" s="29" t="n"/>
      <c r="D802" s="29" t="n"/>
      <c r="E802" s="29" t="n"/>
      <c r="F802" s="29" t="n"/>
      <c r="G802" s="30" t="n"/>
      <c r="H802" s="29" t="n"/>
      <c r="I802" s="29" t="n"/>
      <c r="J802" s="29" t="n"/>
    </row>
    <row r="803">
      <c r="A803" s="31" t="n"/>
      <c r="B803" s="32" t="n"/>
      <c r="C803" s="32" t="n"/>
      <c r="D803" s="32" t="n"/>
      <c r="E803" s="32" t="n"/>
      <c r="F803" s="32" t="n"/>
      <c r="G803" s="33" t="n"/>
      <c r="H803" s="32" t="n"/>
      <c r="I803" s="32" t="n"/>
      <c r="J803" s="32" t="n"/>
    </row>
    <row r="804">
      <c r="A804" s="28" t="n"/>
      <c r="B804" s="29" t="n"/>
      <c r="C804" s="29" t="n"/>
      <c r="D804" s="29" t="n"/>
      <c r="E804" s="29" t="n"/>
      <c r="F804" s="29" t="n"/>
      <c r="G804" s="30" t="n"/>
      <c r="H804" s="29" t="n"/>
      <c r="I804" s="29" t="n"/>
      <c r="J804" s="29" t="n"/>
    </row>
    <row r="805">
      <c r="A805" s="31" t="n"/>
      <c r="B805" s="32" t="n"/>
      <c r="C805" s="32" t="n"/>
      <c r="D805" s="32" t="n"/>
      <c r="E805" s="32" t="n"/>
      <c r="F805" s="32" t="n"/>
      <c r="G805" s="33" t="n"/>
      <c r="H805" s="32" t="n"/>
      <c r="I805" s="32" t="n"/>
      <c r="J805" s="32" t="n"/>
    </row>
    <row r="806">
      <c r="A806" s="28" t="n"/>
      <c r="B806" s="29" t="n"/>
      <c r="C806" s="29" t="n"/>
      <c r="D806" s="29" t="n"/>
      <c r="E806" s="29" t="n"/>
      <c r="F806" s="29" t="n"/>
      <c r="G806" s="30" t="n"/>
      <c r="H806" s="29" t="n"/>
      <c r="I806" s="29" t="n"/>
      <c r="J806" s="29" t="n"/>
    </row>
    <row r="807">
      <c r="A807" s="31" t="n"/>
      <c r="B807" s="32" t="n"/>
      <c r="C807" s="32" t="n"/>
      <c r="D807" s="32" t="n"/>
      <c r="E807" s="32" t="n"/>
      <c r="F807" s="32" t="n"/>
      <c r="G807" s="33" t="n"/>
      <c r="H807" s="32" t="n"/>
      <c r="I807" s="32" t="n"/>
      <c r="J807" s="32" t="n"/>
    </row>
    <row r="808">
      <c r="A808" s="28" t="n"/>
      <c r="B808" s="29" t="n"/>
      <c r="C808" s="29" t="n"/>
      <c r="D808" s="29" t="n"/>
      <c r="E808" s="29" t="n"/>
      <c r="F808" s="29" t="n"/>
      <c r="G808" s="30" t="n"/>
      <c r="H808" s="29" t="n"/>
      <c r="I808" s="29" t="n"/>
      <c r="J808" s="29" t="n"/>
    </row>
    <row r="809">
      <c r="A809" s="31" t="n"/>
      <c r="B809" s="32" t="n"/>
      <c r="C809" s="32" t="n"/>
      <c r="D809" s="32" t="n"/>
      <c r="E809" s="32" t="n"/>
      <c r="F809" s="32" t="n"/>
      <c r="G809" s="33" t="n"/>
      <c r="H809" s="32" t="n"/>
      <c r="I809" s="32" t="n"/>
      <c r="J809" s="32" t="n"/>
    </row>
    <row r="810">
      <c r="A810" s="28" t="n"/>
      <c r="B810" s="29" t="n"/>
      <c r="C810" s="29" t="n"/>
      <c r="D810" s="29" t="n"/>
      <c r="E810" s="29" t="n"/>
      <c r="F810" s="29" t="n"/>
      <c r="G810" s="30" t="n"/>
      <c r="H810" s="29" t="n"/>
      <c r="I810" s="29" t="n"/>
      <c r="J810" s="29" t="n"/>
    </row>
    <row r="811">
      <c r="A811" s="31" t="n"/>
      <c r="B811" s="32" t="n"/>
      <c r="C811" s="32" t="n"/>
      <c r="D811" s="32" t="n"/>
      <c r="E811" s="32" t="n"/>
      <c r="F811" s="32" t="n"/>
      <c r="G811" s="33" t="n"/>
      <c r="H811" s="32" t="n"/>
      <c r="I811" s="32" t="n"/>
      <c r="J811" s="32" t="n"/>
    </row>
    <row r="812">
      <c r="A812" s="28" t="n"/>
      <c r="B812" s="29" t="n"/>
      <c r="C812" s="29" t="n"/>
      <c r="D812" s="29" t="n"/>
      <c r="E812" s="29" t="n"/>
      <c r="F812" s="29" t="n"/>
      <c r="G812" s="30" t="n"/>
      <c r="H812" s="29" t="n"/>
      <c r="I812" s="29" t="n"/>
      <c r="J812" s="29" t="n"/>
    </row>
    <row r="813">
      <c r="A813" s="31" t="n"/>
      <c r="B813" s="32" t="n"/>
      <c r="C813" s="32" t="n"/>
      <c r="D813" s="32" t="n"/>
      <c r="E813" s="32" t="n"/>
      <c r="F813" s="32" t="n"/>
      <c r="G813" s="33" t="n"/>
      <c r="H813" s="32" t="n"/>
      <c r="I813" s="32" t="n"/>
      <c r="J813" s="32" t="n"/>
    </row>
    <row r="814">
      <c r="A814" s="28" t="n"/>
      <c r="B814" s="29" t="n"/>
      <c r="C814" s="29" t="n"/>
      <c r="D814" s="29" t="n"/>
      <c r="E814" s="29" t="n"/>
      <c r="F814" s="29" t="n"/>
      <c r="G814" s="30" t="n"/>
      <c r="H814" s="29" t="n"/>
      <c r="I814" s="29" t="n"/>
      <c r="J814" s="29" t="n"/>
    </row>
    <row r="815">
      <c r="A815" s="31" t="n"/>
      <c r="B815" s="32" t="n"/>
      <c r="C815" s="32" t="n"/>
      <c r="D815" s="32" t="n"/>
      <c r="E815" s="32" t="n"/>
      <c r="F815" s="32" t="n"/>
      <c r="G815" s="33" t="n"/>
      <c r="H815" s="32" t="n"/>
      <c r="I815" s="32" t="n"/>
      <c r="J815" s="32" t="n"/>
    </row>
    <row r="816">
      <c r="A816" s="28" t="n"/>
      <c r="B816" s="29" t="n"/>
      <c r="C816" s="29" t="n"/>
      <c r="D816" s="29" t="n"/>
      <c r="E816" s="29" t="n"/>
      <c r="F816" s="29" t="n"/>
      <c r="G816" s="30" t="n"/>
      <c r="H816" s="29" t="n"/>
      <c r="I816" s="29" t="n"/>
      <c r="J816" s="29" t="n"/>
    </row>
    <row r="817">
      <c r="A817" s="31" t="n"/>
      <c r="B817" s="32" t="n"/>
      <c r="C817" s="32" t="n"/>
      <c r="D817" s="32" t="n"/>
      <c r="E817" s="32" t="n"/>
      <c r="F817" s="32" t="n"/>
      <c r="G817" s="33" t="n"/>
      <c r="H817" s="32" t="n"/>
      <c r="I817" s="32" t="n"/>
      <c r="J817" s="32" t="n"/>
    </row>
    <row r="818">
      <c r="A818" s="28" t="n"/>
      <c r="B818" s="29" t="n"/>
      <c r="C818" s="29" t="n"/>
      <c r="D818" s="29" t="n"/>
      <c r="E818" s="29" t="n"/>
      <c r="F818" s="29" t="n"/>
      <c r="G818" s="30" t="n"/>
      <c r="H818" s="29" t="n"/>
      <c r="I818" s="29" t="n"/>
      <c r="J818" s="29" t="n"/>
    </row>
    <row r="819">
      <c r="A819" s="31" t="n"/>
      <c r="B819" s="32" t="n"/>
      <c r="C819" s="32" t="n"/>
      <c r="D819" s="32" t="n"/>
      <c r="E819" s="32" t="n"/>
      <c r="F819" s="32" t="n"/>
      <c r="G819" s="33" t="n"/>
      <c r="H819" s="32" t="n"/>
      <c r="I819" s="32" t="n"/>
      <c r="J819" s="32" t="n"/>
    </row>
    <row r="820">
      <c r="A820" s="28" t="n"/>
      <c r="B820" s="29" t="n"/>
      <c r="C820" s="29" t="n"/>
      <c r="D820" s="29" t="n"/>
      <c r="E820" s="29" t="n"/>
      <c r="F820" s="29" t="n"/>
      <c r="G820" s="30" t="n"/>
      <c r="H820" s="29" t="n"/>
      <c r="I820" s="29" t="n"/>
      <c r="J820" s="29" t="n"/>
    </row>
    <row r="821">
      <c r="A821" s="31" t="n"/>
      <c r="B821" s="32" t="n"/>
      <c r="C821" s="32" t="n"/>
      <c r="D821" s="32" t="n"/>
      <c r="E821" s="32" t="n"/>
      <c r="F821" s="32" t="n"/>
      <c r="G821" s="33" t="n"/>
      <c r="H821" s="32" t="n"/>
      <c r="I821" s="32" t="n"/>
      <c r="J821" s="32" t="n"/>
    </row>
    <row r="822">
      <c r="A822" s="28" t="n"/>
      <c r="B822" s="29" t="n"/>
      <c r="C822" s="29" t="n"/>
      <c r="D822" s="29" t="n"/>
      <c r="E822" s="29" t="n"/>
      <c r="F822" s="29" t="n"/>
      <c r="G822" s="30" t="n"/>
      <c r="H822" s="29" t="n"/>
      <c r="I822" s="29" t="n"/>
      <c r="J822" s="29" t="n"/>
    </row>
    <row r="823">
      <c r="A823" s="31" t="n"/>
      <c r="B823" s="32" t="n"/>
      <c r="C823" s="32" t="n"/>
      <c r="D823" s="32" t="n"/>
      <c r="E823" s="32" t="n"/>
      <c r="F823" s="32" t="n"/>
      <c r="G823" s="33" t="n"/>
      <c r="H823" s="32" t="n"/>
      <c r="I823" s="32" t="n"/>
      <c r="J823" s="32" t="n"/>
    </row>
    <row r="824">
      <c r="A824" s="28" t="n"/>
      <c r="B824" s="29" t="n"/>
      <c r="C824" s="29" t="n"/>
      <c r="D824" s="29" t="n"/>
      <c r="E824" s="29" t="n"/>
      <c r="F824" s="29" t="n"/>
      <c r="G824" s="30" t="n"/>
      <c r="H824" s="29" t="n"/>
      <c r="I824" s="29" t="n"/>
      <c r="J824" s="29" t="n"/>
    </row>
    <row r="825">
      <c r="A825" s="31" t="n"/>
      <c r="B825" s="32" t="n"/>
      <c r="C825" s="32" t="n"/>
      <c r="D825" s="32" t="n"/>
      <c r="E825" s="32" t="n"/>
      <c r="F825" s="32" t="n"/>
      <c r="G825" s="33" t="n"/>
      <c r="H825" s="32" t="n"/>
      <c r="I825" s="32" t="n"/>
      <c r="J825" s="32" t="n"/>
    </row>
    <row r="826">
      <c r="A826" s="28" t="n"/>
      <c r="B826" s="29" t="n"/>
      <c r="C826" s="29" t="n"/>
      <c r="D826" s="29" t="n"/>
      <c r="E826" s="29" t="n"/>
      <c r="F826" s="29" t="n"/>
      <c r="G826" s="30" t="n"/>
      <c r="H826" s="29" t="n"/>
      <c r="I826" s="29" t="n"/>
      <c r="J826" s="29" t="n"/>
    </row>
    <row r="827">
      <c r="A827" s="31" t="n"/>
      <c r="B827" s="32" t="n"/>
      <c r="C827" s="32" t="n"/>
      <c r="D827" s="32" t="n"/>
      <c r="E827" s="32" t="n"/>
      <c r="F827" s="32" t="n"/>
      <c r="G827" s="33" t="n"/>
      <c r="H827" s="32" t="n"/>
      <c r="I827" s="32" t="n"/>
      <c r="J827" s="32" t="n"/>
    </row>
    <row r="828">
      <c r="A828" s="28" t="n"/>
      <c r="B828" s="29" t="n"/>
      <c r="C828" s="29" t="n"/>
      <c r="D828" s="29" t="n"/>
      <c r="E828" s="29" t="n"/>
      <c r="F828" s="29" t="n"/>
      <c r="G828" s="30" t="n"/>
      <c r="H828" s="29" t="n"/>
      <c r="I828" s="29" t="n"/>
      <c r="J828" s="29" t="n"/>
    </row>
    <row r="829">
      <c r="A829" s="31" t="n"/>
      <c r="B829" s="32" t="n"/>
      <c r="C829" s="32" t="n"/>
      <c r="D829" s="32" t="n"/>
      <c r="E829" s="32" t="n"/>
      <c r="F829" s="32" t="n"/>
      <c r="G829" s="33" t="n"/>
      <c r="H829" s="32" t="n"/>
      <c r="I829" s="32" t="n"/>
      <c r="J829" s="32" t="n"/>
    </row>
    <row r="830">
      <c r="A830" s="28" t="n"/>
      <c r="B830" s="29" t="n"/>
      <c r="C830" s="29" t="n"/>
      <c r="D830" s="29" t="n"/>
      <c r="E830" s="29" t="n"/>
      <c r="F830" s="29" t="n"/>
      <c r="G830" s="30" t="n"/>
      <c r="H830" s="29" t="n"/>
      <c r="I830" s="29" t="n"/>
      <c r="J830" s="29" t="n"/>
    </row>
    <row r="831">
      <c r="A831" s="31" t="n"/>
      <c r="B831" s="32" t="n"/>
      <c r="C831" s="32" t="n"/>
      <c r="D831" s="32" t="n"/>
      <c r="E831" s="32" t="n"/>
      <c r="F831" s="32" t="n"/>
      <c r="G831" s="33" t="n"/>
      <c r="H831" s="32" t="n"/>
      <c r="I831" s="32" t="n"/>
      <c r="J831" s="32" t="n"/>
    </row>
    <row r="832">
      <c r="A832" s="28" t="n"/>
      <c r="B832" s="29" t="n"/>
      <c r="C832" s="29" t="n"/>
      <c r="D832" s="29" t="n"/>
      <c r="E832" s="29" t="n"/>
      <c r="F832" s="29" t="n"/>
      <c r="G832" s="30" t="n"/>
      <c r="H832" s="29" t="n"/>
      <c r="I832" s="29" t="n"/>
      <c r="J832" s="29" t="n"/>
    </row>
    <row r="833">
      <c r="A833" s="31" t="n"/>
      <c r="B833" s="32" t="n"/>
      <c r="C833" s="32" t="n"/>
      <c r="D833" s="32" t="n"/>
      <c r="E833" s="32" t="n"/>
      <c r="F833" s="32" t="n"/>
      <c r="G833" s="33" t="n"/>
      <c r="H833" s="32" t="n"/>
      <c r="I833" s="32" t="n"/>
      <c r="J833" s="32" t="n"/>
    </row>
    <row r="834">
      <c r="A834" s="28" t="n"/>
      <c r="B834" s="29" t="n"/>
      <c r="C834" s="29" t="n"/>
      <c r="D834" s="29" t="n"/>
      <c r="E834" s="29" t="n"/>
      <c r="F834" s="29" t="n"/>
      <c r="G834" s="30" t="n"/>
      <c r="H834" s="29" t="n"/>
      <c r="I834" s="29" t="n"/>
      <c r="J834" s="29" t="n"/>
    </row>
    <row r="835">
      <c r="A835" s="31" t="n"/>
      <c r="B835" s="32" t="n"/>
      <c r="C835" s="32" t="n"/>
      <c r="D835" s="32" t="n"/>
      <c r="E835" s="32" t="n"/>
      <c r="F835" s="32" t="n"/>
      <c r="G835" s="33" t="n"/>
      <c r="H835" s="32" t="n"/>
      <c r="I835" s="32" t="n"/>
      <c r="J835" s="32" t="n"/>
    </row>
    <row r="836">
      <c r="A836" s="28" t="n"/>
      <c r="B836" s="29" t="n"/>
      <c r="C836" s="29" t="n"/>
      <c r="D836" s="29" t="n"/>
      <c r="E836" s="29" t="n"/>
      <c r="F836" s="29" t="n"/>
      <c r="G836" s="30" t="n"/>
      <c r="H836" s="29" t="n"/>
      <c r="I836" s="29" t="n"/>
      <c r="J836" s="29" t="n"/>
    </row>
    <row r="837">
      <c r="A837" s="31" t="n"/>
      <c r="B837" s="32" t="n"/>
      <c r="C837" s="32" t="n"/>
      <c r="D837" s="32" t="n"/>
      <c r="E837" s="32" t="n"/>
      <c r="F837" s="32" t="n"/>
      <c r="G837" s="33" t="n"/>
      <c r="H837" s="32" t="n"/>
      <c r="I837" s="32" t="n"/>
      <c r="J837" s="32" t="n"/>
    </row>
    <row r="838">
      <c r="A838" s="28" t="n"/>
      <c r="B838" s="29" t="n"/>
      <c r="C838" s="29" t="n"/>
      <c r="D838" s="29" t="n"/>
      <c r="E838" s="29" t="n"/>
      <c r="F838" s="29" t="n"/>
      <c r="G838" s="30" t="n"/>
      <c r="H838" s="29" t="n"/>
      <c r="I838" s="29" t="n"/>
      <c r="J838" s="29" t="n"/>
    </row>
    <row r="839">
      <c r="A839" s="31" t="n"/>
      <c r="B839" s="32" t="n"/>
      <c r="C839" s="32" t="n"/>
      <c r="D839" s="32" t="n"/>
      <c r="E839" s="32" t="n"/>
      <c r="F839" s="32" t="n"/>
      <c r="G839" s="33" t="n"/>
      <c r="H839" s="32" t="n"/>
      <c r="I839" s="32" t="n"/>
      <c r="J839" s="32" t="n"/>
    </row>
    <row r="840">
      <c r="A840" s="28" t="n"/>
      <c r="B840" s="29" t="n"/>
      <c r="C840" s="29" t="n"/>
      <c r="D840" s="29" t="n"/>
      <c r="E840" s="29" t="n"/>
      <c r="F840" s="29" t="n"/>
      <c r="G840" s="30" t="n"/>
      <c r="H840" s="29" t="n"/>
      <c r="I840" s="29" t="n"/>
      <c r="J840" s="29" t="n"/>
    </row>
    <row r="841">
      <c r="A841" s="31" t="n"/>
      <c r="B841" s="32" t="n"/>
      <c r="C841" s="32" t="n"/>
      <c r="D841" s="32" t="n"/>
      <c r="E841" s="32" t="n"/>
      <c r="F841" s="32" t="n"/>
      <c r="G841" s="33" t="n"/>
      <c r="H841" s="32" t="n"/>
      <c r="I841" s="32" t="n"/>
      <c r="J841" s="32" t="n"/>
    </row>
    <row r="842">
      <c r="A842" s="28" t="n"/>
      <c r="B842" s="29" t="n"/>
      <c r="C842" s="29" t="n"/>
      <c r="D842" s="29" t="n"/>
      <c r="E842" s="29" t="n"/>
      <c r="F842" s="29" t="n"/>
      <c r="G842" s="30" t="n"/>
      <c r="H842" s="29" t="n"/>
      <c r="I842" s="29" t="n"/>
      <c r="J842" s="29" t="n"/>
    </row>
    <row r="843">
      <c r="A843" s="31" t="n"/>
      <c r="B843" s="32" t="n"/>
      <c r="C843" s="32" t="n"/>
      <c r="D843" s="32" t="n"/>
      <c r="E843" s="32" t="n"/>
      <c r="F843" s="32" t="n"/>
      <c r="G843" s="33" t="n"/>
      <c r="H843" s="32" t="n"/>
      <c r="I843" s="32" t="n"/>
      <c r="J843" s="32" t="n"/>
    </row>
    <row r="844">
      <c r="A844" s="28" t="n"/>
      <c r="B844" s="29" t="n"/>
      <c r="C844" s="29" t="n"/>
      <c r="D844" s="29" t="n"/>
      <c r="E844" s="29" t="n"/>
      <c r="F844" s="29" t="n"/>
      <c r="G844" s="30" t="n"/>
      <c r="H844" s="29" t="n"/>
      <c r="I844" s="29" t="n"/>
      <c r="J844" s="29" t="n"/>
    </row>
    <row r="845">
      <c r="A845" s="31" t="n"/>
      <c r="B845" s="32" t="n"/>
      <c r="C845" s="32" t="n"/>
      <c r="D845" s="32" t="n"/>
      <c r="E845" s="32" t="n"/>
      <c r="F845" s="32" t="n"/>
      <c r="G845" s="33" t="n"/>
      <c r="H845" s="32" t="n"/>
      <c r="I845" s="32" t="n"/>
      <c r="J845" s="32" t="n"/>
    </row>
    <row r="846">
      <c r="A846" s="28" t="n"/>
      <c r="B846" s="29" t="n"/>
      <c r="C846" s="29" t="n"/>
      <c r="D846" s="29" t="n"/>
      <c r="E846" s="29" t="n"/>
      <c r="F846" s="29" t="n"/>
      <c r="G846" s="30" t="n"/>
      <c r="H846" s="29" t="n"/>
      <c r="I846" s="29" t="n"/>
      <c r="J846" s="29" t="n"/>
    </row>
    <row r="847">
      <c r="A847" s="31" t="n"/>
      <c r="B847" s="32" t="n"/>
      <c r="C847" s="32" t="n"/>
      <c r="D847" s="32" t="n"/>
      <c r="E847" s="32" t="n"/>
      <c r="F847" s="32" t="n"/>
      <c r="G847" s="33" t="n"/>
      <c r="H847" s="32" t="n"/>
      <c r="I847" s="32" t="n"/>
      <c r="J847" s="32" t="n"/>
    </row>
    <row r="848">
      <c r="A848" s="28" t="n"/>
      <c r="B848" s="29" t="n"/>
      <c r="C848" s="29" t="n"/>
      <c r="D848" s="29" t="n"/>
      <c r="E848" s="29" t="n"/>
      <c r="F848" s="29" t="n"/>
      <c r="G848" s="30" t="n"/>
      <c r="H848" s="29" t="n"/>
      <c r="I848" s="29" t="n"/>
      <c r="J848" s="29" t="n"/>
    </row>
    <row r="849">
      <c r="A849" s="31" t="n"/>
      <c r="B849" s="32" t="n"/>
      <c r="C849" s="32" t="n"/>
      <c r="D849" s="32" t="n"/>
      <c r="E849" s="32" t="n"/>
      <c r="F849" s="32" t="n"/>
      <c r="G849" s="33" t="n"/>
      <c r="H849" s="32" t="n"/>
      <c r="I849" s="32" t="n"/>
      <c r="J849" s="32" t="n"/>
    </row>
    <row r="850">
      <c r="A850" s="28" t="n"/>
      <c r="B850" s="29" t="n"/>
      <c r="C850" s="29" t="n"/>
      <c r="D850" s="29" t="n"/>
      <c r="E850" s="29" t="n"/>
      <c r="F850" s="29" t="n"/>
      <c r="G850" s="30" t="n"/>
      <c r="H850" s="29" t="n"/>
      <c r="I850" s="29" t="n"/>
      <c r="J850" s="29" t="n"/>
    </row>
    <row r="851">
      <c r="A851" s="31" t="n"/>
      <c r="B851" s="32" t="n"/>
      <c r="C851" s="32" t="n"/>
      <c r="D851" s="32" t="n"/>
      <c r="E851" s="32" t="n"/>
      <c r="F851" s="32" t="n"/>
      <c r="G851" s="33" t="n"/>
      <c r="H851" s="32" t="n"/>
      <c r="I851" s="32" t="n"/>
      <c r="J851" s="32" t="n"/>
    </row>
    <row r="852">
      <c r="A852" s="28" t="n"/>
      <c r="B852" s="29" t="n"/>
      <c r="C852" s="29" t="n"/>
      <c r="D852" s="29" t="n"/>
      <c r="E852" s="29" t="n"/>
      <c r="F852" s="29" t="n"/>
      <c r="G852" s="30" t="n"/>
      <c r="H852" s="29" t="n"/>
      <c r="I852" s="29" t="n"/>
      <c r="J852" s="29" t="n"/>
    </row>
    <row r="853">
      <c r="A853" s="31" t="n"/>
      <c r="B853" s="32" t="n"/>
      <c r="C853" s="32" t="n"/>
      <c r="D853" s="32" t="n"/>
      <c r="E853" s="32" t="n"/>
      <c r="F853" s="32" t="n"/>
      <c r="G853" s="33" t="n"/>
      <c r="H853" s="32" t="n"/>
      <c r="I853" s="32" t="n"/>
      <c r="J853" s="32" t="n"/>
    </row>
    <row r="854">
      <c r="A854" s="28" t="n"/>
      <c r="B854" s="29" t="n"/>
      <c r="C854" s="29" t="n"/>
      <c r="D854" s="29" t="n"/>
      <c r="E854" s="29" t="n"/>
      <c r="F854" s="29" t="n"/>
      <c r="G854" s="30" t="n"/>
      <c r="H854" s="29" t="n"/>
      <c r="I854" s="29" t="n"/>
      <c r="J854" s="29" t="n"/>
    </row>
    <row r="855">
      <c r="A855" s="31" t="n"/>
      <c r="B855" s="32" t="n"/>
      <c r="C855" s="32" t="n"/>
      <c r="D855" s="32" t="n"/>
      <c r="E855" s="32" t="n"/>
      <c r="F855" s="32" t="n"/>
      <c r="G855" s="33" t="n"/>
      <c r="H855" s="32" t="n"/>
      <c r="I855" s="32" t="n"/>
      <c r="J855" s="32" t="n"/>
    </row>
    <row r="856">
      <c r="A856" s="28" t="n"/>
      <c r="B856" s="29" t="n"/>
      <c r="C856" s="29" t="n"/>
      <c r="D856" s="29" t="n"/>
      <c r="E856" s="29" t="n"/>
      <c r="F856" s="29" t="n"/>
      <c r="G856" s="30" t="n"/>
      <c r="H856" s="29" t="n"/>
      <c r="I856" s="29" t="n"/>
      <c r="J856" s="29" t="n"/>
    </row>
    <row r="857">
      <c r="A857" s="31" t="n"/>
      <c r="B857" s="32" t="n"/>
      <c r="C857" s="32" t="n"/>
      <c r="D857" s="32" t="n"/>
      <c r="E857" s="32" t="n"/>
      <c r="F857" s="32" t="n"/>
      <c r="G857" s="33" t="n"/>
      <c r="H857" s="32" t="n"/>
      <c r="I857" s="32" t="n"/>
      <c r="J857" s="32" t="n"/>
    </row>
    <row r="858">
      <c r="A858" s="28" t="n"/>
      <c r="B858" s="29" t="n"/>
      <c r="C858" s="29" t="n"/>
      <c r="D858" s="29" t="n"/>
      <c r="E858" s="29" t="n"/>
      <c r="F858" s="29" t="n"/>
      <c r="G858" s="30" t="n"/>
      <c r="H858" s="29" t="n"/>
      <c r="I858" s="29" t="n"/>
      <c r="J858" s="29" t="n"/>
    </row>
    <row r="859">
      <c r="A859" s="31" t="n"/>
      <c r="B859" s="32" t="n"/>
      <c r="C859" s="32" t="n"/>
      <c r="D859" s="32" t="n"/>
      <c r="E859" s="32" t="n"/>
      <c r="F859" s="32" t="n"/>
      <c r="G859" s="33" t="n"/>
      <c r="H859" s="32" t="n"/>
      <c r="I859" s="32" t="n"/>
      <c r="J859" s="32" t="n"/>
    </row>
    <row r="860">
      <c r="A860" s="28" t="n"/>
      <c r="B860" s="29" t="n"/>
      <c r="C860" s="29" t="n"/>
      <c r="D860" s="29" t="n"/>
      <c r="E860" s="29" t="n"/>
      <c r="F860" s="29" t="n"/>
      <c r="G860" s="30" t="n"/>
      <c r="H860" s="29" t="n"/>
      <c r="I860" s="29" t="n"/>
      <c r="J860" s="29" t="n"/>
    </row>
    <row r="861">
      <c r="A861" s="31" t="n"/>
      <c r="B861" s="32" t="n"/>
      <c r="C861" s="32" t="n"/>
      <c r="D861" s="32" t="n"/>
      <c r="E861" s="32" t="n"/>
      <c r="F861" s="32" t="n"/>
      <c r="G861" s="33" t="n"/>
      <c r="H861" s="32" t="n"/>
      <c r="I861" s="32" t="n"/>
      <c r="J861" s="32" t="n"/>
    </row>
    <row r="862">
      <c r="A862" s="28" t="n"/>
      <c r="B862" s="29" t="n"/>
      <c r="C862" s="29" t="n"/>
      <c r="D862" s="29" t="n"/>
      <c r="E862" s="29" t="n"/>
      <c r="F862" s="29" t="n"/>
      <c r="G862" s="30" t="n"/>
      <c r="H862" s="29" t="n"/>
      <c r="I862" s="29" t="n"/>
      <c r="J862" s="29" t="n"/>
    </row>
    <row r="863">
      <c r="A863" s="31" t="n"/>
      <c r="B863" s="32" t="n"/>
      <c r="C863" s="32" t="n"/>
      <c r="D863" s="32" t="n"/>
      <c r="E863" s="32" t="n"/>
      <c r="F863" s="32" t="n"/>
      <c r="G863" s="33" t="n"/>
      <c r="H863" s="32" t="n"/>
      <c r="I863" s="32" t="n"/>
      <c r="J863" s="32" t="n"/>
    </row>
    <row r="864">
      <c r="A864" s="28" t="n"/>
      <c r="B864" s="29" t="n"/>
      <c r="C864" s="29" t="n"/>
      <c r="D864" s="29" t="n"/>
      <c r="E864" s="29" t="n"/>
      <c r="F864" s="29" t="n"/>
      <c r="G864" s="30" t="n"/>
      <c r="H864" s="29" t="n"/>
      <c r="I864" s="29" t="n"/>
      <c r="J864" s="29" t="n"/>
    </row>
    <row r="865">
      <c r="A865" s="31" t="n"/>
      <c r="B865" s="32" t="n"/>
      <c r="C865" s="32" t="n"/>
      <c r="D865" s="32" t="n"/>
      <c r="E865" s="32" t="n"/>
      <c r="F865" s="32" t="n"/>
      <c r="G865" s="33" t="n"/>
      <c r="H865" s="32" t="n"/>
      <c r="I865" s="32" t="n"/>
      <c r="J865" s="32" t="n"/>
    </row>
    <row r="866">
      <c r="A866" s="28" t="n"/>
      <c r="B866" s="29" t="n"/>
      <c r="C866" s="29" t="n"/>
      <c r="D866" s="29" t="n"/>
      <c r="E866" s="29" t="n"/>
      <c r="F866" s="29" t="n"/>
      <c r="G866" s="30" t="n"/>
      <c r="H866" s="29" t="n"/>
      <c r="I866" s="29" t="n"/>
      <c r="J866" s="29" t="n"/>
    </row>
    <row r="867">
      <c r="A867" s="31" t="n"/>
      <c r="B867" s="32" t="n"/>
      <c r="C867" s="32" t="n"/>
      <c r="D867" s="32" t="n"/>
      <c r="E867" s="32" t="n"/>
      <c r="F867" s="32" t="n"/>
      <c r="G867" s="33" t="n"/>
      <c r="H867" s="32" t="n"/>
      <c r="I867" s="32" t="n"/>
      <c r="J867" s="32" t="n"/>
    </row>
    <row r="868">
      <c r="A868" s="28" t="n"/>
      <c r="B868" s="29" t="n"/>
      <c r="C868" s="29" t="n"/>
      <c r="D868" s="29" t="n"/>
      <c r="E868" s="29" t="n"/>
      <c r="F868" s="29" t="n"/>
      <c r="G868" s="30" t="n"/>
      <c r="H868" s="29" t="n"/>
      <c r="I868" s="29" t="n"/>
      <c r="J868" s="29" t="n"/>
    </row>
    <row r="869">
      <c r="A869" s="31" t="n"/>
      <c r="B869" s="32" t="n"/>
      <c r="C869" s="32" t="n"/>
      <c r="D869" s="32" t="n"/>
      <c r="E869" s="32" t="n"/>
      <c r="F869" s="32" t="n"/>
      <c r="G869" s="33" t="n"/>
      <c r="H869" s="32" t="n"/>
      <c r="I869" s="32" t="n"/>
      <c r="J869" s="32" t="n"/>
    </row>
    <row r="870">
      <c r="A870" s="28" t="n"/>
      <c r="B870" s="29" t="n"/>
      <c r="C870" s="29" t="n"/>
      <c r="D870" s="29" t="n"/>
      <c r="E870" s="29" t="n"/>
      <c r="F870" s="29" t="n"/>
      <c r="G870" s="30" t="n"/>
      <c r="H870" s="29" t="n"/>
      <c r="I870" s="29" t="n"/>
      <c r="J870" s="29" t="n"/>
    </row>
    <row r="871">
      <c r="A871" s="31" t="n"/>
      <c r="B871" s="32" t="n"/>
      <c r="C871" s="32" t="n"/>
      <c r="D871" s="32" t="n"/>
      <c r="E871" s="32" t="n"/>
      <c r="F871" s="32" t="n"/>
      <c r="G871" s="33" t="n"/>
      <c r="H871" s="32" t="n"/>
      <c r="I871" s="32" t="n"/>
      <c r="J871" s="32" t="n"/>
    </row>
    <row r="872">
      <c r="A872" s="28" t="n"/>
      <c r="B872" s="29" t="n"/>
      <c r="C872" s="29" t="n"/>
      <c r="D872" s="29" t="n"/>
      <c r="E872" s="29" t="n"/>
      <c r="F872" s="29" t="n"/>
      <c r="G872" s="30" t="n"/>
      <c r="H872" s="29" t="n"/>
      <c r="I872" s="29" t="n"/>
      <c r="J872" s="29" t="n"/>
    </row>
    <row r="873">
      <c r="A873" s="31" t="n"/>
      <c r="B873" s="32" t="n"/>
      <c r="C873" s="32" t="n"/>
      <c r="D873" s="32" t="n"/>
      <c r="E873" s="32" t="n"/>
      <c r="F873" s="32" t="n"/>
      <c r="G873" s="33" t="n"/>
      <c r="H873" s="32" t="n"/>
      <c r="I873" s="32" t="n"/>
      <c r="J873" s="32" t="n"/>
    </row>
    <row r="874">
      <c r="A874" s="28" t="n"/>
      <c r="B874" s="29" t="n"/>
      <c r="C874" s="29" t="n"/>
      <c r="D874" s="29" t="n"/>
      <c r="E874" s="29" t="n"/>
      <c r="F874" s="29" t="n"/>
      <c r="G874" s="30" t="n"/>
      <c r="H874" s="29" t="n"/>
      <c r="I874" s="29" t="n"/>
      <c r="J874" s="29" t="n"/>
    </row>
    <row r="875">
      <c r="A875" s="31" t="n"/>
      <c r="B875" s="32" t="n"/>
      <c r="C875" s="32" t="n"/>
      <c r="D875" s="32" t="n"/>
      <c r="E875" s="32" t="n"/>
      <c r="F875" s="32" t="n"/>
      <c r="G875" s="33" t="n"/>
      <c r="H875" s="32" t="n"/>
      <c r="I875" s="32" t="n"/>
      <c r="J875" s="32" t="n"/>
    </row>
    <row r="876">
      <c r="A876" s="28" t="n"/>
      <c r="B876" s="29" t="n"/>
      <c r="C876" s="29" t="n"/>
      <c r="D876" s="29" t="n"/>
      <c r="E876" s="29" t="n"/>
      <c r="F876" s="29" t="n"/>
      <c r="G876" s="30" t="n"/>
      <c r="H876" s="29" t="n"/>
      <c r="I876" s="29" t="n"/>
      <c r="J876" s="29" t="n"/>
    </row>
    <row r="877">
      <c r="A877" s="31" t="n"/>
      <c r="B877" s="32" t="n"/>
      <c r="C877" s="32" t="n"/>
      <c r="D877" s="32" t="n"/>
      <c r="E877" s="32" t="n"/>
      <c r="F877" s="32" t="n"/>
      <c r="G877" s="33" t="n"/>
      <c r="H877" s="32" t="n"/>
      <c r="I877" s="32" t="n"/>
      <c r="J877" s="32" t="n"/>
    </row>
    <row r="878">
      <c r="A878" s="28" t="n"/>
      <c r="B878" s="29" t="n"/>
      <c r="C878" s="29" t="n"/>
      <c r="D878" s="29" t="n"/>
      <c r="E878" s="29" t="n"/>
      <c r="F878" s="29" t="n"/>
      <c r="G878" s="30" t="n"/>
      <c r="H878" s="29" t="n"/>
      <c r="I878" s="29" t="n"/>
      <c r="J878" s="29" t="n"/>
    </row>
    <row r="879">
      <c r="A879" s="31" t="n"/>
      <c r="B879" s="32" t="n"/>
      <c r="C879" s="32" t="n"/>
      <c r="D879" s="32" t="n"/>
      <c r="E879" s="32" t="n"/>
      <c r="F879" s="32" t="n"/>
      <c r="G879" s="33" t="n"/>
      <c r="H879" s="32" t="n"/>
      <c r="I879" s="32" t="n"/>
      <c r="J879" s="32" t="n"/>
    </row>
    <row r="880">
      <c r="A880" s="28" t="n"/>
      <c r="B880" s="29" t="n"/>
      <c r="C880" s="29" t="n"/>
      <c r="D880" s="29" t="n"/>
      <c r="E880" s="29" t="n"/>
      <c r="F880" s="29" t="n"/>
      <c r="G880" s="30" t="n"/>
      <c r="H880" s="29" t="n"/>
      <c r="I880" s="29" t="n"/>
      <c r="J880" s="29" t="n"/>
    </row>
    <row r="881">
      <c r="A881" s="31" t="n"/>
      <c r="B881" s="32" t="n"/>
      <c r="C881" s="32" t="n"/>
      <c r="D881" s="32" t="n"/>
      <c r="E881" s="32" t="n"/>
      <c r="F881" s="32" t="n"/>
      <c r="G881" s="33" t="n"/>
      <c r="H881" s="32" t="n"/>
      <c r="I881" s="32" t="n"/>
      <c r="J881" s="32" t="n"/>
    </row>
    <row r="882">
      <c r="A882" s="28" t="n"/>
      <c r="B882" s="29" t="n"/>
      <c r="C882" s="29" t="n"/>
      <c r="D882" s="29" t="n"/>
      <c r="E882" s="29" t="n"/>
      <c r="F882" s="29" t="n"/>
      <c r="G882" s="30" t="n"/>
      <c r="H882" s="29" t="n"/>
      <c r="I882" s="29" t="n"/>
      <c r="J882" s="29" t="n"/>
    </row>
    <row r="883">
      <c r="A883" s="31" t="n"/>
      <c r="B883" s="32" t="n"/>
      <c r="C883" s="32" t="n"/>
      <c r="D883" s="32" t="n"/>
      <c r="E883" s="32" t="n"/>
      <c r="F883" s="32" t="n"/>
      <c r="G883" s="33" t="n"/>
      <c r="H883" s="32" t="n"/>
      <c r="I883" s="32" t="n"/>
      <c r="J883" s="32" t="n"/>
    </row>
    <row r="884">
      <c r="A884" s="28" t="n"/>
      <c r="B884" s="29" t="n"/>
      <c r="C884" s="29" t="n"/>
      <c r="D884" s="29" t="n"/>
      <c r="E884" s="29" t="n"/>
      <c r="F884" s="29" t="n"/>
      <c r="G884" s="30" t="n"/>
      <c r="H884" s="29" t="n"/>
      <c r="I884" s="29" t="n"/>
      <c r="J884" s="29" t="n"/>
    </row>
    <row r="885">
      <c r="A885" s="31" t="n"/>
      <c r="B885" s="32" t="n"/>
      <c r="C885" s="32" t="n"/>
      <c r="D885" s="32" t="n"/>
      <c r="E885" s="32" t="n"/>
      <c r="F885" s="32" t="n"/>
      <c r="G885" s="33" t="n"/>
      <c r="H885" s="32" t="n"/>
      <c r="I885" s="32" t="n"/>
      <c r="J885" s="32" t="n"/>
    </row>
    <row r="886">
      <c r="A886" s="28" t="n"/>
      <c r="B886" s="29" t="n"/>
      <c r="C886" s="29" t="n"/>
      <c r="D886" s="29" t="n"/>
      <c r="E886" s="29" t="n"/>
      <c r="F886" s="29" t="n"/>
      <c r="G886" s="30" t="n"/>
      <c r="H886" s="29" t="n"/>
      <c r="I886" s="29" t="n"/>
      <c r="J886" s="29" t="n"/>
    </row>
    <row r="887">
      <c r="A887" s="31" t="n"/>
      <c r="B887" s="32" t="n"/>
      <c r="C887" s="32" t="n"/>
      <c r="D887" s="32" t="n"/>
      <c r="E887" s="32" t="n"/>
      <c r="F887" s="32" t="n"/>
      <c r="G887" s="33" t="n"/>
      <c r="H887" s="32" t="n"/>
      <c r="I887" s="32" t="n"/>
      <c r="J887" s="32" t="n"/>
    </row>
    <row r="888">
      <c r="A888" s="28" t="n"/>
      <c r="B888" s="29" t="n"/>
      <c r="C888" s="29" t="n"/>
      <c r="D888" s="29" t="n"/>
      <c r="E888" s="29" t="n"/>
      <c r="F888" s="29" t="n"/>
      <c r="G888" s="30" t="n"/>
      <c r="H888" s="29" t="n"/>
      <c r="I888" s="29" t="n"/>
      <c r="J888" s="29" t="n"/>
    </row>
    <row r="889">
      <c r="A889" s="31" t="n"/>
      <c r="B889" s="32" t="n"/>
      <c r="C889" s="32" t="n"/>
      <c r="D889" s="32" t="n"/>
      <c r="E889" s="32" t="n"/>
      <c r="F889" s="32" t="n"/>
      <c r="G889" s="33" t="n"/>
      <c r="H889" s="32" t="n"/>
      <c r="I889" s="32" t="n"/>
      <c r="J889" s="32" t="n"/>
    </row>
    <row r="890">
      <c r="A890" s="28" t="n"/>
      <c r="B890" s="29" t="n"/>
      <c r="C890" s="29" t="n"/>
      <c r="D890" s="29" t="n"/>
      <c r="E890" s="29" t="n"/>
      <c r="F890" s="29" t="n"/>
      <c r="G890" s="30" t="n"/>
      <c r="H890" s="29" t="n"/>
      <c r="I890" s="29" t="n"/>
      <c r="J890" s="29" t="n"/>
    </row>
    <row r="891">
      <c r="A891" s="31" t="n"/>
      <c r="B891" s="32" t="n"/>
      <c r="C891" s="32" t="n"/>
      <c r="D891" s="32" t="n"/>
      <c r="E891" s="32" t="n"/>
      <c r="F891" s="32" t="n"/>
      <c r="G891" s="33" t="n"/>
      <c r="H891" s="32" t="n"/>
      <c r="I891" s="32" t="n"/>
      <c r="J891" s="32" t="n"/>
    </row>
    <row r="892">
      <c r="A892" s="28" t="n"/>
      <c r="B892" s="29" t="n"/>
      <c r="C892" s="29" t="n"/>
      <c r="D892" s="29" t="n"/>
      <c r="E892" s="29" t="n"/>
      <c r="F892" s="29" t="n"/>
      <c r="G892" s="30" t="n"/>
      <c r="H892" s="29" t="n"/>
      <c r="I892" s="29" t="n"/>
      <c r="J892" s="29" t="n"/>
    </row>
    <row r="893">
      <c r="A893" s="31" t="n"/>
      <c r="B893" s="32" t="n"/>
      <c r="C893" s="32" t="n"/>
      <c r="D893" s="32" t="n"/>
      <c r="E893" s="32" t="n"/>
      <c r="F893" s="32" t="n"/>
      <c r="G893" s="33" t="n"/>
      <c r="H893" s="32" t="n"/>
      <c r="I893" s="32" t="n"/>
      <c r="J893" s="32" t="n"/>
    </row>
    <row r="894">
      <c r="A894" s="28" t="n"/>
      <c r="B894" s="29" t="n"/>
      <c r="C894" s="29" t="n"/>
      <c r="D894" s="29" t="n"/>
      <c r="E894" s="29" t="n"/>
      <c r="F894" s="29" t="n"/>
      <c r="G894" s="30" t="n"/>
      <c r="H894" s="29" t="n"/>
      <c r="I894" s="29" t="n"/>
      <c r="J894" s="29" t="n"/>
    </row>
    <row r="895">
      <c r="A895" s="31" t="n"/>
      <c r="B895" s="32" t="n"/>
      <c r="C895" s="32" t="n"/>
      <c r="D895" s="32" t="n"/>
      <c r="E895" s="32" t="n"/>
      <c r="F895" s="32" t="n"/>
      <c r="G895" s="33" t="n"/>
      <c r="H895" s="32" t="n"/>
      <c r="I895" s="32" t="n"/>
      <c r="J895" s="32" t="n"/>
    </row>
    <row r="896">
      <c r="A896" s="28" t="n"/>
      <c r="B896" s="29" t="n"/>
      <c r="C896" s="29" t="n"/>
      <c r="D896" s="29" t="n"/>
      <c r="E896" s="29" t="n"/>
      <c r="F896" s="29" t="n"/>
      <c r="G896" s="30" t="n"/>
      <c r="H896" s="29" t="n"/>
      <c r="I896" s="29" t="n"/>
      <c r="J896" s="29" t="n"/>
    </row>
    <row r="897">
      <c r="A897" s="31" t="n"/>
      <c r="B897" s="32" t="n"/>
      <c r="C897" s="32" t="n"/>
      <c r="D897" s="32" t="n"/>
      <c r="E897" s="32" t="n"/>
      <c r="F897" s="32" t="n"/>
      <c r="G897" s="33" t="n"/>
      <c r="H897" s="32" t="n"/>
      <c r="I897" s="32" t="n"/>
      <c r="J897" s="32" t="n"/>
    </row>
    <row r="898">
      <c r="A898" s="28" t="n"/>
      <c r="B898" s="29" t="n"/>
      <c r="C898" s="29" t="n"/>
      <c r="D898" s="29" t="n"/>
      <c r="E898" s="29" t="n"/>
      <c r="F898" s="29" t="n"/>
      <c r="G898" s="30" t="n"/>
      <c r="H898" s="29" t="n"/>
      <c r="I898" s="29" t="n"/>
      <c r="J898" s="29" t="n"/>
    </row>
    <row r="899">
      <c r="A899" s="31" t="n"/>
      <c r="B899" s="32" t="n"/>
      <c r="C899" s="32" t="n"/>
      <c r="D899" s="32" t="n"/>
      <c r="E899" s="32" t="n"/>
      <c r="F899" s="32" t="n"/>
      <c r="G899" s="33" t="n"/>
      <c r="H899" s="32" t="n"/>
      <c r="I899" s="32" t="n"/>
      <c r="J899" s="32" t="n"/>
    </row>
    <row r="900">
      <c r="A900" s="28" t="n"/>
      <c r="B900" s="29" t="n"/>
      <c r="C900" s="29" t="n"/>
      <c r="D900" s="29" t="n"/>
      <c r="E900" s="29" t="n"/>
      <c r="F900" s="29" t="n"/>
      <c r="G900" s="30" t="n"/>
      <c r="H900" s="29" t="n"/>
      <c r="I900" s="29" t="n"/>
      <c r="J900" s="29" t="n"/>
    </row>
    <row r="901">
      <c r="A901" s="31" t="n"/>
      <c r="B901" s="32" t="n"/>
      <c r="C901" s="32" t="n"/>
      <c r="D901" s="32" t="n"/>
      <c r="E901" s="32" t="n"/>
      <c r="F901" s="32" t="n"/>
      <c r="G901" s="33" t="n"/>
      <c r="H901" s="32" t="n"/>
      <c r="I901" s="32" t="n"/>
      <c r="J901" s="32" t="n"/>
    </row>
    <row r="902">
      <c r="A902" s="28" t="n"/>
      <c r="B902" s="29" t="n"/>
      <c r="C902" s="29" t="n"/>
      <c r="D902" s="29" t="n"/>
      <c r="E902" s="29" t="n"/>
      <c r="F902" s="29" t="n"/>
      <c r="G902" s="30" t="n"/>
      <c r="H902" s="29" t="n"/>
      <c r="I902" s="29" t="n"/>
      <c r="J902" s="29" t="n"/>
    </row>
    <row r="903">
      <c r="A903" s="31" t="n"/>
      <c r="B903" s="32" t="n"/>
      <c r="C903" s="32" t="n"/>
      <c r="D903" s="32" t="n"/>
      <c r="E903" s="32" t="n"/>
      <c r="F903" s="32" t="n"/>
      <c r="G903" s="33" t="n"/>
      <c r="H903" s="32" t="n"/>
      <c r="I903" s="32" t="n"/>
      <c r="J903" s="32" t="n"/>
    </row>
    <row r="904">
      <c r="A904" s="28" t="n"/>
      <c r="B904" s="29" t="n"/>
      <c r="C904" s="29" t="n"/>
      <c r="D904" s="29" t="n"/>
      <c r="E904" s="29" t="n"/>
      <c r="F904" s="29" t="n"/>
      <c r="G904" s="30" t="n"/>
      <c r="H904" s="29" t="n"/>
      <c r="I904" s="29" t="n"/>
      <c r="J904" s="29" t="n"/>
    </row>
    <row r="905">
      <c r="A905" s="31" t="n"/>
      <c r="B905" s="32" t="n"/>
      <c r="C905" s="32" t="n"/>
      <c r="D905" s="32" t="n"/>
      <c r="E905" s="32" t="n"/>
      <c r="F905" s="32" t="n"/>
      <c r="G905" s="33" t="n"/>
      <c r="H905" s="32" t="n"/>
      <c r="I905" s="32" t="n"/>
      <c r="J905" s="32" t="n"/>
    </row>
    <row r="906">
      <c r="A906" s="28" t="n"/>
      <c r="B906" s="29" t="n"/>
      <c r="C906" s="29" t="n"/>
      <c r="D906" s="29" t="n"/>
      <c r="E906" s="29" t="n"/>
      <c r="F906" s="29" t="n"/>
      <c r="G906" s="30" t="n"/>
      <c r="H906" s="29" t="n"/>
      <c r="I906" s="29" t="n"/>
      <c r="J906" s="29" t="n"/>
    </row>
    <row r="907">
      <c r="A907" s="31" t="n"/>
      <c r="B907" s="32" t="n"/>
      <c r="C907" s="32" t="n"/>
      <c r="D907" s="32" t="n"/>
      <c r="E907" s="32" t="n"/>
      <c r="F907" s="32" t="n"/>
      <c r="G907" s="33" t="n"/>
      <c r="H907" s="32" t="n"/>
      <c r="I907" s="32" t="n"/>
      <c r="J907" s="32" t="n"/>
    </row>
    <row r="908">
      <c r="A908" s="28" t="n"/>
      <c r="B908" s="29" t="n"/>
      <c r="C908" s="29" t="n"/>
      <c r="D908" s="29" t="n"/>
      <c r="E908" s="29" t="n"/>
      <c r="F908" s="29" t="n"/>
      <c r="G908" s="30" t="n"/>
      <c r="H908" s="29" t="n"/>
      <c r="I908" s="29" t="n"/>
      <c r="J908" s="29" t="n"/>
    </row>
    <row r="909">
      <c r="A909" s="31" t="n"/>
      <c r="B909" s="32" t="n"/>
      <c r="C909" s="32" t="n"/>
      <c r="D909" s="32" t="n"/>
      <c r="E909" s="32" t="n"/>
      <c r="F909" s="32" t="n"/>
      <c r="G909" s="33" t="n"/>
      <c r="H909" s="32" t="n"/>
      <c r="I909" s="32" t="n"/>
      <c r="J909" s="32" t="n"/>
    </row>
    <row r="910">
      <c r="A910" s="28" t="n"/>
      <c r="B910" s="29" t="n"/>
      <c r="C910" s="29" t="n"/>
      <c r="D910" s="29" t="n"/>
      <c r="E910" s="29" t="n"/>
      <c r="F910" s="29" t="n"/>
      <c r="G910" s="30" t="n"/>
      <c r="H910" s="29" t="n"/>
      <c r="I910" s="29" t="n"/>
      <c r="J910" s="29" t="n"/>
    </row>
    <row r="911">
      <c r="A911" s="31" t="n"/>
      <c r="B911" s="32" t="n"/>
      <c r="C911" s="32" t="n"/>
      <c r="D911" s="32" t="n"/>
      <c r="E911" s="32" t="n"/>
      <c r="F911" s="32" t="n"/>
      <c r="G911" s="33" t="n"/>
      <c r="H911" s="32" t="n"/>
      <c r="I911" s="32" t="n"/>
      <c r="J911" s="32" t="n"/>
    </row>
    <row r="912">
      <c r="A912" s="28" t="n"/>
      <c r="B912" s="29" t="n"/>
      <c r="C912" s="29" t="n"/>
      <c r="D912" s="29" t="n"/>
      <c r="E912" s="29" t="n"/>
      <c r="F912" s="29" t="n"/>
      <c r="G912" s="30" t="n"/>
      <c r="H912" s="29" t="n"/>
      <c r="I912" s="29" t="n"/>
      <c r="J912" s="29" t="n"/>
    </row>
    <row r="913">
      <c r="A913" s="31" t="n"/>
      <c r="B913" s="32" t="n"/>
      <c r="C913" s="32" t="n"/>
      <c r="D913" s="32" t="n"/>
      <c r="E913" s="32" t="n"/>
      <c r="F913" s="32" t="n"/>
      <c r="G913" s="33" t="n"/>
      <c r="H913" s="32" t="n"/>
      <c r="I913" s="32" t="n"/>
      <c r="J913" s="32" t="n"/>
    </row>
    <row r="914">
      <c r="A914" s="28" t="n"/>
      <c r="B914" s="29" t="n"/>
      <c r="C914" s="29" t="n"/>
      <c r="D914" s="29" t="n"/>
      <c r="E914" s="29" t="n"/>
      <c r="F914" s="29" t="n"/>
      <c r="G914" s="30" t="n"/>
      <c r="H914" s="29" t="n"/>
      <c r="I914" s="29" t="n"/>
      <c r="J914" s="29" t="n"/>
    </row>
    <row r="915">
      <c r="A915" s="31" t="n"/>
      <c r="B915" s="32" t="n"/>
      <c r="C915" s="32" t="n"/>
      <c r="D915" s="32" t="n"/>
      <c r="E915" s="32" t="n"/>
      <c r="F915" s="32" t="n"/>
      <c r="G915" s="33" t="n"/>
      <c r="H915" s="32" t="n"/>
      <c r="I915" s="32" t="n"/>
      <c r="J915" s="32" t="n"/>
    </row>
    <row r="916">
      <c r="A916" s="28" t="n"/>
      <c r="B916" s="29" t="n"/>
      <c r="C916" s="29" t="n"/>
      <c r="D916" s="29" t="n"/>
      <c r="E916" s="29" t="n"/>
      <c r="F916" s="29" t="n"/>
      <c r="G916" s="30" t="n"/>
      <c r="H916" s="29" t="n"/>
      <c r="I916" s="29" t="n"/>
      <c r="J916" s="29" t="n"/>
    </row>
    <row r="917">
      <c r="A917" s="31" t="n"/>
      <c r="B917" s="32" t="n"/>
      <c r="C917" s="32" t="n"/>
      <c r="D917" s="32" t="n"/>
      <c r="E917" s="32" t="n"/>
      <c r="F917" s="32" t="n"/>
      <c r="G917" s="33" t="n"/>
      <c r="H917" s="32" t="n"/>
      <c r="I917" s="32" t="n"/>
      <c r="J917" s="32" t="n"/>
    </row>
    <row r="918">
      <c r="A918" s="28" t="n"/>
      <c r="B918" s="29" t="n"/>
      <c r="C918" s="29" t="n"/>
      <c r="D918" s="29" t="n"/>
      <c r="E918" s="29" t="n"/>
      <c r="F918" s="29" t="n"/>
      <c r="G918" s="30" t="n"/>
      <c r="H918" s="29" t="n"/>
      <c r="I918" s="29" t="n"/>
      <c r="J918" s="29" t="n"/>
    </row>
    <row r="919">
      <c r="A919" s="31" t="n"/>
      <c r="B919" s="32" t="n"/>
      <c r="C919" s="32" t="n"/>
      <c r="D919" s="32" t="n"/>
      <c r="E919" s="32" t="n"/>
      <c r="F919" s="32" t="n"/>
      <c r="G919" s="33" t="n"/>
      <c r="H919" s="32" t="n"/>
      <c r="I919" s="32" t="n"/>
      <c r="J919" s="32" t="n"/>
    </row>
    <row r="920">
      <c r="A920" s="28" t="n"/>
      <c r="B920" s="29" t="n"/>
      <c r="C920" s="29" t="n"/>
      <c r="D920" s="29" t="n"/>
      <c r="E920" s="29" t="n"/>
      <c r="F920" s="29" t="n"/>
      <c r="G920" s="30" t="n"/>
      <c r="H920" s="29" t="n"/>
      <c r="I920" s="29" t="n"/>
      <c r="J920" s="29" t="n"/>
    </row>
    <row r="921">
      <c r="A921" s="31" t="n"/>
      <c r="B921" s="32" t="n"/>
      <c r="C921" s="32" t="n"/>
      <c r="D921" s="32" t="n"/>
      <c r="E921" s="32" t="n"/>
      <c r="F921" s="32" t="n"/>
      <c r="G921" s="33" t="n"/>
      <c r="H921" s="32" t="n"/>
      <c r="I921" s="32" t="n"/>
      <c r="J921" s="32" t="n"/>
    </row>
    <row r="922">
      <c r="A922" s="28" t="n"/>
      <c r="B922" s="29" t="n"/>
      <c r="C922" s="29" t="n"/>
      <c r="D922" s="29" t="n"/>
      <c r="E922" s="29" t="n"/>
      <c r="F922" s="29" t="n"/>
      <c r="G922" s="30" t="n"/>
      <c r="H922" s="29" t="n"/>
      <c r="I922" s="29" t="n"/>
      <c r="J922" s="29" t="n"/>
    </row>
    <row r="923">
      <c r="A923" s="31" t="n"/>
      <c r="B923" s="32" t="n"/>
      <c r="C923" s="32" t="n"/>
      <c r="D923" s="32" t="n"/>
      <c r="E923" s="32" t="n"/>
      <c r="F923" s="32" t="n"/>
      <c r="G923" s="33" t="n"/>
      <c r="H923" s="32" t="n"/>
      <c r="I923" s="32" t="n"/>
      <c r="J923" s="32" t="n"/>
    </row>
    <row r="924">
      <c r="A924" s="28" t="n"/>
      <c r="B924" s="29" t="n"/>
      <c r="C924" s="29" t="n"/>
      <c r="D924" s="29" t="n"/>
      <c r="E924" s="29" t="n"/>
      <c r="F924" s="29" t="n"/>
      <c r="G924" s="30" t="n"/>
      <c r="H924" s="29" t="n"/>
      <c r="I924" s="29" t="n"/>
      <c r="J924" s="29" t="n"/>
    </row>
    <row r="925">
      <c r="A925" s="31" t="n"/>
      <c r="B925" s="32" t="n"/>
      <c r="C925" s="32" t="n"/>
      <c r="D925" s="32" t="n"/>
      <c r="E925" s="32" t="n"/>
      <c r="F925" s="32" t="n"/>
      <c r="G925" s="33" t="n"/>
      <c r="H925" s="32" t="n"/>
      <c r="I925" s="32" t="n"/>
      <c r="J925" s="32" t="n"/>
    </row>
    <row r="926">
      <c r="A926" s="28" t="n"/>
      <c r="B926" s="29" t="n"/>
      <c r="C926" s="29" t="n"/>
      <c r="D926" s="29" t="n"/>
      <c r="E926" s="29" t="n"/>
      <c r="F926" s="29" t="n"/>
      <c r="G926" s="30" t="n"/>
      <c r="H926" s="29" t="n"/>
      <c r="I926" s="29" t="n"/>
      <c r="J926" s="29" t="n"/>
    </row>
    <row r="927">
      <c r="A927" s="31" t="n"/>
      <c r="B927" s="32" t="n"/>
      <c r="C927" s="32" t="n"/>
      <c r="D927" s="32" t="n"/>
      <c r="E927" s="32" t="n"/>
      <c r="F927" s="32" t="n"/>
      <c r="G927" s="33" t="n"/>
      <c r="H927" s="32" t="n"/>
      <c r="I927" s="32" t="n"/>
      <c r="J927" s="32" t="n"/>
    </row>
    <row r="928">
      <c r="A928" s="28" t="n"/>
      <c r="B928" s="29" t="n"/>
      <c r="C928" s="29" t="n"/>
      <c r="D928" s="29" t="n"/>
      <c r="E928" s="29" t="n"/>
      <c r="F928" s="29" t="n"/>
      <c r="G928" s="30" t="n"/>
      <c r="H928" s="29" t="n"/>
      <c r="I928" s="29" t="n"/>
      <c r="J928" s="29" t="n"/>
    </row>
    <row r="929">
      <c r="A929" s="31" t="n"/>
      <c r="B929" s="32" t="n"/>
      <c r="C929" s="32" t="n"/>
      <c r="D929" s="32" t="n"/>
      <c r="E929" s="32" t="n"/>
      <c r="F929" s="32" t="n"/>
      <c r="G929" s="33" t="n"/>
      <c r="H929" s="32" t="n"/>
      <c r="I929" s="32" t="n"/>
      <c r="J929" s="32" t="n"/>
    </row>
    <row r="930">
      <c r="A930" s="28" t="n"/>
      <c r="B930" s="29" t="n"/>
      <c r="C930" s="29" t="n"/>
      <c r="D930" s="29" t="n"/>
      <c r="E930" s="29" t="n"/>
      <c r="F930" s="29" t="n"/>
      <c r="G930" s="30" t="n"/>
      <c r="H930" s="29" t="n"/>
      <c r="I930" s="29" t="n"/>
      <c r="J930" s="29" t="n"/>
    </row>
    <row r="931">
      <c r="A931" s="31" t="n"/>
      <c r="B931" s="32" t="n"/>
      <c r="C931" s="32" t="n"/>
      <c r="D931" s="32" t="n"/>
      <c r="E931" s="32" t="n"/>
      <c r="F931" s="32" t="n"/>
      <c r="G931" s="33" t="n"/>
      <c r="H931" s="32" t="n"/>
      <c r="I931" s="32" t="n"/>
      <c r="J931" s="32" t="n"/>
    </row>
    <row r="932">
      <c r="A932" s="28" t="n"/>
      <c r="B932" s="29" t="n"/>
      <c r="C932" s="29" t="n"/>
      <c r="D932" s="29" t="n"/>
      <c r="E932" s="29" t="n"/>
      <c r="F932" s="29" t="n"/>
      <c r="G932" s="30" t="n"/>
      <c r="H932" s="29" t="n"/>
      <c r="I932" s="29" t="n"/>
      <c r="J932" s="29" t="n"/>
    </row>
    <row r="933">
      <c r="A933" s="31" t="n"/>
      <c r="B933" s="32" t="n"/>
      <c r="C933" s="32" t="n"/>
      <c r="D933" s="32" t="n"/>
      <c r="E933" s="32" t="n"/>
      <c r="F933" s="32" t="n"/>
      <c r="G933" s="33" t="n"/>
      <c r="H933" s="32" t="n"/>
      <c r="I933" s="32" t="n"/>
      <c r="J933" s="32" t="n"/>
    </row>
    <row r="934">
      <c r="A934" s="28" t="n"/>
      <c r="B934" s="29" t="n"/>
      <c r="C934" s="29" t="n"/>
      <c r="D934" s="29" t="n"/>
      <c r="E934" s="29" t="n"/>
      <c r="F934" s="29" t="n"/>
      <c r="G934" s="30" t="n"/>
      <c r="H934" s="29" t="n"/>
      <c r="I934" s="29" t="n"/>
      <c r="J934" s="29" t="n"/>
    </row>
    <row r="935">
      <c r="A935" s="31" t="n"/>
      <c r="B935" s="32" t="n"/>
      <c r="C935" s="32" t="n"/>
      <c r="D935" s="32" t="n"/>
      <c r="E935" s="32" t="n"/>
      <c r="F935" s="32" t="n"/>
      <c r="G935" s="33" t="n"/>
      <c r="H935" s="32" t="n"/>
      <c r="I935" s="32" t="n"/>
      <c r="J935" s="32" t="n"/>
    </row>
    <row r="936">
      <c r="A936" s="28" t="n"/>
      <c r="B936" s="29" t="n"/>
      <c r="C936" s="29" t="n"/>
      <c r="D936" s="29" t="n"/>
      <c r="E936" s="29" t="n"/>
      <c r="F936" s="29" t="n"/>
      <c r="G936" s="30" t="n"/>
      <c r="H936" s="29" t="n"/>
      <c r="I936" s="29" t="n"/>
      <c r="J936" s="29" t="n"/>
    </row>
    <row r="937">
      <c r="A937" s="31" t="n"/>
      <c r="B937" s="32" t="n"/>
      <c r="C937" s="32" t="n"/>
      <c r="D937" s="32" t="n"/>
      <c r="E937" s="32" t="n"/>
      <c r="F937" s="32" t="n"/>
      <c r="G937" s="33" t="n"/>
      <c r="H937" s="32" t="n"/>
      <c r="I937" s="32" t="n"/>
      <c r="J937" s="32" t="n"/>
    </row>
    <row r="938">
      <c r="A938" s="28" t="n"/>
      <c r="B938" s="29" t="n"/>
      <c r="C938" s="29" t="n"/>
      <c r="D938" s="29" t="n"/>
      <c r="E938" s="29" t="n"/>
      <c r="F938" s="29" t="n"/>
      <c r="G938" s="30" t="n"/>
      <c r="H938" s="29" t="n"/>
      <c r="I938" s="29" t="n"/>
      <c r="J938" s="29" t="n"/>
    </row>
    <row r="939">
      <c r="A939" s="31" t="n"/>
      <c r="B939" s="32" t="n"/>
      <c r="C939" s="32" t="n"/>
      <c r="D939" s="32" t="n"/>
      <c r="E939" s="32" t="n"/>
      <c r="F939" s="32" t="n"/>
      <c r="G939" s="33" t="n"/>
      <c r="H939" s="32" t="n"/>
      <c r="I939" s="32" t="n"/>
      <c r="J939" s="32" t="n"/>
    </row>
    <row r="940">
      <c r="A940" s="28" t="n"/>
      <c r="B940" s="29" t="n"/>
      <c r="C940" s="29" t="n"/>
      <c r="D940" s="29" t="n"/>
      <c r="E940" s="29" t="n"/>
      <c r="F940" s="29" t="n"/>
      <c r="G940" s="30" t="n"/>
      <c r="H940" s="29" t="n"/>
      <c r="I940" s="29" t="n"/>
      <c r="J940" s="29" t="n"/>
    </row>
    <row r="941">
      <c r="A941" s="31" t="n"/>
      <c r="B941" s="32" t="n"/>
      <c r="C941" s="32" t="n"/>
      <c r="D941" s="32" t="n"/>
      <c r="E941" s="32" t="n"/>
      <c r="F941" s="32" t="n"/>
      <c r="G941" s="33" t="n"/>
      <c r="H941" s="32" t="n"/>
      <c r="I941" s="32" t="n"/>
      <c r="J941" s="32" t="n"/>
    </row>
    <row r="942">
      <c r="A942" s="28" t="n"/>
      <c r="B942" s="29" t="n"/>
      <c r="C942" s="29" t="n"/>
      <c r="D942" s="29" t="n"/>
      <c r="E942" s="29" t="n"/>
      <c r="F942" s="29" t="n"/>
      <c r="G942" s="30" t="n"/>
      <c r="H942" s="29" t="n"/>
      <c r="I942" s="29" t="n"/>
      <c r="J942" s="29" t="n"/>
    </row>
    <row r="943">
      <c r="A943" s="31" t="n"/>
      <c r="B943" s="32" t="n"/>
      <c r="C943" s="32" t="n"/>
      <c r="D943" s="32" t="n"/>
      <c r="E943" s="32" t="n"/>
      <c r="F943" s="32" t="n"/>
      <c r="G943" s="33" t="n"/>
      <c r="H943" s="32" t="n"/>
      <c r="I943" s="32" t="n"/>
      <c r="J943" s="32" t="n"/>
    </row>
    <row r="944">
      <c r="A944" s="28" t="n"/>
      <c r="B944" s="29" t="n"/>
      <c r="C944" s="29" t="n"/>
      <c r="D944" s="29" t="n"/>
      <c r="E944" s="29" t="n"/>
      <c r="F944" s="29" t="n"/>
      <c r="G944" s="30" t="n"/>
      <c r="H944" s="29" t="n"/>
      <c r="I944" s="29" t="n"/>
      <c r="J944" s="29" t="n"/>
    </row>
    <row r="945">
      <c r="A945" s="31" t="n"/>
      <c r="B945" s="32" t="n"/>
      <c r="C945" s="32" t="n"/>
      <c r="D945" s="32" t="n"/>
      <c r="E945" s="32" t="n"/>
      <c r="F945" s="32" t="n"/>
      <c r="G945" s="33" t="n"/>
      <c r="H945" s="32" t="n"/>
      <c r="I945" s="32" t="n"/>
      <c r="J945" s="32" t="n"/>
    </row>
    <row r="946">
      <c r="A946" s="28" t="n"/>
      <c r="B946" s="29" t="n"/>
      <c r="C946" s="29" t="n"/>
      <c r="D946" s="29" t="n"/>
      <c r="E946" s="29" t="n"/>
      <c r="F946" s="29" t="n"/>
      <c r="G946" s="30" t="n"/>
      <c r="H946" s="29" t="n"/>
      <c r="I946" s="29" t="n"/>
      <c r="J946" s="29" t="n"/>
    </row>
    <row r="947">
      <c r="A947" s="31" t="n"/>
      <c r="B947" s="32" t="n"/>
      <c r="C947" s="32" t="n"/>
      <c r="D947" s="32" t="n"/>
      <c r="E947" s="32" t="n"/>
      <c r="F947" s="32" t="n"/>
      <c r="G947" s="33" t="n"/>
      <c r="H947" s="32" t="n"/>
      <c r="I947" s="32" t="n"/>
      <c r="J947" s="32" t="n"/>
    </row>
    <row r="948">
      <c r="A948" s="28" t="n"/>
      <c r="B948" s="29" t="n"/>
      <c r="C948" s="29" t="n"/>
      <c r="D948" s="29" t="n"/>
      <c r="E948" s="29" t="n"/>
      <c r="F948" s="29" t="n"/>
      <c r="G948" s="30" t="n"/>
      <c r="H948" s="29" t="n"/>
      <c r="I948" s="29" t="n"/>
      <c r="J948" s="29" t="n"/>
    </row>
    <row r="949">
      <c r="A949" s="31" t="n"/>
      <c r="B949" s="32" t="n"/>
      <c r="C949" s="32" t="n"/>
      <c r="D949" s="32" t="n"/>
      <c r="E949" s="32" t="n"/>
      <c r="F949" s="32" t="n"/>
      <c r="G949" s="33" t="n"/>
      <c r="H949" s="32" t="n"/>
      <c r="I949" s="32" t="n"/>
      <c r="J949" s="32" t="n"/>
    </row>
    <row r="950">
      <c r="A950" s="28" t="n"/>
      <c r="B950" s="29" t="n"/>
      <c r="C950" s="29" t="n"/>
      <c r="D950" s="29" t="n"/>
      <c r="E950" s="29" t="n"/>
      <c r="F950" s="29" t="n"/>
      <c r="G950" s="30" t="n"/>
      <c r="H950" s="29" t="n"/>
      <c r="I950" s="29" t="n"/>
      <c r="J950" s="29" t="n"/>
    </row>
    <row r="951">
      <c r="A951" s="31" t="n"/>
      <c r="B951" s="32" t="n"/>
      <c r="C951" s="32" t="n"/>
      <c r="D951" s="32" t="n"/>
      <c r="E951" s="32" t="n"/>
      <c r="F951" s="32" t="n"/>
      <c r="G951" s="33" t="n"/>
      <c r="H951" s="32" t="n"/>
      <c r="I951" s="32" t="n"/>
      <c r="J951" s="32" t="n"/>
    </row>
    <row r="952">
      <c r="A952" s="28" t="n"/>
      <c r="B952" s="29" t="n"/>
      <c r="C952" s="29" t="n"/>
      <c r="D952" s="29" t="n"/>
      <c r="E952" s="29" t="n"/>
      <c r="F952" s="29" t="n"/>
      <c r="G952" s="30" t="n"/>
      <c r="H952" s="29" t="n"/>
      <c r="I952" s="29" t="n"/>
      <c r="J952" s="29" t="n"/>
    </row>
    <row r="953">
      <c r="A953" s="31" t="n"/>
      <c r="B953" s="32" t="n"/>
      <c r="C953" s="32" t="n"/>
      <c r="D953" s="32" t="n"/>
      <c r="E953" s="32" t="n"/>
      <c r="F953" s="32" t="n"/>
      <c r="G953" s="33" t="n"/>
      <c r="H953" s="32" t="n"/>
      <c r="I953" s="32" t="n"/>
      <c r="J953" s="32" t="n"/>
    </row>
    <row r="954">
      <c r="A954" s="28" t="n"/>
      <c r="B954" s="29" t="n"/>
      <c r="C954" s="29" t="n"/>
      <c r="D954" s="29" t="n"/>
      <c r="E954" s="29" t="n"/>
      <c r="F954" s="29" t="n"/>
      <c r="G954" s="30" t="n"/>
      <c r="H954" s="29" t="n"/>
      <c r="I954" s="29" t="n"/>
      <c r="J954" s="29" t="n"/>
    </row>
    <row r="955">
      <c r="A955" s="31" t="n"/>
      <c r="B955" s="32" t="n"/>
      <c r="C955" s="32" t="n"/>
      <c r="D955" s="32" t="n"/>
      <c r="E955" s="32" t="n"/>
      <c r="F955" s="32" t="n"/>
      <c r="G955" s="33" t="n"/>
      <c r="H955" s="32" t="n"/>
      <c r="I955" s="32" t="n"/>
      <c r="J955" s="32" t="n"/>
    </row>
    <row r="956">
      <c r="A956" s="28" t="n"/>
      <c r="B956" s="29" t="n"/>
      <c r="C956" s="29" t="n"/>
      <c r="D956" s="29" t="n"/>
      <c r="E956" s="29" t="n"/>
      <c r="F956" s="29" t="n"/>
      <c r="G956" s="30" t="n"/>
      <c r="H956" s="29" t="n"/>
      <c r="I956" s="29" t="n"/>
      <c r="J956" s="29" t="n"/>
    </row>
    <row r="957">
      <c r="A957" s="31" t="n"/>
      <c r="B957" s="32" t="n"/>
      <c r="C957" s="32" t="n"/>
      <c r="D957" s="32" t="n"/>
      <c r="E957" s="32" t="n"/>
      <c r="F957" s="32" t="n"/>
      <c r="G957" s="33" t="n"/>
      <c r="H957" s="32" t="n"/>
      <c r="I957" s="32" t="n"/>
      <c r="J957" s="32" t="n"/>
    </row>
    <row r="958">
      <c r="A958" s="28" t="n"/>
      <c r="B958" s="29" t="n"/>
      <c r="C958" s="29" t="n"/>
      <c r="D958" s="29" t="n"/>
      <c r="E958" s="29" t="n"/>
      <c r="F958" s="29" t="n"/>
      <c r="G958" s="30" t="n"/>
      <c r="H958" s="29" t="n"/>
      <c r="I958" s="29" t="n"/>
      <c r="J958" s="29" t="n"/>
    </row>
    <row r="959">
      <c r="A959" s="31" t="n"/>
      <c r="B959" s="32" t="n"/>
      <c r="C959" s="32" t="n"/>
      <c r="D959" s="32" t="n"/>
      <c r="E959" s="32" t="n"/>
      <c r="F959" s="32" t="n"/>
      <c r="G959" s="33" t="n"/>
      <c r="H959" s="32" t="n"/>
      <c r="I959" s="32" t="n"/>
      <c r="J959" s="32" t="n"/>
    </row>
    <row r="960">
      <c r="A960" s="28" t="n"/>
      <c r="B960" s="29" t="n"/>
      <c r="C960" s="29" t="n"/>
      <c r="D960" s="29" t="n"/>
      <c r="E960" s="29" t="n"/>
      <c r="F960" s="29" t="n"/>
      <c r="G960" s="30" t="n"/>
      <c r="H960" s="29" t="n"/>
      <c r="I960" s="29" t="n"/>
      <c r="J960" s="29" t="n"/>
    </row>
    <row r="961">
      <c r="A961" s="31" t="n"/>
      <c r="B961" s="32" t="n"/>
      <c r="C961" s="32" t="n"/>
      <c r="D961" s="32" t="n"/>
      <c r="E961" s="32" t="n"/>
      <c r="F961" s="32" t="n"/>
      <c r="G961" s="33" t="n"/>
      <c r="H961" s="32" t="n"/>
      <c r="I961" s="32" t="n"/>
      <c r="J961" s="32" t="n"/>
    </row>
    <row r="962">
      <c r="A962" s="28" t="n"/>
      <c r="B962" s="29" t="n"/>
      <c r="C962" s="29" t="n"/>
      <c r="D962" s="29" t="n"/>
      <c r="E962" s="29" t="n"/>
      <c r="F962" s="29" t="n"/>
      <c r="G962" s="30" t="n"/>
      <c r="H962" s="29" t="n"/>
      <c r="I962" s="29" t="n"/>
      <c r="J962" s="29" t="n"/>
    </row>
    <row r="963">
      <c r="A963" s="31" t="n"/>
      <c r="B963" s="32" t="n"/>
      <c r="C963" s="32" t="n"/>
      <c r="D963" s="32" t="n"/>
      <c r="E963" s="32" t="n"/>
      <c r="F963" s="32" t="n"/>
      <c r="G963" s="33" t="n"/>
      <c r="H963" s="32" t="n"/>
      <c r="I963" s="32" t="n"/>
      <c r="J963" s="32" t="n"/>
    </row>
    <row r="964">
      <c r="A964" s="28" t="n"/>
      <c r="B964" s="29" t="n"/>
      <c r="C964" s="29" t="n"/>
      <c r="D964" s="29" t="n"/>
      <c r="E964" s="29" t="n"/>
      <c r="F964" s="29" t="n"/>
      <c r="G964" s="30" t="n"/>
      <c r="H964" s="29" t="n"/>
      <c r="I964" s="29" t="n"/>
      <c r="J964" s="29" t="n"/>
    </row>
    <row r="965">
      <c r="A965" s="31" t="n"/>
      <c r="B965" s="32" t="n"/>
      <c r="C965" s="32" t="n"/>
      <c r="D965" s="32" t="n"/>
      <c r="E965" s="32" t="n"/>
      <c r="F965" s="32" t="n"/>
      <c r="G965" s="33" t="n"/>
      <c r="H965" s="32" t="n"/>
      <c r="I965" s="32" t="n"/>
      <c r="J965" s="32" t="n"/>
    </row>
    <row r="966">
      <c r="A966" s="28" t="n"/>
      <c r="B966" s="29" t="n"/>
      <c r="C966" s="29" t="n"/>
      <c r="D966" s="29" t="n"/>
      <c r="E966" s="29" t="n"/>
      <c r="F966" s="29" t="n"/>
      <c r="G966" s="30" t="n"/>
      <c r="H966" s="29" t="n"/>
      <c r="I966" s="29" t="n"/>
      <c r="J966" s="29" t="n"/>
    </row>
    <row r="967">
      <c r="A967" s="31" t="n"/>
      <c r="B967" s="32" t="n"/>
      <c r="C967" s="32" t="n"/>
      <c r="D967" s="32" t="n"/>
      <c r="E967" s="32" t="n"/>
      <c r="F967" s="32" t="n"/>
      <c r="G967" s="33" t="n"/>
      <c r="H967" s="32" t="n"/>
      <c r="I967" s="32" t="n"/>
      <c r="J967" s="32" t="n"/>
    </row>
    <row r="968">
      <c r="A968" s="28" t="n"/>
      <c r="B968" s="29" t="n"/>
      <c r="C968" s="29" t="n"/>
      <c r="D968" s="29" t="n"/>
      <c r="E968" s="29" t="n"/>
      <c r="F968" s="29" t="n"/>
      <c r="G968" s="30" t="n"/>
      <c r="H968" s="29" t="n"/>
      <c r="I968" s="29" t="n"/>
      <c r="J968" s="29" t="n"/>
    </row>
    <row r="969">
      <c r="A969" s="31" t="n"/>
      <c r="B969" s="32" t="n"/>
      <c r="C969" s="32" t="n"/>
      <c r="D969" s="32" t="n"/>
      <c r="E969" s="32" t="n"/>
      <c r="F969" s="32" t="n"/>
      <c r="G969" s="33" t="n"/>
      <c r="H969" s="32" t="n"/>
      <c r="I969" s="32" t="n"/>
      <c r="J969" s="32" t="n"/>
    </row>
    <row r="970">
      <c r="A970" s="28" t="n"/>
      <c r="B970" s="29" t="n"/>
      <c r="C970" s="29" t="n"/>
      <c r="D970" s="29" t="n"/>
      <c r="E970" s="29" t="n"/>
      <c r="F970" s="29" t="n"/>
      <c r="G970" s="30" t="n"/>
      <c r="H970" s="29" t="n"/>
      <c r="I970" s="29" t="n"/>
      <c r="J970" s="29" t="n"/>
    </row>
    <row r="971">
      <c r="A971" s="31" t="n"/>
      <c r="B971" s="32" t="n"/>
      <c r="C971" s="32" t="n"/>
      <c r="D971" s="32" t="n"/>
      <c r="E971" s="32" t="n"/>
      <c r="F971" s="32" t="n"/>
      <c r="G971" s="33" t="n"/>
      <c r="H971" s="32" t="n"/>
      <c r="I971" s="32" t="n"/>
      <c r="J971" s="32" t="n"/>
    </row>
    <row r="972">
      <c r="A972" s="28" t="n"/>
      <c r="B972" s="29" t="n"/>
      <c r="C972" s="29" t="n"/>
      <c r="D972" s="29" t="n"/>
      <c r="E972" s="29" t="n"/>
      <c r="F972" s="29" t="n"/>
      <c r="G972" s="30" t="n"/>
      <c r="H972" s="29" t="n"/>
      <c r="I972" s="29" t="n"/>
      <c r="J972" s="29" t="n"/>
    </row>
    <row r="973">
      <c r="A973" s="31" t="n"/>
      <c r="B973" s="32" t="n"/>
      <c r="C973" s="32" t="n"/>
      <c r="D973" s="32" t="n"/>
      <c r="E973" s="32" t="n"/>
      <c r="F973" s="32" t="n"/>
      <c r="G973" s="33" t="n"/>
      <c r="H973" s="32" t="n"/>
      <c r="I973" s="32" t="n"/>
      <c r="J973" s="32" t="n"/>
    </row>
    <row r="974">
      <c r="A974" s="28" t="n"/>
      <c r="B974" s="29" t="n"/>
      <c r="C974" s="29" t="n"/>
      <c r="D974" s="29" t="n"/>
      <c r="E974" s="29" t="n"/>
      <c r="F974" s="29" t="n"/>
      <c r="G974" s="30" t="n"/>
      <c r="H974" s="29" t="n"/>
      <c r="I974" s="29" t="n"/>
      <c r="J974" s="29" t="n"/>
    </row>
    <row r="975">
      <c r="A975" s="31" t="n"/>
      <c r="B975" s="32" t="n"/>
      <c r="C975" s="32" t="n"/>
      <c r="D975" s="32" t="n"/>
      <c r="E975" s="32" t="n"/>
      <c r="F975" s="32" t="n"/>
      <c r="G975" s="33" t="n"/>
      <c r="H975" s="32" t="n"/>
      <c r="I975" s="32" t="n"/>
      <c r="J975" s="32" t="n"/>
    </row>
    <row r="976">
      <c r="A976" s="28" t="n"/>
      <c r="B976" s="29" t="n"/>
      <c r="C976" s="29" t="n"/>
      <c r="D976" s="29" t="n"/>
      <c r="E976" s="29" t="n"/>
      <c r="F976" s="29" t="n"/>
      <c r="G976" s="30" t="n"/>
      <c r="H976" s="29" t="n"/>
      <c r="I976" s="29" t="n"/>
      <c r="J976" s="29" t="n"/>
    </row>
    <row r="977">
      <c r="A977" s="31" t="n"/>
      <c r="B977" s="32" t="n"/>
      <c r="C977" s="32" t="n"/>
      <c r="D977" s="32" t="n"/>
      <c r="E977" s="32" t="n"/>
      <c r="F977" s="32" t="n"/>
      <c r="G977" s="33" t="n"/>
      <c r="H977" s="32" t="n"/>
      <c r="I977" s="32" t="n"/>
      <c r="J977" s="32" t="n"/>
    </row>
    <row r="978">
      <c r="A978" s="28" t="n"/>
      <c r="B978" s="29" t="n"/>
      <c r="C978" s="29" t="n"/>
      <c r="D978" s="29" t="n"/>
      <c r="E978" s="29" t="n"/>
      <c r="F978" s="29" t="n"/>
      <c r="G978" s="30" t="n"/>
      <c r="H978" s="29" t="n"/>
      <c r="I978" s="29" t="n"/>
      <c r="J978" s="29" t="n"/>
    </row>
    <row r="979">
      <c r="A979" s="31" t="n"/>
      <c r="B979" s="32" t="n"/>
      <c r="C979" s="32" t="n"/>
      <c r="D979" s="32" t="n"/>
      <c r="E979" s="32" t="n"/>
      <c r="F979" s="32" t="n"/>
      <c r="G979" s="33" t="n"/>
      <c r="H979" s="32" t="n"/>
      <c r="I979" s="32" t="n"/>
      <c r="J979" s="32" t="n"/>
    </row>
    <row r="980">
      <c r="A980" s="28" t="n"/>
      <c r="B980" s="29" t="n"/>
      <c r="C980" s="29" t="n"/>
      <c r="D980" s="29" t="n"/>
      <c r="E980" s="29" t="n"/>
      <c r="F980" s="29" t="n"/>
      <c r="G980" s="30" t="n"/>
      <c r="H980" s="29" t="n"/>
      <c r="I980" s="29" t="n"/>
      <c r="J980" s="29" t="n"/>
    </row>
    <row r="981">
      <c r="A981" s="31" t="n"/>
      <c r="B981" s="32" t="n"/>
      <c r="C981" s="32" t="n"/>
      <c r="D981" s="32" t="n"/>
      <c r="E981" s="32" t="n"/>
      <c r="F981" s="32" t="n"/>
      <c r="G981" s="33" t="n"/>
      <c r="H981" s="32" t="n"/>
      <c r="I981" s="32" t="n"/>
      <c r="J981" s="32" t="n"/>
    </row>
    <row r="982">
      <c r="A982" s="28" t="n"/>
      <c r="B982" s="29" t="n"/>
      <c r="C982" s="29" t="n"/>
      <c r="D982" s="29" t="n"/>
      <c r="E982" s="29" t="n"/>
      <c r="F982" s="29" t="n"/>
      <c r="G982" s="30" t="n"/>
      <c r="H982" s="29" t="n"/>
      <c r="I982" s="29" t="n"/>
      <c r="J982" s="29" t="n"/>
    </row>
    <row r="983">
      <c r="A983" s="31" t="n"/>
      <c r="B983" s="32" t="n"/>
      <c r="C983" s="32" t="n"/>
      <c r="D983" s="32" t="n"/>
      <c r="E983" s="32" t="n"/>
      <c r="F983" s="32" t="n"/>
      <c r="G983" s="33" t="n"/>
      <c r="H983" s="32" t="n"/>
      <c r="I983" s="32" t="n"/>
      <c r="J983" s="32" t="n"/>
    </row>
    <row r="984">
      <c r="A984" s="28" t="n"/>
      <c r="B984" s="29" t="n"/>
      <c r="C984" s="29" t="n"/>
      <c r="D984" s="29" t="n"/>
      <c r="E984" s="29" t="n"/>
      <c r="F984" s="29" t="n"/>
      <c r="G984" s="30" t="n"/>
      <c r="H984" s="29" t="n"/>
      <c r="I984" s="29" t="n"/>
      <c r="J984" s="29" t="n"/>
    </row>
    <row r="985">
      <c r="A985" s="31" t="n"/>
      <c r="B985" s="32" t="n"/>
      <c r="C985" s="32" t="n"/>
      <c r="D985" s="32" t="n"/>
      <c r="E985" s="32" t="n"/>
      <c r="F985" s="32" t="n"/>
      <c r="G985" s="33" t="n"/>
      <c r="H985" s="32" t="n"/>
      <c r="I985" s="32" t="n"/>
      <c r="J985" s="32" t="n"/>
    </row>
    <row r="986">
      <c r="A986" s="28" t="n"/>
      <c r="B986" s="29" t="n"/>
      <c r="C986" s="29" t="n"/>
      <c r="D986" s="29" t="n"/>
      <c r="E986" s="29" t="n"/>
      <c r="F986" s="29" t="n"/>
      <c r="G986" s="30" t="n"/>
      <c r="H986" s="29" t="n"/>
      <c r="I986" s="29" t="n"/>
      <c r="J986" s="29" t="n"/>
    </row>
    <row r="987">
      <c r="A987" s="31" t="n"/>
      <c r="B987" s="32" t="n"/>
      <c r="C987" s="32" t="n"/>
      <c r="D987" s="32" t="n"/>
      <c r="E987" s="32" t="n"/>
      <c r="F987" s="32" t="n"/>
      <c r="G987" s="33" t="n"/>
      <c r="H987" s="32" t="n"/>
      <c r="I987" s="32" t="n"/>
      <c r="J987" s="32" t="n"/>
    </row>
    <row r="988">
      <c r="A988" s="28" t="n"/>
      <c r="B988" s="29" t="n"/>
      <c r="C988" s="29" t="n"/>
      <c r="D988" s="29" t="n"/>
      <c r="E988" s="29" t="n"/>
      <c r="F988" s="29" t="n"/>
      <c r="G988" s="30" t="n"/>
      <c r="H988" s="29" t="n"/>
      <c r="I988" s="29" t="n"/>
      <c r="J988" s="29" t="n"/>
    </row>
    <row r="989">
      <c r="A989" s="31" t="n"/>
      <c r="B989" s="32" t="n"/>
      <c r="C989" s="32" t="n"/>
      <c r="D989" s="32" t="n"/>
      <c r="E989" s="32" t="n"/>
      <c r="F989" s="32" t="n"/>
      <c r="G989" s="33" t="n"/>
      <c r="H989" s="32" t="n"/>
      <c r="I989" s="32" t="n"/>
      <c r="J989" s="32" t="n"/>
    </row>
    <row r="990">
      <c r="A990" s="28" t="n"/>
      <c r="B990" s="29" t="n"/>
      <c r="C990" s="29" t="n"/>
      <c r="D990" s="29" t="n"/>
      <c r="E990" s="29" t="n"/>
      <c r="F990" s="29" t="n"/>
      <c r="G990" s="30" t="n"/>
      <c r="H990" s="29" t="n"/>
      <c r="I990" s="29" t="n"/>
      <c r="J990" s="29" t="n"/>
    </row>
    <row r="991">
      <c r="A991" s="31" t="n"/>
      <c r="B991" s="32" t="n"/>
      <c r="C991" s="32" t="n"/>
      <c r="D991" s="32" t="n"/>
      <c r="E991" s="32" t="n"/>
      <c r="F991" s="32" t="n"/>
      <c r="G991" s="33" t="n"/>
      <c r="H991" s="32" t="n"/>
      <c r="I991" s="32" t="n"/>
      <c r="J991" s="32" t="n"/>
    </row>
    <row r="992">
      <c r="A992" s="28" t="n"/>
      <c r="B992" s="29" t="n"/>
      <c r="C992" s="29" t="n"/>
      <c r="D992" s="29" t="n"/>
      <c r="E992" s="29" t="n"/>
      <c r="F992" s="29" t="n"/>
      <c r="G992" s="30" t="n"/>
      <c r="H992" s="29" t="n"/>
      <c r="I992" s="29" t="n"/>
      <c r="J992" s="29" t="n"/>
    </row>
    <row r="993">
      <c r="A993" s="31" t="n"/>
      <c r="B993" s="32" t="n"/>
      <c r="C993" s="32" t="n"/>
      <c r="D993" s="32" t="n"/>
      <c r="E993" s="32" t="n"/>
      <c r="F993" s="32" t="n"/>
      <c r="G993" s="33" t="n"/>
      <c r="H993" s="32" t="n"/>
      <c r="I993" s="32" t="n"/>
      <c r="J993" s="32" t="n"/>
    </row>
    <row r="994">
      <c r="A994" s="28" t="n"/>
      <c r="B994" s="29" t="n"/>
      <c r="C994" s="29" t="n"/>
      <c r="D994" s="29" t="n"/>
      <c r="E994" s="29" t="n"/>
      <c r="F994" s="29" t="n"/>
      <c r="G994" s="30" t="n"/>
      <c r="H994" s="29" t="n"/>
      <c r="I994" s="29" t="n"/>
      <c r="J994" s="29" t="n"/>
    </row>
    <row r="995">
      <c r="A995" s="31" t="n"/>
      <c r="B995" s="32" t="n"/>
      <c r="C995" s="32" t="n"/>
      <c r="D995" s="32" t="n"/>
      <c r="E995" s="32" t="n"/>
      <c r="F995" s="32" t="n"/>
      <c r="G995" s="33" t="n"/>
      <c r="H995" s="32" t="n"/>
      <c r="I995" s="32" t="n"/>
      <c r="J995" s="32" t="n"/>
    </row>
    <row r="996">
      <c r="A996" s="28" t="n"/>
      <c r="B996" s="29" t="n"/>
      <c r="C996" s="29" t="n"/>
      <c r="D996" s="29" t="n"/>
      <c r="E996" s="29" t="n"/>
      <c r="F996" s="29" t="n"/>
      <c r="G996" s="30" t="n"/>
      <c r="H996" s="29" t="n"/>
      <c r="I996" s="29" t="n"/>
      <c r="J996" s="29" t="n"/>
    </row>
    <row r="997">
      <c r="A997" s="31" t="n"/>
      <c r="B997" s="32" t="n"/>
      <c r="C997" s="32" t="n"/>
      <c r="D997" s="32" t="n"/>
      <c r="E997" s="32" t="n"/>
      <c r="F997" s="32" t="n"/>
      <c r="G997" s="33" t="n"/>
      <c r="H997" s="32" t="n"/>
      <c r="I997" s="32" t="n"/>
      <c r="J997" s="32" t="n"/>
    </row>
    <row r="998">
      <c r="A998" s="28" t="n"/>
      <c r="B998" s="29" t="n"/>
      <c r="C998" s="29" t="n"/>
      <c r="D998" s="29" t="n"/>
      <c r="E998" s="29" t="n"/>
      <c r="F998" s="29" t="n"/>
      <c r="G998" s="30" t="n"/>
      <c r="H998" s="29" t="n"/>
      <c r="I998" s="29" t="n"/>
      <c r="J998" s="29" t="n"/>
    </row>
    <row r="999">
      <c r="A999" s="31" t="n"/>
      <c r="B999" s="32" t="n"/>
      <c r="C999" s="32" t="n"/>
      <c r="D999" s="32" t="n"/>
      <c r="E999" s="32" t="n"/>
      <c r="F999" s="32" t="n"/>
      <c r="G999" s="33" t="n"/>
      <c r="H999" s="32" t="n"/>
      <c r="I999" s="32" t="n"/>
      <c r="J999" s="32" t="n"/>
    </row>
    <row r="1000">
      <c r="A1000" s="28" t="n"/>
      <c r="B1000" s="29" t="n"/>
      <c r="C1000" s="29" t="n"/>
      <c r="D1000" s="29" t="n"/>
      <c r="E1000" s="29" t="n"/>
      <c r="F1000" s="29" t="n"/>
      <c r="G1000" s="30" t="n"/>
      <c r="H1000" s="29" t="n"/>
      <c r="I1000" s="29" t="n"/>
      <c r="J1000" s="29" t="n"/>
    </row>
    <row r="1001">
      <c r="A1001" s="31" t="n"/>
      <c r="B1001" s="32" t="n"/>
      <c r="C1001" s="32" t="n"/>
      <c r="D1001" s="32" t="n"/>
      <c r="E1001" s="32" t="n"/>
      <c r="F1001" s="32" t="n"/>
      <c r="G1001" s="33" t="n"/>
      <c r="H1001" s="32" t="n"/>
      <c r="I1001" s="32" t="n"/>
      <c r="J1001" s="32" t="n"/>
    </row>
    <row r="1002">
      <c r="A1002" s="28" t="n"/>
      <c r="B1002" s="29" t="n"/>
      <c r="C1002" s="29" t="n"/>
      <c r="D1002" s="29" t="n"/>
      <c r="E1002" s="29" t="n"/>
      <c r="F1002" s="29" t="n"/>
      <c r="G1002" s="30" t="n"/>
      <c r="H1002" s="29" t="n"/>
      <c r="I1002" s="29" t="n"/>
      <c r="J1002" s="29" t="n"/>
    </row>
    <row r="1003">
      <c r="A1003" s="31" t="n"/>
      <c r="B1003" s="32" t="n"/>
      <c r="C1003" s="32" t="n"/>
      <c r="D1003" s="32" t="n"/>
      <c r="E1003" s="32" t="n"/>
      <c r="F1003" s="32" t="n"/>
      <c r="G1003" s="33" t="n"/>
      <c r="H1003" s="32" t="n"/>
      <c r="I1003" s="32" t="n"/>
      <c r="J1003" s="32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32" customHeight="1">
      <c r="B1" s="34">
        <f>TEXT(TODAY(),"YYYY년 MM월")&amp;" 가계부 현황"</f>
        <v/>
      </c>
    </row>
    <row r="2" ht="14" customHeight="1">
      <c r="B2" s="35">
        <f>"기준: "&amp; TODAY() &amp;"  ·  "&amp; DAYS(EOMONTH(TODAY(),0),TODAY()) &amp;"일 남음"</f>
        <v/>
      </c>
    </row>
    <row r="4" ht="14" customHeight="1">
      <c r="B4" s="36" t="inlineStr">
        <is>
          <t>이번달 수입</t>
        </is>
      </c>
      <c r="C4" s="36" t="inlineStr">
        <is>
          <t>이번달 지출</t>
        </is>
      </c>
      <c r="D4" s="36" t="inlineStr">
        <is>
          <t>잔액</t>
        </is>
      </c>
      <c r="E4" s="36" t="inlineStr">
        <is>
          <t>예산합계</t>
        </is>
      </c>
      <c r="F4" s="36" t="inlineStr">
        <is>
          <t>달성율</t>
        </is>
      </c>
      <c r="G4" s="36" t="inlineStr">
        <is>
          <t>하루 평균 지출</t>
        </is>
      </c>
    </row>
    <row r="5" ht="30" customHeight="1">
      <c r="B5" s="37">
        <f>IFERROR(INDIRECT("'"&amp;TEXT(MONTH(TODAY()),"00")&amp;"월!B2"),0)</f>
        <v/>
      </c>
      <c r="C5" s="38">
        <f>IFERROR(INDIRECT("'"&amp;TEXT(MONTH(TODAY()),"00")&amp;"월!D2"),0)</f>
        <v/>
      </c>
      <c r="D5" s="39">
        <f>IFERROR(INDIRECT("'"&amp;TEXT(MONTH(TODAY()),"00")&amp;"월!F2"),0)</f>
        <v/>
      </c>
      <c r="E5" s="40">
        <f>IFERROR(INDIRECT("'"&amp;TEXT(MONTH(TODAY()),"00")&amp;"월!E23"),0)</f>
        <v/>
      </c>
      <c r="F5" s="41">
        <f>IFERROR(INDIRECT("'"&amp;TEXT(MONTH(TODAY()),"00")&amp;"월!D2")/INDIRECT("'"&amp;TEXT(MONTH(TODAY()),"00")&amp;"월!E23"),0)</f>
        <v/>
      </c>
      <c r="G5" s="42">
        <f>IFERROR(INDIRECT("'"&amp;TEXT(MONTH(TODAY()),"00")&amp;"월!D2")/(DAY(TODAY())),0)</f>
        <v/>
      </c>
    </row>
    <row r="7" ht="22" customHeight="1">
      <c r="B7" s="27" t="inlineStr">
        <is>
          <t>카테고리</t>
        </is>
      </c>
      <c r="C7" s="27" t="inlineStr">
        <is>
          <t>세부항목</t>
        </is>
      </c>
      <c r="D7" s="43" t="inlineStr">
        <is>
          <t>예산</t>
        </is>
      </c>
      <c r="E7" s="44" t="inlineStr">
        <is>
          <t>실제지출</t>
        </is>
      </c>
      <c r="F7" s="45" t="inlineStr">
        <is>
          <t>차액</t>
        </is>
      </c>
      <c r="G7" s="45" t="inlineStr">
        <is>
          <t>달성율</t>
        </is>
      </c>
    </row>
    <row r="8" ht="20" customHeight="1">
      <c r="B8" s="46" t="inlineStr">
        <is>
          <t>고정비</t>
        </is>
      </c>
      <c r="C8" s="46" t="inlineStr">
        <is>
          <t>교통비</t>
        </is>
      </c>
      <c r="D8" s="47">
        <f>IFERROR(INDIRECT("'"&amp;TEXT(MONTH(TODAY()),"00")&amp;"월!E5"),0)</f>
        <v/>
      </c>
      <c r="E8" s="47">
        <f>IFERROR(INDIRECT("'"&amp;TEXT(MONTH(TODAY()),"00")&amp;"월!F5"),0)</f>
        <v/>
      </c>
      <c r="F8" s="47">
        <f>D8-E8</f>
        <v/>
      </c>
      <c r="G8" s="48">
        <f>IFERROR(E8/D8,0)</f>
        <v/>
      </c>
    </row>
    <row r="9" ht="20" customHeight="1">
      <c r="B9" s="32" t="inlineStr">
        <is>
          <t>고정비</t>
        </is>
      </c>
      <c r="C9" s="32" t="inlineStr">
        <is>
          <t>휴대폰/인터넷</t>
        </is>
      </c>
      <c r="D9" s="49">
        <f>IFERROR(INDIRECT("'"&amp;TEXT(MONTH(TODAY()),"00")&amp;"월!E6"),0)</f>
        <v/>
      </c>
      <c r="E9" s="49">
        <f>IFERROR(INDIRECT("'"&amp;TEXT(MONTH(TODAY()),"00")&amp;"월!F6"),0)</f>
        <v/>
      </c>
      <c r="F9" s="49">
        <f>D9-E9</f>
        <v/>
      </c>
      <c r="G9" s="50">
        <f>IFERROR(E9/D9,0)</f>
        <v/>
      </c>
    </row>
    <row r="10" ht="20" customHeight="1">
      <c r="B10" s="46" t="inlineStr">
        <is>
          <t>고정비</t>
        </is>
      </c>
      <c r="C10" s="46" t="inlineStr">
        <is>
          <t>보험/연금</t>
        </is>
      </c>
      <c r="D10" s="47">
        <f>IFERROR(INDIRECT("'"&amp;TEXT(MONTH(TODAY()),"00")&amp;"월!E7"),0)</f>
        <v/>
      </c>
      <c r="E10" s="47">
        <f>IFERROR(INDIRECT("'"&amp;TEXT(MONTH(TODAY()),"00")&amp;"월!F7"),0)</f>
        <v/>
      </c>
      <c r="F10" s="47">
        <f>D10-E10</f>
        <v/>
      </c>
      <c r="G10" s="48">
        <f>IFERROR(E10/D10,0)</f>
        <v/>
      </c>
    </row>
    <row r="11" ht="20" customHeight="1">
      <c r="B11" s="32" t="inlineStr">
        <is>
          <t>고정비</t>
        </is>
      </c>
      <c r="C11" s="32" t="inlineStr">
        <is>
          <t>부모님</t>
        </is>
      </c>
      <c r="D11" s="49">
        <f>IFERROR(INDIRECT("'"&amp;TEXT(MONTH(TODAY()),"00")&amp;"월!E8"),0)</f>
        <v/>
      </c>
      <c r="E11" s="49">
        <f>IFERROR(INDIRECT("'"&amp;TEXT(MONTH(TODAY()),"00")&amp;"월!F8"),0)</f>
        <v/>
      </c>
      <c r="F11" s="49">
        <f>D11-E11</f>
        <v/>
      </c>
      <c r="G11" s="50">
        <f>IFERROR(E11/D11,0)</f>
        <v/>
      </c>
    </row>
    <row r="12" ht="20" customHeight="1">
      <c r="B12" s="46" t="inlineStr">
        <is>
          <t>고정비</t>
        </is>
      </c>
      <c r="C12" s="46" t="inlineStr">
        <is>
          <t>기흥모임</t>
        </is>
      </c>
      <c r="D12" s="47">
        <f>IFERROR(INDIRECT("'"&amp;TEXT(MONTH(TODAY()),"00")&amp;"월!E9"),0)</f>
        <v/>
      </c>
      <c r="E12" s="47">
        <f>IFERROR(INDIRECT("'"&amp;TEXT(MONTH(TODAY()),"00")&amp;"월!F9"),0)</f>
        <v/>
      </c>
      <c r="F12" s="47">
        <f>D12-E12</f>
        <v/>
      </c>
      <c r="G12" s="48">
        <f>IFERROR(E12/D12,0)</f>
        <v/>
      </c>
    </row>
    <row r="13" ht="20" customHeight="1">
      <c r="B13" s="32" t="inlineStr">
        <is>
          <t>고정비</t>
        </is>
      </c>
      <c r="C13" s="32" t="inlineStr">
        <is>
          <t>구독형서비스</t>
        </is>
      </c>
      <c r="D13" s="49">
        <f>IFERROR(INDIRECT("'"&amp;TEXT(MONTH(TODAY()),"00")&amp;"월!E10"),0)</f>
        <v/>
      </c>
      <c r="E13" s="49">
        <f>IFERROR(INDIRECT("'"&amp;TEXT(MONTH(TODAY()),"00")&amp;"월!F10"),0)</f>
        <v/>
      </c>
      <c r="F13" s="49">
        <f>D13-E13</f>
        <v/>
      </c>
      <c r="G13" s="50">
        <f>IFERROR(E13/D13,0)</f>
        <v/>
      </c>
    </row>
    <row r="14" ht="20" customHeight="1">
      <c r="B14" s="46" t="inlineStr">
        <is>
          <t>고정비</t>
        </is>
      </c>
      <c r="C14" s="46" t="inlineStr">
        <is>
          <t>용돈</t>
        </is>
      </c>
      <c r="D14" s="47">
        <f>IFERROR(INDIRECT("'"&amp;TEXT(MONTH(TODAY()),"00")&amp;"월!E11"),0)</f>
        <v/>
      </c>
      <c r="E14" s="47">
        <f>IFERROR(INDIRECT("'"&amp;TEXT(MONTH(TODAY()),"00")&amp;"월!F11"),0)</f>
        <v/>
      </c>
      <c r="F14" s="47">
        <f>D14-E14</f>
        <v/>
      </c>
      <c r="G14" s="48">
        <f>IFERROR(E14/D14,0)</f>
        <v/>
      </c>
    </row>
    <row r="15" ht="20" customHeight="1">
      <c r="B15" s="32" t="inlineStr">
        <is>
          <t>고정비</t>
        </is>
      </c>
      <c r="C15" s="32" t="inlineStr">
        <is>
          <t>아파트관리비</t>
        </is>
      </c>
      <c r="D15" s="49">
        <f>IFERROR(INDIRECT("'"&amp;TEXT(MONTH(TODAY()),"00")&amp;"월!E12"),0)</f>
        <v/>
      </c>
      <c r="E15" s="49">
        <f>IFERROR(INDIRECT("'"&amp;TEXT(MONTH(TODAY()),"00")&amp;"월!F12"),0)</f>
        <v/>
      </c>
      <c r="F15" s="49">
        <f>D15-E15</f>
        <v/>
      </c>
      <c r="G15" s="50">
        <f>IFERROR(E15/D15,0)</f>
        <v/>
      </c>
    </row>
    <row r="16" ht="20" customHeight="1">
      <c r="B16" s="46" t="inlineStr">
        <is>
          <t>생활비</t>
        </is>
      </c>
      <c r="C16" s="46" t="inlineStr">
        <is>
          <t>생활비</t>
        </is>
      </c>
      <c r="D16" s="47">
        <f>IFERROR(INDIRECT("'"&amp;TEXT(MONTH(TODAY()),"00")&amp;"월!E13"),0)</f>
        <v/>
      </c>
      <c r="E16" s="47">
        <f>IFERROR(INDIRECT("'"&amp;TEXT(MONTH(TODAY()),"00")&amp;"월!F13"),0)</f>
        <v/>
      </c>
      <c r="F16" s="47">
        <f>D16-E16</f>
        <v/>
      </c>
      <c r="G16" s="48">
        <f>IFERROR(E16/D16,0)</f>
        <v/>
      </c>
    </row>
    <row r="17" ht="20" customHeight="1">
      <c r="B17" s="32" t="inlineStr">
        <is>
          <t>의료/건강</t>
        </is>
      </c>
      <c r="C17" s="32" t="inlineStr">
        <is>
          <t>의료/건강</t>
        </is>
      </c>
      <c r="D17" s="49">
        <f>IFERROR(INDIRECT("'"&amp;TEXT(MONTH(TODAY()),"00")&amp;"월!E14"),0)</f>
        <v/>
      </c>
      <c r="E17" s="49">
        <f>IFERROR(INDIRECT("'"&amp;TEXT(MONTH(TODAY()),"00")&amp;"월!F14"),0)</f>
        <v/>
      </c>
      <c r="F17" s="49">
        <f>D17-E17</f>
        <v/>
      </c>
      <c r="G17" s="50">
        <f>IFERROR(E17/D17,0)</f>
        <v/>
      </c>
    </row>
    <row r="18" ht="20" customHeight="1">
      <c r="B18" s="46" t="inlineStr">
        <is>
          <t>모임</t>
        </is>
      </c>
      <c r="C18" s="46" t="inlineStr">
        <is>
          <t>모임</t>
        </is>
      </c>
      <c r="D18" s="47">
        <f>IFERROR(INDIRECT("'"&amp;TEXT(MONTH(TODAY()),"00")&amp;"월!E15"),0)</f>
        <v/>
      </c>
      <c r="E18" s="47">
        <f>IFERROR(INDIRECT("'"&amp;TEXT(MONTH(TODAY()),"00")&amp;"월!F15"),0)</f>
        <v/>
      </c>
      <c r="F18" s="47">
        <f>D18-E18</f>
        <v/>
      </c>
      <c r="G18" s="48">
        <f>IFERROR(E18/D18,0)</f>
        <v/>
      </c>
    </row>
    <row r="19" ht="20" customHeight="1">
      <c r="B19" s="32" t="inlineStr">
        <is>
          <t>Tiss</t>
        </is>
      </c>
      <c r="C19" s="32" t="inlineStr">
        <is>
          <t>개인</t>
        </is>
      </c>
      <c r="D19" s="49">
        <f>IFERROR(INDIRECT("'"&amp;TEXT(MONTH(TODAY()),"00")&amp;"월!E16"),0)</f>
        <v/>
      </c>
      <c r="E19" s="49">
        <f>IFERROR(INDIRECT("'"&amp;TEXT(MONTH(TODAY()),"00")&amp;"월!F16"),0)</f>
        <v/>
      </c>
      <c r="F19" s="49">
        <f>D19-E19</f>
        <v/>
      </c>
      <c r="G19" s="50">
        <f>IFERROR(E19/D19,0)</f>
        <v/>
      </c>
    </row>
    <row r="20" ht="20" customHeight="1">
      <c r="B20" s="46" t="inlineStr">
        <is>
          <t>JM</t>
        </is>
      </c>
      <c r="C20" s="46" t="inlineStr">
        <is>
          <t>개인</t>
        </is>
      </c>
      <c r="D20" s="47">
        <f>IFERROR(INDIRECT("'"&amp;TEXT(MONTH(TODAY()),"00")&amp;"월!E17"),0)</f>
        <v/>
      </c>
      <c r="E20" s="47">
        <f>IFERROR(INDIRECT("'"&amp;TEXT(MONTH(TODAY()),"00")&amp;"월!F17"),0)</f>
        <v/>
      </c>
      <c r="F20" s="47">
        <f>D20-E20</f>
        <v/>
      </c>
      <c r="G20" s="48">
        <f>IFERROR(E20/D20,0)</f>
        <v/>
      </c>
    </row>
    <row r="21" ht="20" customHeight="1">
      <c r="B21" s="32" t="inlineStr">
        <is>
          <t>세금</t>
        </is>
      </c>
      <c r="C21" s="32" t="inlineStr">
        <is>
          <t>재산세(주택)</t>
        </is>
      </c>
      <c r="D21" s="49">
        <f>IFERROR(INDIRECT("'"&amp;TEXT(MONTH(TODAY()),"00")&amp;"월!E18"),0)</f>
        <v/>
      </c>
      <c r="E21" s="49">
        <f>IFERROR(INDIRECT("'"&amp;TEXT(MONTH(TODAY()),"00")&amp;"월!F18"),0)</f>
        <v/>
      </c>
      <c r="F21" s="49">
        <f>D21-E21</f>
        <v/>
      </c>
      <c r="G21" s="50">
        <f>IFERROR(E21/D21,0)</f>
        <v/>
      </c>
    </row>
    <row r="22" ht="20" customHeight="1">
      <c r="B22" s="46" t="inlineStr">
        <is>
          <t>세금</t>
        </is>
      </c>
      <c r="C22" s="46" t="inlineStr">
        <is>
          <t>종합소득세</t>
        </is>
      </c>
      <c r="D22" s="47">
        <f>IFERROR(INDIRECT("'"&amp;TEXT(MONTH(TODAY()),"00")&amp;"월!E19"),0)</f>
        <v/>
      </c>
      <c r="E22" s="47">
        <f>IFERROR(INDIRECT("'"&amp;TEXT(MONTH(TODAY()),"00")&amp;"월!F19"),0)</f>
        <v/>
      </c>
      <c r="F22" s="47">
        <f>D22-E22</f>
        <v/>
      </c>
      <c r="G22" s="48">
        <f>IFERROR(E22/D22,0)</f>
        <v/>
      </c>
    </row>
    <row r="23" ht="20" customHeight="1">
      <c r="B23" s="32" t="inlineStr">
        <is>
          <t>대출상환</t>
        </is>
      </c>
      <c r="C23" s="32" t="inlineStr">
        <is>
          <t>디딤돌대출</t>
        </is>
      </c>
      <c r="D23" s="49">
        <f>IFERROR(INDIRECT("'"&amp;TEXT(MONTH(TODAY()),"00")&amp;"월!E20"),0)</f>
        <v/>
      </c>
      <c r="E23" s="49">
        <f>IFERROR(INDIRECT("'"&amp;TEXT(MONTH(TODAY()),"00")&amp;"월!F20"),0)</f>
        <v/>
      </c>
      <c r="F23" s="49">
        <f>D23-E23</f>
        <v/>
      </c>
      <c r="G23" s="50">
        <f>IFERROR(E23/D23,0)</f>
        <v/>
      </c>
    </row>
    <row r="24" ht="20" customHeight="1">
      <c r="B24" s="46" t="inlineStr">
        <is>
          <t>부동산</t>
        </is>
      </c>
      <c r="C24" s="46" t="inlineStr">
        <is>
          <t>부동산</t>
        </is>
      </c>
      <c r="D24" s="47">
        <f>IFERROR(INDIRECT("'"&amp;TEXT(MONTH(TODAY()),"00")&amp;"월!E21"),0)</f>
        <v/>
      </c>
      <c r="E24" s="47">
        <f>IFERROR(INDIRECT("'"&amp;TEXT(MONTH(TODAY()),"00")&amp;"월!F21"),0)</f>
        <v/>
      </c>
      <c r="F24" s="47">
        <f>D24-E24</f>
        <v/>
      </c>
      <c r="G24" s="48">
        <f>IFERROR(E24/D24,0)</f>
        <v/>
      </c>
    </row>
    <row r="25" ht="20" customHeight="1">
      <c r="B25" s="32" t="inlineStr">
        <is>
          <t>기타</t>
        </is>
      </c>
      <c r="C25" s="32" t="inlineStr">
        <is>
          <t>기타</t>
        </is>
      </c>
      <c r="D25" s="49">
        <f>IFERROR(INDIRECT("'"&amp;TEXT(MONTH(TODAY()),"00")&amp;"월!E22"),0)</f>
        <v/>
      </c>
      <c r="E25" s="49">
        <f>IFERROR(INDIRECT("'"&amp;TEXT(MONTH(TODAY()),"00")&amp;"월!F22"),0)</f>
        <v/>
      </c>
      <c r="F25" s="49">
        <f>D25-E25</f>
        <v/>
      </c>
      <c r="G25" s="50">
        <f>IFERROR(E25/D25,0)</f>
        <v/>
      </c>
    </row>
    <row r="26" ht="22" customHeight="1">
      <c r="B26" s="51" t="inlineStr">
        <is>
          <t>합계</t>
        </is>
      </c>
      <c r="C26" s="11" t="n"/>
      <c r="D26" s="52">
        <f>SUM(D8:D25)</f>
        <v/>
      </c>
      <c r="E26" s="52">
        <f>SUM(E8:E25)</f>
        <v/>
      </c>
      <c r="F26" s="52">
        <f>SUM(F8:F25)</f>
        <v/>
      </c>
      <c r="G26" s="53">
        <f>IFERROR(E26/D26,0)</f>
        <v/>
      </c>
    </row>
  </sheetData>
  <mergeCells count="3">
    <mergeCell ref="B2:G2"/>
    <mergeCell ref="B26:C26"/>
    <mergeCell ref="B1:G1"/>
  </mergeCells>
  <conditionalFormatting sqref="B8:G25">
    <cfRule type="expression" priority="1" dxfId="0">
      <formula>=$E8&gt;$D8</formula>
    </cfRule>
  </conditionalFormatting>
  <conditionalFormatting sqref="G8:G25">
    <cfRule type="dataBar" priority="2">
      <dataBar>
        <cfvo type="num" val="0"/>
        <cfvo type="num" val="1"/>
        <color rgb="002563EB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32" customWidth="1" min="10" max="10"/>
    <col width="2" customWidth="1" min="11" max="11"/>
    <col width="2" customWidth="1" min="12" max="12"/>
  </cols>
  <sheetData>
    <row r="1" ht="30" customHeight="1">
      <c r="B1" s="54">
        <f>설정!C3&amp;"년 가계부 요약"</f>
        <v/>
      </c>
    </row>
    <row r="2" ht="20" customHeight="1"/>
    <row r="3" ht="24" customHeight="1">
      <c r="B3" s="55" t="inlineStr">
        <is>
          <t>월별 수입 / 지출 / 잔액</t>
        </is>
      </c>
      <c r="C3" s="10" t="n"/>
      <c r="D3" s="10" t="n"/>
      <c r="E3" s="10" t="n"/>
      <c r="F3" s="10" t="n"/>
      <c r="G3" s="10" t="n"/>
      <c r="H3" s="10" t="n"/>
      <c r="I3" s="10" t="n"/>
      <c r="J3" s="11" t="n"/>
    </row>
    <row r="4" ht="22" customHeight="1">
      <c r="B4" s="56" t="inlineStr">
        <is>
          <t>월</t>
        </is>
      </c>
      <c r="C4" s="57" t="inlineStr">
        <is>
          <t>수입</t>
        </is>
      </c>
      <c r="D4" s="58" t="inlineStr">
        <is>
          <t>지출</t>
        </is>
      </c>
      <c r="E4" s="56" t="inlineStr">
        <is>
          <t>잔액</t>
        </is>
      </c>
      <c r="F4" s="59" t="inlineStr">
        <is>
          <t>예산</t>
        </is>
      </c>
      <c r="G4" s="59" t="inlineStr">
        <is>
          <t>예산대비</t>
        </is>
      </c>
      <c r="H4" s="59" t="inlineStr">
        <is>
          <t>수입편차</t>
        </is>
      </c>
      <c r="I4" s="59" t="inlineStr">
        <is>
          <t>지출편차</t>
        </is>
      </c>
      <c r="J4" s="59" t="inlineStr">
        <is>
          <t>비고 (이달 특이사항)</t>
        </is>
      </c>
    </row>
    <row r="5" ht="14" customHeight="1">
      <c r="J5" s="60" t="inlineStr">
        <is>
          <t>← 수입·지출이 평균 대비 20% 초과 시 강조. 사유를 입력하세요.</t>
        </is>
      </c>
    </row>
    <row r="6" ht="21" customHeight="1">
      <c r="B6" s="61" t="inlineStr">
        <is>
          <t>1월</t>
        </is>
      </c>
      <c r="C6" s="62">
        <f>'01월'!B2</f>
        <v/>
      </c>
      <c r="D6" s="62">
        <f>'01월'!D2</f>
        <v/>
      </c>
      <c r="E6" s="62">
        <f>'01월'!F2</f>
        <v/>
      </c>
      <c r="F6" s="62">
        <f>IFERROR('01월'!E23,0)</f>
        <v/>
      </c>
      <c r="G6" s="63">
        <f>IFERROR(D6/F6,0)</f>
        <v/>
      </c>
      <c r="H6" s="64">
        <f>IFERROR((C6-AVERAGEIF(C$6:C$17,"&gt;0"))/ABS(AVERAGEIF(C$6:C$17,"&gt;0")),0)</f>
        <v/>
      </c>
      <c r="I6" s="64">
        <f>IFERROR((D6-AVERAGEIF(D$6:D$17,"&gt;0"))/ABS(AVERAGEIF(D$6:D$17,"&gt;0")),0)</f>
        <v/>
      </c>
      <c r="J6" s="65" t="inlineStr"/>
      <c r="K6" s="62">
        <f>IFERROR(AVERAGEIF(C$6:C$17,"&gt;0"),0)</f>
        <v/>
      </c>
      <c r="L6" s="62">
        <f>IFERROR(AVERAGEIF(D$6:D$17,"&gt;0"),0)</f>
        <v/>
      </c>
    </row>
    <row r="7" ht="21" customHeight="1">
      <c r="B7" s="66" t="inlineStr">
        <is>
          <t>2월</t>
        </is>
      </c>
      <c r="C7" s="67">
        <f>'02월'!B2</f>
        <v/>
      </c>
      <c r="D7" s="67">
        <f>'02월'!D2</f>
        <v/>
      </c>
      <c r="E7" s="67">
        <f>'02월'!F2</f>
        <v/>
      </c>
      <c r="F7" s="67">
        <f>IFERROR('02월'!E23,0)</f>
        <v/>
      </c>
      <c r="G7" s="68">
        <f>IFERROR(D7/F7,0)</f>
        <v/>
      </c>
      <c r="H7" s="69">
        <f>IFERROR((C7-AVERAGEIF(C$6:C$17,"&gt;0"))/ABS(AVERAGEIF(C$6:C$17,"&gt;0")),0)</f>
        <v/>
      </c>
      <c r="I7" s="69">
        <f>IFERROR((D7-AVERAGEIF(D$6:D$17,"&gt;0"))/ABS(AVERAGEIF(D$6:D$17,"&gt;0")),0)</f>
        <v/>
      </c>
      <c r="J7" s="70" t="inlineStr"/>
      <c r="K7" s="67">
        <f>IFERROR(AVERAGEIF(C$6:C$17,"&gt;0"),0)</f>
        <v/>
      </c>
      <c r="L7" s="67">
        <f>IFERROR(AVERAGEIF(D$6:D$17,"&gt;0"),0)</f>
        <v/>
      </c>
    </row>
    <row r="8" ht="21" customHeight="1">
      <c r="B8" s="61" t="inlineStr">
        <is>
          <t>3월</t>
        </is>
      </c>
      <c r="C8" s="62">
        <f>'03월'!B2</f>
        <v/>
      </c>
      <c r="D8" s="62">
        <f>'03월'!D2</f>
        <v/>
      </c>
      <c r="E8" s="62">
        <f>'03월'!F2</f>
        <v/>
      </c>
      <c r="F8" s="62">
        <f>IFERROR('03월'!E23,0)</f>
        <v/>
      </c>
      <c r="G8" s="63">
        <f>IFERROR(D8/F8,0)</f>
        <v/>
      </c>
      <c r="H8" s="64">
        <f>IFERROR((C8-AVERAGEIF(C$6:C$17,"&gt;0"))/ABS(AVERAGEIF(C$6:C$17,"&gt;0")),0)</f>
        <v/>
      </c>
      <c r="I8" s="64">
        <f>IFERROR((D8-AVERAGEIF(D$6:D$17,"&gt;0"))/ABS(AVERAGEIF(D$6:D$17,"&gt;0")),0)</f>
        <v/>
      </c>
      <c r="J8" s="65" t="inlineStr"/>
      <c r="K8" s="62">
        <f>IFERROR(AVERAGEIF(C$6:C$17,"&gt;0"),0)</f>
        <v/>
      </c>
      <c r="L8" s="62">
        <f>IFERROR(AVERAGEIF(D$6:D$17,"&gt;0"),0)</f>
        <v/>
      </c>
    </row>
    <row r="9" ht="21" customHeight="1">
      <c r="B9" s="66" t="inlineStr">
        <is>
          <t>4월</t>
        </is>
      </c>
      <c r="C9" s="67">
        <f>'04월'!B2</f>
        <v/>
      </c>
      <c r="D9" s="67">
        <f>'04월'!D2</f>
        <v/>
      </c>
      <c r="E9" s="67">
        <f>'04월'!F2</f>
        <v/>
      </c>
      <c r="F9" s="67">
        <f>IFERROR('04월'!E23,0)</f>
        <v/>
      </c>
      <c r="G9" s="68">
        <f>IFERROR(D9/F9,0)</f>
        <v/>
      </c>
      <c r="H9" s="69">
        <f>IFERROR((C9-AVERAGEIF(C$6:C$17,"&gt;0"))/ABS(AVERAGEIF(C$6:C$17,"&gt;0")),0)</f>
        <v/>
      </c>
      <c r="I9" s="69">
        <f>IFERROR((D9-AVERAGEIF(D$6:D$17,"&gt;0"))/ABS(AVERAGEIF(D$6:D$17,"&gt;0")),0)</f>
        <v/>
      </c>
      <c r="J9" s="70" t="inlineStr"/>
      <c r="K9" s="67">
        <f>IFERROR(AVERAGEIF(C$6:C$17,"&gt;0"),0)</f>
        <v/>
      </c>
      <c r="L9" s="67">
        <f>IFERROR(AVERAGEIF(D$6:D$17,"&gt;0"),0)</f>
        <v/>
      </c>
    </row>
    <row r="10" ht="21" customHeight="1">
      <c r="B10" s="61" t="inlineStr">
        <is>
          <t>5월</t>
        </is>
      </c>
      <c r="C10" s="62">
        <f>'05월'!B2</f>
        <v/>
      </c>
      <c r="D10" s="62">
        <f>'05월'!D2</f>
        <v/>
      </c>
      <c r="E10" s="62">
        <f>'05월'!F2</f>
        <v/>
      </c>
      <c r="F10" s="62">
        <f>IFERROR('05월'!E23,0)</f>
        <v/>
      </c>
      <c r="G10" s="63">
        <f>IFERROR(D10/F10,0)</f>
        <v/>
      </c>
      <c r="H10" s="64">
        <f>IFERROR((C10-AVERAGEIF(C$6:C$17,"&gt;0"))/ABS(AVERAGEIF(C$6:C$17,"&gt;0")),0)</f>
        <v/>
      </c>
      <c r="I10" s="64">
        <f>IFERROR((D10-AVERAGEIF(D$6:D$17,"&gt;0"))/ABS(AVERAGEIF(D$6:D$17,"&gt;0")),0)</f>
        <v/>
      </c>
      <c r="J10" s="65" t="inlineStr"/>
      <c r="K10" s="62">
        <f>IFERROR(AVERAGEIF(C$6:C$17,"&gt;0"),0)</f>
        <v/>
      </c>
      <c r="L10" s="62">
        <f>IFERROR(AVERAGEIF(D$6:D$17,"&gt;0"),0)</f>
        <v/>
      </c>
    </row>
    <row r="11" ht="21" customHeight="1">
      <c r="B11" s="66" t="inlineStr">
        <is>
          <t>6월</t>
        </is>
      </c>
      <c r="C11" s="67">
        <f>'06월'!B2</f>
        <v/>
      </c>
      <c r="D11" s="67">
        <f>'06월'!D2</f>
        <v/>
      </c>
      <c r="E11" s="67">
        <f>'06월'!F2</f>
        <v/>
      </c>
      <c r="F11" s="67">
        <f>IFERROR('06월'!E23,0)</f>
        <v/>
      </c>
      <c r="G11" s="68">
        <f>IFERROR(D11/F11,0)</f>
        <v/>
      </c>
      <c r="H11" s="69">
        <f>IFERROR((C11-AVERAGEIF(C$6:C$17,"&gt;0"))/ABS(AVERAGEIF(C$6:C$17,"&gt;0")),0)</f>
        <v/>
      </c>
      <c r="I11" s="69">
        <f>IFERROR((D11-AVERAGEIF(D$6:D$17,"&gt;0"))/ABS(AVERAGEIF(D$6:D$17,"&gt;0")),0)</f>
        <v/>
      </c>
      <c r="J11" s="70" t="inlineStr"/>
      <c r="K11" s="67">
        <f>IFERROR(AVERAGEIF(C$6:C$17,"&gt;0"),0)</f>
        <v/>
      </c>
      <c r="L11" s="67">
        <f>IFERROR(AVERAGEIF(D$6:D$17,"&gt;0"),0)</f>
        <v/>
      </c>
    </row>
    <row r="12" ht="21" customHeight="1">
      <c r="B12" s="61" t="inlineStr">
        <is>
          <t>7월</t>
        </is>
      </c>
      <c r="C12" s="62">
        <f>'07월'!B2</f>
        <v/>
      </c>
      <c r="D12" s="62">
        <f>'07월'!D2</f>
        <v/>
      </c>
      <c r="E12" s="62">
        <f>'07월'!F2</f>
        <v/>
      </c>
      <c r="F12" s="62">
        <f>IFERROR('07월'!E23,0)</f>
        <v/>
      </c>
      <c r="G12" s="63">
        <f>IFERROR(D12/F12,0)</f>
        <v/>
      </c>
      <c r="H12" s="64">
        <f>IFERROR((C12-AVERAGEIF(C$6:C$17,"&gt;0"))/ABS(AVERAGEIF(C$6:C$17,"&gt;0")),0)</f>
        <v/>
      </c>
      <c r="I12" s="64">
        <f>IFERROR((D12-AVERAGEIF(D$6:D$17,"&gt;0"))/ABS(AVERAGEIF(D$6:D$17,"&gt;0")),0)</f>
        <v/>
      </c>
      <c r="J12" s="65" t="inlineStr"/>
      <c r="K12" s="62">
        <f>IFERROR(AVERAGEIF(C$6:C$17,"&gt;0"),0)</f>
        <v/>
      </c>
      <c r="L12" s="62">
        <f>IFERROR(AVERAGEIF(D$6:D$17,"&gt;0"),0)</f>
        <v/>
      </c>
    </row>
    <row r="13" ht="21" customHeight="1">
      <c r="B13" s="66" t="inlineStr">
        <is>
          <t>8월</t>
        </is>
      </c>
      <c r="C13" s="67">
        <f>'08월'!B2</f>
        <v/>
      </c>
      <c r="D13" s="67">
        <f>'08월'!D2</f>
        <v/>
      </c>
      <c r="E13" s="67">
        <f>'08월'!F2</f>
        <v/>
      </c>
      <c r="F13" s="67">
        <f>IFERROR('08월'!E23,0)</f>
        <v/>
      </c>
      <c r="G13" s="68">
        <f>IFERROR(D13/F13,0)</f>
        <v/>
      </c>
      <c r="H13" s="69">
        <f>IFERROR((C13-AVERAGEIF(C$6:C$17,"&gt;0"))/ABS(AVERAGEIF(C$6:C$17,"&gt;0")),0)</f>
        <v/>
      </c>
      <c r="I13" s="69">
        <f>IFERROR((D13-AVERAGEIF(D$6:D$17,"&gt;0"))/ABS(AVERAGEIF(D$6:D$17,"&gt;0")),0)</f>
        <v/>
      </c>
      <c r="J13" s="70" t="inlineStr"/>
      <c r="K13" s="67">
        <f>IFERROR(AVERAGEIF(C$6:C$17,"&gt;0"),0)</f>
        <v/>
      </c>
      <c r="L13" s="67">
        <f>IFERROR(AVERAGEIF(D$6:D$17,"&gt;0"),0)</f>
        <v/>
      </c>
    </row>
    <row r="14" ht="21" customHeight="1">
      <c r="B14" s="61" t="inlineStr">
        <is>
          <t>9월</t>
        </is>
      </c>
      <c r="C14" s="62">
        <f>'09월'!B2</f>
        <v/>
      </c>
      <c r="D14" s="62">
        <f>'09월'!D2</f>
        <v/>
      </c>
      <c r="E14" s="62">
        <f>'09월'!F2</f>
        <v/>
      </c>
      <c r="F14" s="62">
        <f>IFERROR('09월'!E23,0)</f>
        <v/>
      </c>
      <c r="G14" s="63">
        <f>IFERROR(D14/F14,0)</f>
        <v/>
      </c>
      <c r="H14" s="64">
        <f>IFERROR((C14-AVERAGEIF(C$6:C$17,"&gt;0"))/ABS(AVERAGEIF(C$6:C$17,"&gt;0")),0)</f>
        <v/>
      </c>
      <c r="I14" s="64">
        <f>IFERROR((D14-AVERAGEIF(D$6:D$17,"&gt;0"))/ABS(AVERAGEIF(D$6:D$17,"&gt;0")),0)</f>
        <v/>
      </c>
      <c r="J14" s="65" t="inlineStr"/>
      <c r="K14" s="62">
        <f>IFERROR(AVERAGEIF(C$6:C$17,"&gt;0"),0)</f>
        <v/>
      </c>
      <c r="L14" s="62">
        <f>IFERROR(AVERAGEIF(D$6:D$17,"&gt;0"),0)</f>
        <v/>
      </c>
    </row>
    <row r="15" ht="21" customHeight="1">
      <c r="B15" s="66" t="inlineStr">
        <is>
          <t>10월</t>
        </is>
      </c>
      <c r="C15" s="67">
        <f>'10월'!B2</f>
        <v/>
      </c>
      <c r="D15" s="67">
        <f>'10월'!D2</f>
        <v/>
      </c>
      <c r="E15" s="67">
        <f>'10월'!F2</f>
        <v/>
      </c>
      <c r="F15" s="67">
        <f>IFERROR('10월'!E23,0)</f>
        <v/>
      </c>
      <c r="G15" s="68">
        <f>IFERROR(D15/F15,0)</f>
        <v/>
      </c>
      <c r="H15" s="69">
        <f>IFERROR((C15-AVERAGEIF(C$6:C$17,"&gt;0"))/ABS(AVERAGEIF(C$6:C$17,"&gt;0")),0)</f>
        <v/>
      </c>
      <c r="I15" s="69">
        <f>IFERROR((D15-AVERAGEIF(D$6:D$17,"&gt;0"))/ABS(AVERAGEIF(D$6:D$17,"&gt;0")),0)</f>
        <v/>
      </c>
      <c r="J15" s="70" t="inlineStr"/>
      <c r="K15" s="67">
        <f>IFERROR(AVERAGEIF(C$6:C$17,"&gt;0"),0)</f>
        <v/>
      </c>
      <c r="L15" s="67">
        <f>IFERROR(AVERAGEIF(D$6:D$17,"&gt;0"),0)</f>
        <v/>
      </c>
    </row>
    <row r="16" ht="21" customHeight="1">
      <c r="B16" s="61" t="inlineStr">
        <is>
          <t>11월</t>
        </is>
      </c>
      <c r="C16" s="62">
        <f>'11월'!B2</f>
        <v/>
      </c>
      <c r="D16" s="62">
        <f>'11월'!D2</f>
        <v/>
      </c>
      <c r="E16" s="62">
        <f>'11월'!F2</f>
        <v/>
      </c>
      <c r="F16" s="62">
        <f>IFERROR('11월'!E23,0)</f>
        <v/>
      </c>
      <c r="G16" s="63">
        <f>IFERROR(D16/F16,0)</f>
        <v/>
      </c>
      <c r="H16" s="64">
        <f>IFERROR((C16-AVERAGEIF(C$6:C$17,"&gt;0"))/ABS(AVERAGEIF(C$6:C$17,"&gt;0")),0)</f>
        <v/>
      </c>
      <c r="I16" s="64">
        <f>IFERROR((D16-AVERAGEIF(D$6:D$17,"&gt;0"))/ABS(AVERAGEIF(D$6:D$17,"&gt;0")),0)</f>
        <v/>
      </c>
      <c r="J16" s="65" t="inlineStr"/>
      <c r="K16" s="62">
        <f>IFERROR(AVERAGEIF(C$6:C$17,"&gt;0"),0)</f>
        <v/>
      </c>
      <c r="L16" s="62">
        <f>IFERROR(AVERAGEIF(D$6:D$17,"&gt;0"),0)</f>
        <v/>
      </c>
    </row>
    <row r="17" ht="21" customHeight="1">
      <c r="B17" s="66" t="inlineStr">
        <is>
          <t>12월</t>
        </is>
      </c>
      <c r="C17" s="67">
        <f>'12월'!B2</f>
        <v/>
      </c>
      <c r="D17" s="67">
        <f>'12월'!D2</f>
        <v/>
      </c>
      <c r="E17" s="67">
        <f>'12월'!F2</f>
        <v/>
      </c>
      <c r="F17" s="67">
        <f>IFERROR('12월'!E23,0)</f>
        <v/>
      </c>
      <c r="G17" s="68">
        <f>IFERROR(D17/F17,0)</f>
        <v/>
      </c>
      <c r="H17" s="69">
        <f>IFERROR((C17-AVERAGEIF(C$6:C$17,"&gt;0"))/ABS(AVERAGEIF(C$6:C$17,"&gt;0")),0)</f>
        <v/>
      </c>
      <c r="I17" s="69">
        <f>IFERROR((D17-AVERAGEIF(D$6:D$17,"&gt;0"))/ABS(AVERAGEIF(D$6:D$17,"&gt;0")),0)</f>
        <v/>
      </c>
      <c r="J17" s="70" t="inlineStr"/>
      <c r="K17" s="67">
        <f>IFERROR(AVERAGEIF(C$6:C$17,"&gt;0"),0)</f>
        <v/>
      </c>
      <c r="L17" s="67">
        <f>IFERROR(AVERAGEIF(D$6:D$17,"&gt;0"),0)</f>
        <v/>
      </c>
    </row>
    <row r="18" ht="22" customHeight="1">
      <c r="B18" s="71" t="inlineStr">
        <is>
          <t>연간 합계</t>
        </is>
      </c>
      <c r="C18" s="72">
        <f>SUM(C6:C17)</f>
        <v/>
      </c>
      <c r="D18" s="72">
        <f>SUM(D6:D17)</f>
        <v/>
      </c>
      <c r="E18" s="72">
        <f>SUM(E6:E17)</f>
        <v/>
      </c>
      <c r="F18" s="71" t="n"/>
      <c r="G18" s="71" t="n"/>
      <c r="H18" s="71" t="n"/>
      <c r="I18" s="71" t="n"/>
      <c r="J18" s="71" t="n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4" customHeight="1">
      <c r="B43" s="55" t="inlineStr">
        <is>
          <t>특이사항 목록  (비고 입력 시 자동 표시)</t>
        </is>
      </c>
      <c r="C43" s="10" t="n"/>
      <c r="D43" s="10" t="n"/>
      <c r="E43" s="10" t="n"/>
      <c r="F43" s="10" t="n"/>
      <c r="G43" s="10" t="n"/>
      <c r="H43" s="10" t="n"/>
      <c r="I43" s="10" t="n"/>
      <c r="J43" s="11" t="n"/>
    </row>
    <row r="44" ht="22" customHeight="1">
      <c r="B44" s="56" t="inlineStr">
        <is>
          <t>월</t>
        </is>
      </c>
      <c r="C44" s="59" t="inlineStr">
        <is>
          <t>수입편차</t>
        </is>
      </c>
      <c r="D44" s="59" t="inlineStr">
        <is>
          <t>지출편차</t>
        </is>
      </c>
      <c r="E44" s="59" t="inlineStr">
        <is>
          <t>비고</t>
        </is>
      </c>
    </row>
    <row r="45" ht="20" customHeight="1">
      <c r="B45">
        <f>IFERROR(FILTER(CHOOSE({1,2,3,4},B$6:B$17,H$6:H$17,I$6:I$17,J$6:J$17),J$6:J$17&lt;&gt;""),"아직 입력된 특이사항이 없습니다.")</f>
        <v/>
      </c>
    </row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1" ht="24" customHeight="1">
      <c r="B61" s="55" t="inlineStr">
        <is>
          <t>⑤ 미분류 거래 감지  (예산 카테고리 미매핑 지출 자동 표시)</t>
        </is>
      </c>
      <c r="C61" s="10" t="n"/>
      <c r="D61" s="10" t="n"/>
      <c r="E61" s="10" t="n"/>
      <c r="F61" s="10" t="n"/>
      <c r="G61" s="10" t="n"/>
      <c r="H61" s="10" t="n"/>
      <c r="I61" s="10" t="n"/>
      <c r="J61" s="11" t="n"/>
    </row>
    <row r="62" ht="14" customHeight="1">
      <c r="B62" s="60" t="inlineStr">
        <is>
          <t>※ 뱅샐 대분류가 예산 항목(JM, Tiss, 고정비, 기타, 대출상환, 모임, 부동산, 생활비, 세금, 의료/건강)에 없는 지출 거래를 표시합니다. 해당 거래가 없으면 '미분류 거래 없음'이 표시됩니다.</t>
        </is>
      </c>
    </row>
    <row r="63" ht="22" customHeight="1">
      <c r="B63" s="56" t="inlineStr">
        <is>
          <t>날짜</t>
        </is>
      </c>
      <c r="C63" s="58" t="inlineStr">
        <is>
          <t>대분류</t>
        </is>
      </c>
      <c r="D63" s="58" t="inlineStr">
        <is>
          <t>소분류</t>
        </is>
      </c>
      <c r="E63" s="59" t="inlineStr">
        <is>
          <t>내용</t>
        </is>
      </c>
      <c r="F63" s="58" t="inlineStr">
        <is>
          <t>금액</t>
        </is>
      </c>
    </row>
    <row r="64">
      <c r="B64" s="73">
        <f>IFERROR(FILTER(CHOOSE({1,2,3,4,5},뱅샐입력!A$4:A$3003,뱅샐입력!D$4:D$3003,뱅샐입력!E$4:E$3003,뱅샐입력!F$4:F$3003,뱅샐입력!G$4:G$3003),(뱅샐입력!C$4:C$3003="지출")*(YEAR(뱅샐입력!A$4:A$3003)=설정!C3)*(뱅샐입력!D$4:D$3003&lt;&gt;"")*ISERROR(MATCH(뱅샐입력!D$4:D$3003,{"JM","Tiss","고정비","기타","대출상환","모임","부동산","생활비","세금","의료/건강"},0))),"미분류 거래 없음")</f>
        <v/>
      </c>
    </row>
  </sheetData>
  <mergeCells count="5">
    <mergeCell ref="B3:J3"/>
    <mergeCell ref="B61:J61"/>
    <mergeCell ref="B1:J1"/>
    <mergeCell ref="B43:J43"/>
    <mergeCell ref="B62:J62"/>
  </mergeCells>
  <conditionalFormatting sqref="C6:C17">
    <cfRule type="expression" priority="1" dxfId="1">
      <formula>=ABS(H6)&gt;0.2</formula>
    </cfRule>
  </conditionalFormatting>
  <conditionalFormatting sqref="D6:D17">
    <cfRule type="expression" priority="2" dxfId="2">
      <formula>=ABS(I6)&gt;0.2</formula>
    </cfRule>
  </conditionalFormatting>
  <conditionalFormatting sqref="J6:J17">
    <cfRule type="expression" priority="3" dxfId="0">
      <formula>=AND(J6="",OR(ABS(H6)&gt;0.2,ABS(I6)&gt;0.2))</formula>
    </cfRule>
    <cfRule type="expression" priority="4" dxfId="3">
      <formula>=J6&lt;&gt;""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TEXT(DATE(설정!C3,1,1),"YYYY년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SUMPRODUCT((MONTH(뱅샐입력!A$4:A$3003)=1)*(YEAR(뱅샐입력!A$4:A$3003)=설정!C3)*(뱅샐입력!C$4:C$3003="수입")*뱅샐입력!G$4:G$3003)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SUMPRODUCT((MONTH(뱅샐입력!A$4:A$3003)=1)*(YEAR(뱅샐입력!A$4:A$3003)=설정!C3)*(뱅샐입력!C$4:C$3003="지출")*ABS(뱅샐입력!G$4:G$3003))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SUMPRODUCT((MONTH(뱅샐입력!A$4:A$3003)=1)*(YEAR(뱅샐입력!A$4:A$3003)=설정!C3)*(뱅샐입력!C$4:C$3003="지출")*(뱅샐입력!D$4:D$3003=A5)*ABS(뱅샐입력!G$4:G$3003))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IFERROR('12월'!F5,0)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SUMPRODUCT((MONTH(뱅샐입력!A$4:A$3003)=1)*(YEAR(뱅샐입력!A$4:A$3003)=설정!C3)*(뱅샐입력!C$4:C$3003="지출")*(뱅샐입력!D$4:D$3003=A6)*ABS(뱅샐입력!G$4:G$3003))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IFERROR('12월'!F6,0)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SUMPRODUCT((MONTH(뱅샐입력!A$4:A$3003)=1)*(YEAR(뱅샐입력!A$4:A$3003)=설정!C3)*(뱅샐입력!C$4:C$3003="지출")*(뱅샐입력!D$4:D$3003=A7)*ABS(뱅샐입력!G$4:G$3003))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IFERROR('12월'!F7,0)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SUMPRODUCT((MONTH(뱅샐입력!A$4:A$3003)=1)*(YEAR(뱅샐입력!A$4:A$3003)=설정!C3)*(뱅샐입력!C$4:C$3003="지출")*(뱅샐입력!D$4:D$3003=A8)*ABS(뱅샐입력!G$4:G$3003))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IFERROR('12월'!F8,0)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SUMPRODUCT((MONTH(뱅샐입력!A$4:A$3003)=1)*(YEAR(뱅샐입력!A$4:A$3003)=설정!C3)*(뱅샐입력!C$4:C$3003="지출")*(뱅샐입력!D$4:D$3003=A9)*ABS(뱅샐입력!G$4:G$3003))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IFERROR('12월'!F9,0)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SUMPRODUCT((MONTH(뱅샐입력!A$4:A$3003)=1)*(YEAR(뱅샐입력!A$4:A$3003)=설정!C3)*(뱅샐입력!C$4:C$3003="지출")*(뱅샐입력!D$4:D$3003=A10)*ABS(뱅샐입력!G$4:G$3003))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IFERROR('12월'!F10,0)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SUMPRODUCT((MONTH(뱅샐입력!A$4:A$3003)=1)*(YEAR(뱅샐입력!A$4:A$3003)=설정!C3)*(뱅샐입력!C$4:C$3003="지출")*(뱅샐입력!D$4:D$3003=A11)*ABS(뱅샐입력!G$4:G$3003))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IFERROR('12월'!F11,0)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SUMPRODUCT((MONTH(뱅샐입력!A$4:A$3003)=1)*(YEAR(뱅샐입력!A$4:A$3003)=설정!C3)*(뱅샐입력!C$4:C$3003="지출")*(뱅샐입력!D$4:D$3003=A12)*ABS(뱅샐입력!G$4:G$3003))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IFERROR('12월'!F12,0)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SUMPRODUCT((MONTH(뱅샐입력!A$4:A$3003)=1)*(YEAR(뱅샐입력!A$4:A$3003)=설정!C3)*(뱅샐입력!C$4:C$3003="지출")*(뱅샐입력!D$4:D$3003=A13)*ABS(뱅샐입력!G$4:G$3003))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IFERROR('12월'!F13,0)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SUMPRODUCT((MONTH(뱅샐입력!A$4:A$3003)=1)*(YEAR(뱅샐입력!A$4:A$3003)=설정!C3)*(뱅샐입력!C$4:C$3003="지출")*(뱅샐입력!D$4:D$3003=A14)*ABS(뱅샐입력!G$4:G$3003))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IFERROR('12월'!F14,0)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SUMPRODUCT((MONTH(뱅샐입력!A$4:A$3003)=1)*(YEAR(뱅샐입력!A$4:A$3003)=설정!C3)*(뱅샐입력!C$4:C$3003="지출")*(뱅샐입력!D$4:D$3003=A15)*ABS(뱅샐입력!G$4:G$3003))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IFERROR('12월'!F15,0)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SUMPRODUCT((MONTH(뱅샐입력!A$4:A$3003)=1)*(YEAR(뱅샐입력!A$4:A$3003)=설정!C3)*(뱅샐입력!C$4:C$3003="지출")*(뱅샐입력!D$4:D$3003=A16)*ABS(뱅샐입력!G$4:G$3003))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IFERROR('12월'!F16,0)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SUMPRODUCT((MONTH(뱅샐입력!A$4:A$3003)=1)*(YEAR(뱅샐입력!A$4:A$3003)=설정!C3)*(뱅샐입력!C$4:C$3003="지출")*(뱅샐입력!D$4:D$3003=A17)*ABS(뱅샐입력!G$4:G$3003))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IFERROR('12월'!F17,0)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SUMPRODUCT((MONTH(뱅샐입력!A$4:A$3003)=1)*(YEAR(뱅샐입력!A$4:A$3003)=설정!C3)*(뱅샐입력!C$4:C$3003="지출")*(뱅샐입력!D$4:D$3003=A18)*ABS(뱅샐입력!G$4:G$3003))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IFERROR('12월'!F18,0)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SUMPRODUCT((MONTH(뱅샐입력!A$4:A$3003)=1)*(YEAR(뱅샐입력!A$4:A$3003)=설정!C3)*(뱅샐입력!C$4:C$3003="지출")*(뱅샐입력!D$4:D$3003=A19)*ABS(뱅샐입력!G$4:G$3003))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IFERROR('12월'!F19,0)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SUMPRODUCT((MONTH(뱅샐입력!A$4:A$3003)=1)*(YEAR(뱅샐입력!A$4:A$3003)=설정!C3)*(뱅샐입력!C$4:C$3003="지출")*(뱅샐입력!D$4:D$3003=A20)*ABS(뱅샐입력!G$4:G$3003))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IFERROR('12월'!F20,0)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SUMPRODUCT((MONTH(뱅샐입력!A$4:A$3003)=1)*(YEAR(뱅샐입력!A$4:A$3003)=설정!C3)*(뱅샐입력!C$4:C$3003="지출")*(뱅샐입력!D$4:D$3003=A21)*ABS(뱅샐입력!G$4:G$3003))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IFERROR('12월'!F21,0)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SUMPRODUCT((MONTH(뱅샐입력!A$4:A$3003)=1)*(YEAR(뱅샐입력!A$4:A$3003)=설정!C3)*(뱅샐입력!C$4:C$3003="지출")*(뱅샐입력!D$4:D$3003=A22)*ABS(뱅샐입력!G$4:G$3003))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IFERROR('12월'!F22,0)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TEXT(DATE(설정!C3,2,1),"YYYY년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SUMPRODUCT((MONTH(뱅샐입력!A$4:A$3003)=2)*(YEAR(뱅샐입력!A$4:A$3003)=설정!C3)*(뱅샐입력!C$4:C$3003="수입")*뱅샐입력!G$4:G$3003)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SUMPRODUCT((MONTH(뱅샐입력!A$4:A$3003)=2)*(YEAR(뱅샐입력!A$4:A$3003)=설정!C3)*(뱅샐입력!C$4:C$3003="지출")*ABS(뱅샐입력!G$4:G$3003))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SUMPRODUCT((MONTH(뱅샐입력!A$4:A$3003)=2)*(YEAR(뱅샐입력!A$4:A$3003)=설정!C3)*(뱅샐입력!C$4:C$3003="지출")*(뱅샐입력!D$4:D$3003=A5)*ABS(뱅샐입력!G$4:G$3003))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IFERROR('01월'!F5,0)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SUMPRODUCT((MONTH(뱅샐입력!A$4:A$3003)=2)*(YEAR(뱅샐입력!A$4:A$3003)=설정!C3)*(뱅샐입력!C$4:C$3003="지출")*(뱅샐입력!D$4:D$3003=A6)*ABS(뱅샐입력!G$4:G$3003))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IFERROR('01월'!F6,0)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SUMPRODUCT((MONTH(뱅샐입력!A$4:A$3003)=2)*(YEAR(뱅샐입력!A$4:A$3003)=설정!C3)*(뱅샐입력!C$4:C$3003="지출")*(뱅샐입력!D$4:D$3003=A7)*ABS(뱅샐입력!G$4:G$3003))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IFERROR('01월'!F7,0)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SUMPRODUCT((MONTH(뱅샐입력!A$4:A$3003)=2)*(YEAR(뱅샐입력!A$4:A$3003)=설정!C3)*(뱅샐입력!C$4:C$3003="지출")*(뱅샐입력!D$4:D$3003=A8)*ABS(뱅샐입력!G$4:G$3003))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IFERROR('01월'!F8,0)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SUMPRODUCT((MONTH(뱅샐입력!A$4:A$3003)=2)*(YEAR(뱅샐입력!A$4:A$3003)=설정!C3)*(뱅샐입력!C$4:C$3003="지출")*(뱅샐입력!D$4:D$3003=A9)*ABS(뱅샐입력!G$4:G$3003))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IFERROR('01월'!F9,0)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SUMPRODUCT((MONTH(뱅샐입력!A$4:A$3003)=2)*(YEAR(뱅샐입력!A$4:A$3003)=설정!C3)*(뱅샐입력!C$4:C$3003="지출")*(뱅샐입력!D$4:D$3003=A10)*ABS(뱅샐입력!G$4:G$3003))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IFERROR('01월'!F10,0)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SUMPRODUCT((MONTH(뱅샐입력!A$4:A$3003)=2)*(YEAR(뱅샐입력!A$4:A$3003)=설정!C3)*(뱅샐입력!C$4:C$3003="지출")*(뱅샐입력!D$4:D$3003=A11)*ABS(뱅샐입력!G$4:G$3003))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IFERROR('01월'!F11,0)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SUMPRODUCT((MONTH(뱅샐입력!A$4:A$3003)=2)*(YEAR(뱅샐입력!A$4:A$3003)=설정!C3)*(뱅샐입력!C$4:C$3003="지출")*(뱅샐입력!D$4:D$3003=A12)*ABS(뱅샐입력!G$4:G$3003))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IFERROR('01월'!F12,0)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SUMPRODUCT((MONTH(뱅샐입력!A$4:A$3003)=2)*(YEAR(뱅샐입력!A$4:A$3003)=설정!C3)*(뱅샐입력!C$4:C$3003="지출")*(뱅샐입력!D$4:D$3003=A13)*ABS(뱅샐입력!G$4:G$3003))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IFERROR('01월'!F13,0)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SUMPRODUCT((MONTH(뱅샐입력!A$4:A$3003)=2)*(YEAR(뱅샐입력!A$4:A$3003)=설정!C3)*(뱅샐입력!C$4:C$3003="지출")*(뱅샐입력!D$4:D$3003=A14)*ABS(뱅샐입력!G$4:G$3003))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IFERROR('01월'!F14,0)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SUMPRODUCT((MONTH(뱅샐입력!A$4:A$3003)=2)*(YEAR(뱅샐입력!A$4:A$3003)=설정!C3)*(뱅샐입력!C$4:C$3003="지출")*(뱅샐입력!D$4:D$3003=A15)*ABS(뱅샐입력!G$4:G$3003))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IFERROR('01월'!F15,0)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SUMPRODUCT((MONTH(뱅샐입력!A$4:A$3003)=2)*(YEAR(뱅샐입력!A$4:A$3003)=설정!C3)*(뱅샐입력!C$4:C$3003="지출")*(뱅샐입력!D$4:D$3003=A16)*ABS(뱅샐입력!G$4:G$3003))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IFERROR('01월'!F16,0)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SUMPRODUCT((MONTH(뱅샐입력!A$4:A$3003)=2)*(YEAR(뱅샐입력!A$4:A$3003)=설정!C3)*(뱅샐입력!C$4:C$3003="지출")*(뱅샐입력!D$4:D$3003=A17)*ABS(뱅샐입력!G$4:G$3003))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IFERROR('01월'!F17,0)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SUMPRODUCT((MONTH(뱅샐입력!A$4:A$3003)=2)*(YEAR(뱅샐입력!A$4:A$3003)=설정!C3)*(뱅샐입력!C$4:C$3003="지출")*(뱅샐입력!D$4:D$3003=A18)*ABS(뱅샐입력!G$4:G$3003))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IFERROR('01월'!F18,0)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SUMPRODUCT((MONTH(뱅샐입력!A$4:A$3003)=2)*(YEAR(뱅샐입력!A$4:A$3003)=설정!C3)*(뱅샐입력!C$4:C$3003="지출")*(뱅샐입력!D$4:D$3003=A19)*ABS(뱅샐입력!G$4:G$3003))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IFERROR('01월'!F19,0)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SUMPRODUCT((MONTH(뱅샐입력!A$4:A$3003)=2)*(YEAR(뱅샐입력!A$4:A$3003)=설정!C3)*(뱅샐입력!C$4:C$3003="지출")*(뱅샐입력!D$4:D$3003=A20)*ABS(뱅샐입력!G$4:G$3003))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IFERROR('01월'!F20,0)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SUMPRODUCT((MONTH(뱅샐입력!A$4:A$3003)=2)*(YEAR(뱅샐입력!A$4:A$3003)=설정!C3)*(뱅샐입력!C$4:C$3003="지출")*(뱅샐입력!D$4:D$3003=A21)*ABS(뱅샐입력!G$4:G$3003))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IFERROR('01월'!F21,0)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SUMPRODUCT((MONTH(뱅샐입력!A$4:A$3003)=2)*(YEAR(뱅샐입력!A$4:A$3003)=설정!C3)*(뱅샐입력!C$4:C$3003="지출")*(뱅샐입력!D$4:D$3003=A22)*ABS(뱅샐입력!G$4:G$3003))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IFERROR('01월'!F22,0)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TEXT(DATE(설정!C3,3,1),"YYYY년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SUMPRODUCT((MONTH(뱅샐입력!A$4:A$3003)=3)*(YEAR(뱅샐입력!A$4:A$3003)=설정!C3)*(뱅샐입력!C$4:C$3003="수입")*뱅샐입력!G$4:G$3003)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SUMPRODUCT((MONTH(뱅샐입력!A$4:A$3003)=3)*(YEAR(뱅샐입력!A$4:A$3003)=설정!C3)*(뱅샐입력!C$4:C$3003="지출")*ABS(뱅샐입력!G$4:G$3003))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SUMPRODUCT((MONTH(뱅샐입력!A$4:A$3003)=3)*(YEAR(뱅샐입력!A$4:A$3003)=설정!C3)*(뱅샐입력!C$4:C$3003="지출")*(뱅샐입력!D$4:D$3003=A5)*ABS(뱅샐입력!G$4:G$3003))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IFERROR('02월'!F5,0)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SUMPRODUCT((MONTH(뱅샐입력!A$4:A$3003)=3)*(YEAR(뱅샐입력!A$4:A$3003)=설정!C3)*(뱅샐입력!C$4:C$3003="지출")*(뱅샐입력!D$4:D$3003=A6)*ABS(뱅샐입력!G$4:G$3003))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IFERROR('02월'!F6,0)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SUMPRODUCT((MONTH(뱅샐입력!A$4:A$3003)=3)*(YEAR(뱅샐입력!A$4:A$3003)=설정!C3)*(뱅샐입력!C$4:C$3003="지출")*(뱅샐입력!D$4:D$3003=A7)*ABS(뱅샐입력!G$4:G$3003))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IFERROR('02월'!F7,0)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SUMPRODUCT((MONTH(뱅샐입력!A$4:A$3003)=3)*(YEAR(뱅샐입력!A$4:A$3003)=설정!C3)*(뱅샐입력!C$4:C$3003="지출")*(뱅샐입력!D$4:D$3003=A8)*ABS(뱅샐입력!G$4:G$3003))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IFERROR('02월'!F8,0)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SUMPRODUCT((MONTH(뱅샐입력!A$4:A$3003)=3)*(YEAR(뱅샐입력!A$4:A$3003)=설정!C3)*(뱅샐입력!C$4:C$3003="지출")*(뱅샐입력!D$4:D$3003=A9)*ABS(뱅샐입력!G$4:G$3003))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IFERROR('02월'!F9,0)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SUMPRODUCT((MONTH(뱅샐입력!A$4:A$3003)=3)*(YEAR(뱅샐입력!A$4:A$3003)=설정!C3)*(뱅샐입력!C$4:C$3003="지출")*(뱅샐입력!D$4:D$3003=A10)*ABS(뱅샐입력!G$4:G$3003))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IFERROR('02월'!F10,0)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SUMPRODUCT((MONTH(뱅샐입력!A$4:A$3003)=3)*(YEAR(뱅샐입력!A$4:A$3003)=설정!C3)*(뱅샐입력!C$4:C$3003="지출")*(뱅샐입력!D$4:D$3003=A11)*ABS(뱅샐입력!G$4:G$3003))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IFERROR('02월'!F11,0)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SUMPRODUCT((MONTH(뱅샐입력!A$4:A$3003)=3)*(YEAR(뱅샐입력!A$4:A$3003)=설정!C3)*(뱅샐입력!C$4:C$3003="지출")*(뱅샐입력!D$4:D$3003=A12)*ABS(뱅샐입력!G$4:G$3003))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IFERROR('02월'!F12,0)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SUMPRODUCT((MONTH(뱅샐입력!A$4:A$3003)=3)*(YEAR(뱅샐입력!A$4:A$3003)=설정!C3)*(뱅샐입력!C$4:C$3003="지출")*(뱅샐입력!D$4:D$3003=A13)*ABS(뱅샐입력!G$4:G$3003))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IFERROR('02월'!F13,0)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SUMPRODUCT((MONTH(뱅샐입력!A$4:A$3003)=3)*(YEAR(뱅샐입력!A$4:A$3003)=설정!C3)*(뱅샐입력!C$4:C$3003="지출")*(뱅샐입력!D$4:D$3003=A14)*ABS(뱅샐입력!G$4:G$3003))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IFERROR('02월'!F14,0)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SUMPRODUCT((MONTH(뱅샐입력!A$4:A$3003)=3)*(YEAR(뱅샐입력!A$4:A$3003)=설정!C3)*(뱅샐입력!C$4:C$3003="지출")*(뱅샐입력!D$4:D$3003=A15)*ABS(뱅샐입력!G$4:G$3003))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IFERROR('02월'!F15,0)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SUMPRODUCT((MONTH(뱅샐입력!A$4:A$3003)=3)*(YEAR(뱅샐입력!A$4:A$3003)=설정!C3)*(뱅샐입력!C$4:C$3003="지출")*(뱅샐입력!D$4:D$3003=A16)*ABS(뱅샐입력!G$4:G$3003))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IFERROR('02월'!F16,0)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SUMPRODUCT((MONTH(뱅샐입력!A$4:A$3003)=3)*(YEAR(뱅샐입력!A$4:A$3003)=설정!C3)*(뱅샐입력!C$4:C$3003="지출")*(뱅샐입력!D$4:D$3003=A17)*ABS(뱅샐입력!G$4:G$3003))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IFERROR('02월'!F17,0)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SUMPRODUCT((MONTH(뱅샐입력!A$4:A$3003)=3)*(YEAR(뱅샐입력!A$4:A$3003)=설정!C3)*(뱅샐입력!C$4:C$3003="지출")*(뱅샐입력!D$4:D$3003=A18)*ABS(뱅샐입력!G$4:G$3003))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IFERROR('02월'!F18,0)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SUMPRODUCT((MONTH(뱅샐입력!A$4:A$3003)=3)*(YEAR(뱅샐입력!A$4:A$3003)=설정!C3)*(뱅샐입력!C$4:C$3003="지출")*(뱅샐입력!D$4:D$3003=A19)*ABS(뱅샐입력!G$4:G$3003))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IFERROR('02월'!F19,0)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SUMPRODUCT((MONTH(뱅샐입력!A$4:A$3003)=3)*(YEAR(뱅샐입력!A$4:A$3003)=설정!C3)*(뱅샐입력!C$4:C$3003="지출")*(뱅샐입력!D$4:D$3003=A20)*ABS(뱅샐입력!G$4:G$3003))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IFERROR('02월'!F20,0)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SUMPRODUCT((MONTH(뱅샐입력!A$4:A$3003)=3)*(YEAR(뱅샐입력!A$4:A$3003)=설정!C3)*(뱅샐입력!C$4:C$3003="지출")*(뱅샐입력!D$4:D$3003=A21)*ABS(뱅샐입력!G$4:G$3003))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IFERROR('02월'!F21,0)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SUMPRODUCT((MONTH(뱅샐입력!A$4:A$3003)=3)*(YEAR(뱅샐입력!A$4:A$3003)=설정!C3)*(뱅샐입력!C$4:C$3003="지출")*(뱅샐입력!D$4:D$3003=A22)*ABS(뱅샐입력!G$4:G$3003))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IFERROR('02월'!F22,0)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3)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TEXT(DATE(설정!C3,4,1),"YYYY년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SUMPRODUCT((MONTH(뱅샐입력!A$4:A$3003)=4)*(YEAR(뱅샐입력!A$4:A$3003)=설정!C3)*(뱅샐입력!C$4:C$3003="수입")*뱅샐입력!G$4:G$3003)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SUMPRODUCT((MONTH(뱅샐입력!A$4:A$3003)=4)*(YEAR(뱅샐입력!A$4:A$3003)=설정!C3)*(뱅샐입력!C$4:C$3003="지출")*ABS(뱅샐입력!G$4:G$3003))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SUMPRODUCT((MONTH(뱅샐입력!A$4:A$3003)=4)*(YEAR(뱅샐입력!A$4:A$3003)=설정!C3)*(뱅샐입력!C$4:C$3003="지출")*(뱅샐입력!D$4:D$3003=A5)*ABS(뱅샐입력!G$4:G$3003))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IFERROR('03월'!F5,0)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SUMPRODUCT((MONTH(뱅샐입력!A$4:A$3003)=4)*(YEAR(뱅샐입력!A$4:A$3003)=설정!C3)*(뱅샐입력!C$4:C$3003="지출")*(뱅샐입력!D$4:D$3003=A6)*ABS(뱅샐입력!G$4:G$3003))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IFERROR('03월'!F6,0)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SUMPRODUCT((MONTH(뱅샐입력!A$4:A$3003)=4)*(YEAR(뱅샐입력!A$4:A$3003)=설정!C3)*(뱅샐입력!C$4:C$3003="지출")*(뱅샐입력!D$4:D$3003=A7)*ABS(뱅샐입력!G$4:G$3003))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IFERROR('03월'!F7,0)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SUMPRODUCT((MONTH(뱅샐입력!A$4:A$3003)=4)*(YEAR(뱅샐입력!A$4:A$3003)=설정!C3)*(뱅샐입력!C$4:C$3003="지출")*(뱅샐입력!D$4:D$3003=A8)*ABS(뱅샐입력!G$4:G$3003))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IFERROR('03월'!F8,0)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SUMPRODUCT((MONTH(뱅샐입력!A$4:A$3003)=4)*(YEAR(뱅샐입력!A$4:A$3003)=설정!C3)*(뱅샐입력!C$4:C$3003="지출")*(뱅샐입력!D$4:D$3003=A9)*ABS(뱅샐입력!G$4:G$3003))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IFERROR('03월'!F9,0)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SUMPRODUCT((MONTH(뱅샐입력!A$4:A$3003)=4)*(YEAR(뱅샐입력!A$4:A$3003)=설정!C3)*(뱅샐입력!C$4:C$3003="지출")*(뱅샐입력!D$4:D$3003=A10)*ABS(뱅샐입력!G$4:G$3003))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IFERROR('03월'!F10,0)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SUMPRODUCT((MONTH(뱅샐입력!A$4:A$3003)=4)*(YEAR(뱅샐입력!A$4:A$3003)=설정!C3)*(뱅샐입력!C$4:C$3003="지출")*(뱅샐입력!D$4:D$3003=A11)*ABS(뱅샐입력!G$4:G$3003))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IFERROR('03월'!F11,0)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SUMPRODUCT((MONTH(뱅샐입력!A$4:A$3003)=4)*(YEAR(뱅샐입력!A$4:A$3003)=설정!C3)*(뱅샐입력!C$4:C$3003="지출")*(뱅샐입력!D$4:D$3003=A12)*ABS(뱅샐입력!G$4:G$3003))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IFERROR('03월'!F12,0)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SUMPRODUCT((MONTH(뱅샐입력!A$4:A$3003)=4)*(YEAR(뱅샐입력!A$4:A$3003)=설정!C3)*(뱅샐입력!C$4:C$3003="지출")*(뱅샐입력!D$4:D$3003=A13)*ABS(뱅샐입력!G$4:G$3003))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IFERROR('03월'!F13,0)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SUMPRODUCT((MONTH(뱅샐입력!A$4:A$3003)=4)*(YEAR(뱅샐입력!A$4:A$3003)=설정!C3)*(뱅샐입력!C$4:C$3003="지출")*(뱅샐입력!D$4:D$3003=A14)*ABS(뱅샐입력!G$4:G$3003))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IFERROR('03월'!F14,0)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SUMPRODUCT((MONTH(뱅샐입력!A$4:A$3003)=4)*(YEAR(뱅샐입력!A$4:A$3003)=설정!C3)*(뱅샐입력!C$4:C$3003="지출")*(뱅샐입력!D$4:D$3003=A15)*ABS(뱅샐입력!G$4:G$3003))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IFERROR('03월'!F15,0)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SUMPRODUCT((MONTH(뱅샐입력!A$4:A$3003)=4)*(YEAR(뱅샐입력!A$4:A$3003)=설정!C3)*(뱅샐입력!C$4:C$3003="지출")*(뱅샐입력!D$4:D$3003=A16)*ABS(뱅샐입력!G$4:G$3003))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IFERROR('03월'!F16,0)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SUMPRODUCT((MONTH(뱅샐입력!A$4:A$3003)=4)*(YEAR(뱅샐입력!A$4:A$3003)=설정!C3)*(뱅샐입력!C$4:C$3003="지출")*(뱅샐입력!D$4:D$3003=A17)*ABS(뱅샐입력!G$4:G$3003))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IFERROR('03월'!F17,0)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SUMPRODUCT((MONTH(뱅샐입력!A$4:A$3003)=4)*(YEAR(뱅샐입력!A$4:A$3003)=설정!C3)*(뱅샐입력!C$4:C$3003="지출")*(뱅샐입력!D$4:D$3003=A18)*ABS(뱅샐입력!G$4:G$3003))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IFERROR('03월'!F18,0)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SUMPRODUCT((MONTH(뱅샐입력!A$4:A$3003)=4)*(YEAR(뱅샐입력!A$4:A$3003)=설정!C3)*(뱅샐입력!C$4:C$3003="지출")*(뱅샐입력!D$4:D$3003=A19)*ABS(뱅샐입력!G$4:G$3003))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IFERROR('03월'!F19,0)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SUMPRODUCT((MONTH(뱅샐입력!A$4:A$3003)=4)*(YEAR(뱅샐입력!A$4:A$3003)=설정!C3)*(뱅샐입력!C$4:C$3003="지출")*(뱅샐입력!D$4:D$3003=A20)*ABS(뱅샐입력!G$4:G$3003))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IFERROR('03월'!F20,0)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SUMPRODUCT((MONTH(뱅샐입력!A$4:A$3003)=4)*(YEAR(뱅샐입력!A$4:A$3003)=설정!C3)*(뱅샐입력!C$4:C$3003="지출")*(뱅샐입력!D$4:D$3003=A21)*ABS(뱅샐입력!G$4:G$3003))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IFERROR('03월'!F21,0)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SUMPRODUCT((MONTH(뱅샐입력!A$4:A$3003)=4)*(YEAR(뱅샐입력!A$4:A$3003)=설정!C3)*(뱅샐입력!C$4:C$3003="지출")*(뱅샐입력!D$4:D$3003=A22)*ABS(뱅샐입력!G$4:G$3003))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IFERROR('03월'!F22,0)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4)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TEXT(DATE(설정!C3,5,1),"YYYY년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SUMPRODUCT((MONTH(뱅샐입력!A$4:A$3003)=5)*(YEAR(뱅샐입력!A$4:A$3003)=설정!C3)*(뱅샐입력!C$4:C$3003="수입")*뱅샐입력!G$4:G$3003)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SUMPRODUCT((MONTH(뱅샐입력!A$4:A$3003)=5)*(YEAR(뱅샐입력!A$4:A$3003)=설정!C3)*(뱅샐입력!C$4:C$3003="지출")*ABS(뱅샐입력!G$4:G$3003))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SUMPRODUCT((MONTH(뱅샐입력!A$4:A$3003)=5)*(YEAR(뱅샐입력!A$4:A$3003)=설정!C3)*(뱅샐입력!C$4:C$3003="지출")*(뱅샐입력!D$4:D$3003=A5)*ABS(뱅샐입력!G$4:G$3003))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IFERROR('04월'!F5,0)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SUMPRODUCT((MONTH(뱅샐입력!A$4:A$3003)=5)*(YEAR(뱅샐입력!A$4:A$3003)=설정!C3)*(뱅샐입력!C$4:C$3003="지출")*(뱅샐입력!D$4:D$3003=A6)*ABS(뱅샐입력!G$4:G$3003))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IFERROR('04월'!F6,0)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SUMPRODUCT((MONTH(뱅샐입력!A$4:A$3003)=5)*(YEAR(뱅샐입력!A$4:A$3003)=설정!C3)*(뱅샐입력!C$4:C$3003="지출")*(뱅샐입력!D$4:D$3003=A7)*ABS(뱅샐입력!G$4:G$3003))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IFERROR('04월'!F7,0)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SUMPRODUCT((MONTH(뱅샐입력!A$4:A$3003)=5)*(YEAR(뱅샐입력!A$4:A$3003)=설정!C3)*(뱅샐입력!C$4:C$3003="지출")*(뱅샐입력!D$4:D$3003=A8)*ABS(뱅샐입력!G$4:G$3003))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IFERROR('04월'!F8,0)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SUMPRODUCT((MONTH(뱅샐입력!A$4:A$3003)=5)*(YEAR(뱅샐입력!A$4:A$3003)=설정!C3)*(뱅샐입력!C$4:C$3003="지출")*(뱅샐입력!D$4:D$3003=A9)*ABS(뱅샐입력!G$4:G$3003))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IFERROR('04월'!F9,0)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SUMPRODUCT((MONTH(뱅샐입력!A$4:A$3003)=5)*(YEAR(뱅샐입력!A$4:A$3003)=설정!C3)*(뱅샐입력!C$4:C$3003="지출")*(뱅샐입력!D$4:D$3003=A10)*ABS(뱅샐입력!G$4:G$3003))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IFERROR('04월'!F10,0)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SUMPRODUCT((MONTH(뱅샐입력!A$4:A$3003)=5)*(YEAR(뱅샐입력!A$4:A$3003)=설정!C3)*(뱅샐입력!C$4:C$3003="지출")*(뱅샐입력!D$4:D$3003=A11)*ABS(뱅샐입력!G$4:G$3003))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IFERROR('04월'!F11,0)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SUMPRODUCT((MONTH(뱅샐입력!A$4:A$3003)=5)*(YEAR(뱅샐입력!A$4:A$3003)=설정!C3)*(뱅샐입력!C$4:C$3003="지출")*(뱅샐입력!D$4:D$3003=A12)*ABS(뱅샐입력!G$4:G$3003))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IFERROR('04월'!F12,0)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SUMPRODUCT((MONTH(뱅샐입력!A$4:A$3003)=5)*(YEAR(뱅샐입력!A$4:A$3003)=설정!C3)*(뱅샐입력!C$4:C$3003="지출")*(뱅샐입력!D$4:D$3003=A13)*ABS(뱅샐입력!G$4:G$3003))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IFERROR('04월'!F13,0)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SUMPRODUCT((MONTH(뱅샐입력!A$4:A$3003)=5)*(YEAR(뱅샐입력!A$4:A$3003)=설정!C3)*(뱅샐입력!C$4:C$3003="지출")*(뱅샐입력!D$4:D$3003=A14)*ABS(뱅샐입력!G$4:G$3003))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IFERROR('04월'!F14,0)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SUMPRODUCT((MONTH(뱅샐입력!A$4:A$3003)=5)*(YEAR(뱅샐입력!A$4:A$3003)=설정!C3)*(뱅샐입력!C$4:C$3003="지출")*(뱅샐입력!D$4:D$3003=A15)*ABS(뱅샐입력!G$4:G$3003))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IFERROR('04월'!F15,0)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SUMPRODUCT((MONTH(뱅샐입력!A$4:A$3003)=5)*(YEAR(뱅샐입력!A$4:A$3003)=설정!C3)*(뱅샐입력!C$4:C$3003="지출")*(뱅샐입력!D$4:D$3003=A16)*ABS(뱅샐입력!G$4:G$3003))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IFERROR('04월'!F16,0)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SUMPRODUCT((MONTH(뱅샐입력!A$4:A$3003)=5)*(YEAR(뱅샐입력!A$4:A$3003)=설정!C3)*(뱅샐입력!C$4:C$3003="지출")*(뱅샐입력!D$4:D$3003=A17)*ABS(뱅샐입력!G$4:G$3003))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IFERROR('04월'!F17,0)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SUMPRODUCT((MONTH(뱅샐입력!A$4:A$3003)=5)*(YEAR(뱅샐입력!A$4:A$3003)=설정!C3)*(뱅샐입력!C$4:C$3003="지출")*(뱅샐입력!D$4:D$3003=A18)*ABS(뱅샐입력!G$4:G$3003))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IFERROR('04월'!F18,0)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SUMPRODUCT((MONTH(뱅샐입력!A$4:A$3003)=5)*(YEAR(뱅샐입력!A$4:A$3003)=설정!C3)*(뱅샐입력!C$4:C$3003="지출")*(뱅샐입력!D$4:D$3003=A19)*ABS(뱅샐입력!G$4:G$3003))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IFERROR('04월'!F19,0)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SUMPRODUCT((MONTH(뱅샐입력!A$4:A$3003)=5)*(YEAR(뱅샐입력!A$4:A$3003)=설정!C3)*(뱅샐입력!C$4:C$3003="지출")*(뱅샐입력!D$4:D$3003=A20)*ABS(뱅샐입력!G$4:G$3003))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IFERROR('04월'!F20,0)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SUMPRODUCT((MONTH(뱅샐입력!A$4:A$3003)=5)*(YEAR(뱅샐입력!A$4:A$3003)=설정!C3)*(뱅샐입력!C$4:C$3003="지출")*(뱅샐입력!D$4:D$3003=A21)*ABS(뱅샐입력!G$4:G$3003))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IFERROR('04월'!F21,0)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SUMPRODUCT((MONTH(뱅샐입력!A$4:A$3003)=5)*(YEAR(뱅샐입력!A$4:A$3003)=설정!C3)*(뱅샐입력!C$4:C$3003="지출")*(뱅샐입력!D$4:D$3003=A22)*ABS(뱅샐입력!G$4:G$3003))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IFERROR('04월'!F22,0)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5)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TEXT(DATE(설정!C3,6,1),"YYYY년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SUMPRODUCT((MONTH(뱅샐입력!A$4:A$3003)=6)*(YEAR(뱅샐입력!A$4:A$3003)=설정!C3)*(뱅샐입력!C$4:C$3003="수입")*뱅샐입력!G$4:G$3003)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SUMPRODUCT((MONTH(뱅샐입력!A$4:A$3003)=6)*(YEAR(뱅샐입력!A$4:A$3003)=설정!C3)*(뱅샐입력!C$4:C$3003="지출")*ABS(뱅샐입력!G$4:G$3003))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SUMPRODUCT((MONTH(뱅샐입력!A$4:A$3003)=6)*(YEAR(뱅샐입력!A$4:A$3003)=설정!C3)*(뱅샐입력!C$4:C$3003="지출")*(뱅샐입력!D$4:D$3003=A5)*ABS(뱅샐입력!G$4:G$3003))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IFERROR('05월'!F5,0)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SUMPRODUCT((MONTH(뱅샐입력!A$4:A$3003)=6)*(YEAR(뱅샐입력!A$4:A$3003)=설정!C3)*(뱅샐입력!C$4:C$3003="지출")*(뱅샐입력!D$4:D$3003=A6)*ABS(뱅샐입력!G$4:G$3003))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IFERROR('05월'!F6,0)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SUMPRODUCT((MONTH(뱅샐입력!A$4:A$3003)=6)*(YEAR(뱅샐입력!A$4:A$3003)=설정!C3)*(뱅샐입력!C$4:C$3003="지출")*(뱅샐입력!D$4:D$3003=A7)*ABS(뱅샐입력!G$4:G$3003))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IFERROR('05월'!F7,0)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SUMPRODUCT((MONTH(뱅샐입력!A$4:A$3003)=6)*(YEAR(뱅샐입력!A$4:A$3003)=설정!C3)*(뱅샐입력!C$4:C$3003="지출")*(뱅샐입력!D$4:D$3003=A8)*ABS(뱅샐입력!G$4:G$3003))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IFERROR('05월'!F8,0)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SUMPRODUCT((MONTH(뱅샐입력!A$4:A$3003)=6)*(YEAR(뱅샐입력!A$4:A$3003)=설정!C3)*(뱅샐입력!C$4:C$3003="지출")*(뱅샐입력!D$4:D$3003=A9)*ABS(뱅샐입력!G$4:G$3003))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IFERROR('05월'!F9,0)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SUMPRODUCT((MONTH(뱅샐입력!A$4:A$3003)=6)*(YEAR(뱅샐입력!A$4:A$3003)=설정!C3)*(뱅샐입력!C$4:C$3003="지출")*(뱅샐입력!D$4:D$3003=A10)*ABS(뱅샐입력!G$4:G$3003))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IFERROR('05월'!F10,0)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SUMPRODUCT((MONTH(뱅샐입력!A$4:A$3003)=6)*(YEAR(뱅샐입력!A$4:A$3003)=설정!C3)*(뱅샐입력!C$4:C$3003="지출")*(뱅샐입력!D$4:D$3003=A11)*ABS(뱅샐입력!G$4:G$3003))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IFERROR('05월'!F11,0)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SUMPRODUCT((MONTH(뱅샐입력!A$4:A$3003)=6)*(YEAR(뱅샐입력!A$4:A$3003)=설정!C3)*(뱅샐입력!C$4:C$3003="지출")*(뱅샐입력!D$4:D$3003=A12)*ABS(뱅샐입력!G$4:G$3003))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IFERROR('05월'!F12,0)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SUMPRODUCT((MONTH(뱅샐입력!A$4:A$3003)=6)*(YEAR(뱅샐입력!A$4:A$3003)=설정!C3)*(뱅샐입력!C$4:C$3003="지출")*(뱅샐입력!D$4:D$3003=A13)*ABS(뱅샐입력!G$4:G$3003))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IFERROR('05월'!F13,0)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SUMPRODUCT((MONTH(뱅샐입력!A$4:A$3003)=6)*(YEAR(뱅샐입력!A$4:A$3003)=설정!C3)*(뱅샐입력!C$4:C$3003="지출")*(뱅샐입력!D$4:D$3003=A14)*ABS(뱅샐입력!G$4:G$3003))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IFERROR('05월'!F14,0)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SUMPRODUCT((MONTH(뱅샐입력!A$4:A$3003)=6)*(YEAR(뱅샐입력!A$4:A$3003)=설정!C3)*(뱅샐입력!C$4:C$3003="지출")*(뱅샐입력!D$4:D$3003=A15)*ABS(뱅샐입력!G$4:G$3003))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IFERROR('05월'!F15,0)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SUMPRODUCT((MONTH(뱅샐입력!A$4:A$3003)=6)*(YEAR(뱅샐입력!A$4:A$3003)=설정!C3)*(뱅샐입력!C$4:C$3003="지출")*(뱅샐입력!D$4:D$3003=A16)*ABS(뱅샐입력!G$4:G$3003))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IFERROR('05월'!F16,0)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SUMPRODUCT((MONTH(뱅샐입력!A$4:A$3003)=6)*(YEAR(뱅샐입력!A$4:A$3003)=설정!C3)*(뱅샐입력!C$4:C$3003="지출")*(뱅샐입력!D$4:D$3003=A17)*ABS(뱅샐입력!G$4:G$3003))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IFERROR('05월'!F17,0)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SUMPRODUCT((MONTH(뱅샐입력!A$4:A$3003)=6)*(YEAR(뱅샐입력!A$4:A$3003)=설정!C3)*(뱅샐입력!C$4:C$3003="지출")*(뱅샐입력!D$4:D$3003=A18)*ABS(뱅샐입력!G$4:G$3003))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IFERROR('05월'!F18,0)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SUMPRODUCT((MONTH(뱅샐입력!A$4:A$3003)=6)*(YEAR(뱅샐입력!A$4:A$3003)=설정!C3)*(뱅샐입력!C$4:C$3003="지출")*(뱅샐입력!D$4:D$3003=A19)*ABS(뱅샐입력!G$4:G$3003))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IFERROR('05월'!F19,0)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SUMPRODUCT((MONTH(뱅샐입력!A$4:A$3003)=6)*(YEAR(뱅샐입력!A$4:A$3003)=설정!C3)*(뱅샐입력!C$4:C$3003="지출")*(뱅샐입력!D$4:D$3003=A20)*ABS(뱅샐입력!G$4:G$3003))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IFERROR('05월'!F20,0)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SUMPRODUCT((MONTH(뱅샐입력!A$4:A$3003)=6)*(YEAR(뱅샐입력!A$4:A$3003)=설정!C3)*(뱅샐입력!C$4:C$3003="지출")*(뱅샐입력!D$4:D$3003=A21)*ABS(뱅샐입력!G$4:G$3003))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IFERROR('05월'!F21,0)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SUMPRODUCT((MONTH(뱅샐입력!A$4:A$3003)=6)*(YEAR(뱅샐입력!A$4:A$3003)=설정!C3)*(뱅샐입력!C$4:C$3003="지출")*(뱅샐입력!D$4:D$3003=A22)*ABS(뱅샐입력!G$4:G$3003))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IFERROR('05월'!F22,0)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6)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TEXT(DATE(설정!C3,7,1),"YYYY년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SUMPRODUCT((MONTH(뱅샐입력!A$4:A$3003)=7)*(YEAR(뱅샐입력!A$4:A$3003)=설정!C3)*(뱅샐입력!C$4:C$3003="수입")*뱅샐입력!G$4:G$3003)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SUMPRODUCT((MONTH(뱅샐입력!A$4:A$3003)=7)*(YEAR(뱅샐입력!A$4:A$3003)=설정!C3)*(뱅샐입력!C$4:C$3003="지출")*ABS(뱅샐입력!G$4:G$3003))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SUMPRODUCT((MONTH(뱅샐입력!A$4:A$3003)=7)*(YEAR(뱅샐입력!A$4:A$3003)=설정!C3)*(뱅샐입력!C$4:C$3003="지출")*(뱅샐입력!D$4:D$3003=A5)*ABS(뱅샐입력!G$4:G$3003))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IFERROR('06월'!F5,0)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SUMPRODUCT((MONTH(뱅샐입력!A$4:A$3003)=7)*(YEAR(뱅샐입력!A$4:A$3003)=설정!C3)*(뱅샐입력!C$4:C$3003="지출")*(뱅샐입력!D$4:D$3003=A6)*ABS(뱅샐입력!G$4:G$3003))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IFERROR('06월'!F6,0)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SUMPRODUCT((MONTH(뱅샐입력!A$4:A$3003)=7)*(YEAR(뱅샐입력!A$4:A$3003)=설정!C3)*(뱅샐입력!C$4:C$3003="지출")*(뱅샐입력!D$4:D$3003=A7)*ABS(뱅샐입력!G$4:G$3003))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IFERROR('06월'!F7,0)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SUMPRODUCT((MONTH(뱅샐입력!A$4:A$3003)=7)*(YEAR(뱅샐입력!A$4:A$3003)=설정!C3)*(뱅샐입력!C$4:C$3003="지출")*(뱅샐입력!D$4:D$3003=A8)*ABS(뱅샐입력!G$4:G$3003))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IFERROR('06월'!F8,0)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SUMPRODUCT((MONTH(뱅샐입력!A$4:A$3003)=7)*(YEAR(뱅샐입력!A$4:A$3003)=설정!C3)*(뱅샐입력!C$4:C$3003="지출")*(뱅샐입력!D$4:D$3003=A9)*ABS(뱅샐입력!G$4:G$3003))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IFERROR('06월'!F9,0)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SUMPRODUCT((MONTH(뱅샐입력!A$4:A$3003)=7)*(YEAR(뱅샐입력!A$4:A$3003)=설정!C3)*(뱅샐입력!C$4:C$3003="지출")*(뱅샐입력!D$4:D$3003=A10)*ABS(뱅샐입력!G$4:G$3003))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IFERROR('06월'!F10,0)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SUMPRODUCT((MONTH(뱅샐입력!A$4:A$3003)=7)*(YEAR(뱅샐입력!A$4:A$3003)=설정!C3)*(뱅샐입력!C$4:C$3003="지출")*(뱅샐입력!D$4:D$3003=A11)*ABS(뱅샐입력!G$4:G$3003))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IFERROR('06월'!F11,0)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SUMPRODUCT((MONTH(뱅샐입력!A$4:A$3003)=7)*(YEAR(뱅샐입력!A$4:A$3003)=설정!C3)*(뱅샐입력!C$4:C$3003="지출")*(뱅샐입력!D$4:D$3003=A12)*ABS(뱅샐입력!G$4:G$3003))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IFERROR('06월'!F12,0)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SUMPRODUCT((MONTH(뱅샐입력!A$4:A$3003)=7)*(YEAR(뱅샐입력!A$4:A$3003)=설정!C3)*(뱅샐입력!C$4:C$3003="지출")*(뱅샐입력!D$4:D$3003=A13)*ABS(뱅샐입력!G$4:G$3003))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IFERROR('06월'!F13,0)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SUMPRODUCT((MONTH(뱅샐입력!A$4:A$3003)=7)*(YEAR(뱅샐입력!A$4:A$3003)=설정!C3)*(뱅샐입력!C$4:C$3003="지출")*(뱅샐입력!D$4:D$3003=A14)*ABS(뱅샐입력!G$4:G$3003))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IFERROR('06월'!F14,0)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SUMPRODUCT((MONTH(뱅샐입력!A$4:A$3003)=7)*(YEAR(뱅샐입력!A$4:A$3003)=설정!C3)*(뱅샐입력!C$4:C$3003="지출")*(뱅샐입력!D$4:D$3003=A15)*ABS(뱅샐입력!G$4:G$3003))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IFERROR('06월'!F15,0)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SUMPRODUCT((MONTH(뱅샐입력!A$4:A$3003)=7)*(YEAR(뱅샐입력!A$4:A$3003)=설정!C3)*(뱅샐입력!C$4:C$3003="지출")*(뱅샐입력!D$4:D$3003=A16)*ABS(뱅샐입력!G$4:G$3003))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IFERROR('06월'!F16,0)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SUMPRODUCT((MONTH(뱅샐입력!A$4:A$3003)=7)*(YEAR(뱅샐입력!A$4:A$3003)=설정!C3)*(뱅샐입력!C$4:C$3003="지출")*(뱅샐입력!D$4:D$3003=A17)*ABS(뱅샐입력!G$4:G$3003))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IFERROR('06월'!F17,0)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SUMPRODUCT((MONTH(뱅샐입력!A$4:A$3003)=7)*(YEAR(뱅샐입력!A$4:A$3003)=설정!C3)*(뱅샐입력!C$4:C$3003="지출")*(뱅샐입력!D$4:D$3003=A18)*ABS(뱅샐입력!G$4:G$3003))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IFERROR('06월'!F18,0)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SUMPRODUCT((MONTH(뱅샐입력!A$4:A$3003)=7)*(YEAR(뱅샐입력!A$4:A$3003)=설정!C3)*(뱅샐입력!C$4:C$3003="지출")*(뱅샐입력!D$4:D$3003=A19)*ABS(뱅샐입력!G$4:G$3003))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IFERROR('06월'!F19,0)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SUMPRODUCT((MONTH(뱅샐입력!A$4:A$3003)=7)*(YEAR(뱅샐입력!A$4:A$3003)=설정!C3)*(뱅샐입력!C$4:C$3003="지출")*(뱅샐입력!D$4:D$3003=A20)*ABS(뱅샐입력!G$4:G$3003))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IFERROR('06월'!F20,0)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SUMPRODUCT((MONTH(뱅샐입력!A$4:A$3003)=7)*(YEAR(뱅샐입력!A$4:A$3003)=설정!C3)*(뱅샐입력!C$4:C$3003="지출")*(뱅샐입력!D$4:D$3003=A21)*ABS(뱅샐입력!G$4:G$3003))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IFERROR('06월'!F21,0)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SUMPRODUCT((MONTH(뱅샐입력!A$4:A$3003)=7)*(YEAR(뱅샐입력!A$4:A$3003)=설정!C3)*(뱅샐입력!C$4:C$3003="지출")*(뱅샐입력!D$4:D$3003=A22)*ABS(뱅샐입력!G$4:G$3003))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IFERROR('06월'!F22,0)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7)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TEXT(DATE(설정!C3,8,1),"YYYY년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SUMPRODUCT((MONTH(뱅샐입력!A$4:A$3003)=8)*(YEAR(뱅샐입력!A$4:A$3003)=설정!C3)*(뱅샐입력!C$4:C$3003="수입")*뱅샐입력!G$4:G$3003)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SUMPRODUCT((MONTH(뱅샐입력!A$4:A$3003)=8)*(YEAR(뱅샐입력!A$4:A$3003)=설정!C3)*(뱅샐입력!C$4:C$3003="지출")*ABS(뱅샐입력!G$4:G$3003))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SUMPRODUCT((MONTH(뱅샐입력!A$4:A$3003)=8)*(YEAR(뱅샐입력!A$4:A$3003)=설정!C3)*(뱅샐입력!C$4:C$3003="지출")*(뱅샐입력!D$4:D$3003=A5)*ABS(뱅샐입력!G$4:G$3003))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IFERROR('07월'!F5,0)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SUMPRODUCT((MONTH(뱅샐입력!A$4:A$3003)=8)*(YEAR(뱅샐입력!A$4:A$3003)=설정!C3)*(뱅샐입력!C$4:C$3003="지출")*(뱅샐입력!D$4:D$3003=A6)*ABS(뱅샐입력!G$4:G$3003))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IFERROR('07월'!F6,0)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SUMPRODUCT((MONTH(뱅샐입력!A$4:A$3003)=8)*(YEAR(뱅샐입력!A$4:A$3003)=설정!C3)*(뱅샐입력!C$4:C$3003="지출")*(뱅샐입력!D$4:D$3003=A7)*ABS(뱅샐입력!G$4:G$3003))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IFERROR('07월'!F7,0)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SUMPRODUCT((MONTH(뱅샐입력!A$4:A$3003)=8)*(YEAR(뱅샐입력!A$4:A$3003)=설정!C3)*(뱅샐입력!C$4:C$3003="지출")*(뱅샐입력!D$4:D$3003=A8)*ABS(뱅샐입력!G$4:G$3003))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IFERROR('07월'!F8,0)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SUMPRODUCT((MONTH(뱅샐입력!A$4:A$3003)=8)*(YEAR(뱅샐입력!A$4:A$3003)=설정!C3)*(뱅샐입력!C$4:C$3003="지출")*(뱅샐입력!D$4:D$3003=A9)*ABS(뱅샐입력!G$4:G$3003))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IFERROR('07월'!F9,0)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SUMPRODUCT((MONTH(뱅샐입력!A$4:A$3003)=8)*(YEAR(뱅샐입력!A$4:A$3003)=설정!C3)*(뱅샐입력!C$4:C$3003="지출")*(뱅샐입력!D$4:D$3003=A10)*ABS(뱅샐입력!G$4:G$3003))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IFERROR('07월'!F10,0)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SUMPRODUCT((MONTH(뱅샐입력!A$4:A$3003)=8)*(YEAR(뱅샐입력!A$4:A$3003)=설정!C3)*(뱅샐입력!C$4:C$3003="지출")*(뱅샐입력!D$4:D$3003=A11)*ABS(뱅샐입력!G$4:G$3003))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IFERROR('07월'!F11,0)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SUMPRODUCT((MONTH(뱅샐입력!A$4:A$3003)=8)*(YEAR(뱅샐입력!A$4:A$3003)=설정!C3)*(뱅샐입력!C$4:C$3003="지출")*(뱅샐입력!D$4:D$3003=A12)*ABS(뱅샐입력!G$4:G$3003))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IFERROR('07월'!F12,0)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SUMPRODUCT((MONTH(뱅샐입력!A$4:A$3003)=8)*(YEAR(뱅샐입력!A$4:A$3003)=설정!C3)*(뱅샐입력!C$4:C$3003="지출")*(뱅샐입력!D$4:D$3003=A13)*ABS(뱅샐입력!G$4:G$3003))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IFERROR('07월'!F13,0)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SUMPRODUCT((MONTH(뱅샐입력!A$4:A$3003)=8)*(YEAR(뱅샐입력!A$4:A$3003)=설정!C3)*(뱅샐입력!C$4:C$3003="지출")*(뱅샐입력!D$4:D$3003=A14)*ABS(뱅샐입력!G$4:G$3003))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IFERROR('07월'!F14,0)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SUMPRODUCT((MONTH(뱅샐입력!A$4:A$3003)=8)*(YEAR(뱅샐입력!A$4:A$3003)=설정!C3)*(뱅샐입력!C$4:C$3003="지출")*(뱅샐입력!D$4:D$3003=A15)*ABS(뱅샐입력!G$4:G$3003))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IFERROR('07월'!F15,0)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SUMPRODUCT((MONTH(뱅샐입력!A$4:A$3003)=8)*(YEAR(뱅샐입력!A$4:A$3003)=설정!C3)*(뱅샐입력!C$4:C$3003="지출")*(뱅샐입력!D$4:D$3003=A16)*ABS(뱅샐입력!G$4:G$3003))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IFERROR('07월'!F16,0)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SUMPRODUCT((MONTH(뱅샐입력!A$4:A$3003)=8)*(YEAR(뱅샐입력!A$4:A$3003)=설정!C3)*(뱅샐입력!C$4:C$3003="지출")*(뱅샐입력!D$4:D$3003=A17)*ABS(뱅샐입력!G$4:G$3003))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IFERROR('07월'!F17,0)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SUMPRODUCT((MONTH(뱅샐입력!A$4:A$3003)=8)*(YEAR(뱅샐입력!A$4:A$3003)=설정!C3)*(뱅샐입력!C$4:C$3003="지출")*(뱅샐입력!D$4:D$3003=A18)*ABS(뱅샐입력!G$4:G$3003))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IFERROR('07월'!F18,0)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SUMPRODUCT((MONTH(뱅샐입력!A$4:A$3003)=8)*(YEAR(뱅샐입력!A$4:A$3003)=설정!C3)*(뱅샐입력!C$4:C$3003="지출")*(뱅샐입력!D$4:D$3003=A19)*ABS(뱅샐입력!G$4:G$3003))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IFERROR('07월'!F19,0)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SUMPRODUCT((MONTH(뱅샐입력!A$4:A$3003)=8)*(YEAR(뱅샐입력!A$4:A$3003)=설정!C3)*(뱅샐입력!C$4:C$3003="지출")*(뱅샐입력!D$4:D$3003=A20)*ABS(뱅샐입력!G$4:G$3003))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IFERROR('07월'!F20,0)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SUMPRODUCT((MONTH(뱅샐입력!A$4:A$3003)=8)*(YEAR(뱅샐입력!A$4:A$3003)=설정!C3)*(뱅샐입력!C$4:C$3003="지출")*(뱅샐입력!D$4:D$3003=A21)*ABS(뱅샐입력!G$4:G$3003))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IFERROR('07월'!F21,0)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SUMPRODUCT((MONTH(뱅샐입력!A$4:A$3003)=8)*(YEAR(뱅샐입력!A$4:A$3003)=설정!C3)*(뱅샐입력!C$4:C$3003="지출")*(뱅샐입력!D$4:D$3003=A22)*ABS(뱅샐입력!G$4:G$3003))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IFERROR('07월'!F22,0)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8)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TEXT(DATE(설정!C3,9,1),"YYYY년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SUMPRODUCT((MONTH(뱅샐입력!A$4:A$3003)=9)*(YEAR(뱅샐입력!A$4:A$3003)=설정!C3)*(뱅샐입력!C$4:C$3003="수입")*뱅샐입력!G$4:G$3003)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SUMPRODUCT((MONTH(뱅샐입력!A$4:A$3003)=9)*(YEAR(뱅샐입력!A$4:A$3003)=설정!C3)*(뱅샐입력!C$4:C$3003="지출")*ABS(뱅샐입력!G$4:G$3003))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SUMPRODUCT((MONTH(뱅샐입력!A$4:A$3003)=9)*(YEAR(뱅샐입력!A$4:A$3003)=설정!C3)*(뱅샐입력!C$4:C$3003="지출")*(뱅샐입력!D$4:D$3003=A5)*ABS(뱅샐입력!G$4:G$3003))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IFERROR('08월'!F5,0)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SUMPRODUCT((MONTH(뱅샐입력!A$4:A$3003)=9)*(YEAR(뱅샐입력!A$4:A$3003)=설정!C3)*(뱅샐입력!C$4:C$3003="지출")*(뱅샐입력!D$4:D$3003=A6)*ABS(뱅샐입력!G$4:G$3003))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IFERROR('08월'!F6,0)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SUMPRODUCT((MONTH(뱅샐입력!A$4:A$3003)=9)*(YEAR(뱅샐입력!A$4:A$3003)=설정!C3)*(뱅샐입력!C$4:C$3003="지출")*(뱅샐입력!D$4:D$3003=A7)*ABS(뱅샐입력!G$4:G$3003))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IFERROR('08월'!F7,0)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SUMPRODUCT((MONTH(뱅샐입력!A$4:A$3003)=9)*(YEAR(뱅샐입력!A$4:A$3003)=설정!C3)*(뱅샐입력!C$4:C$3003="지출")*(뱅샐입력!D$4:D$3003=A8)*ABS(뱅샐입력!G$4:G$3003))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IFERROR('08월'!F8,0)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SUMPRODUCT((MONTH(뱅샐입력!A$4:A$3003)=9)*(YEAR(뱅샐입력!A$4:A$3003)=설정!C3)*(뱅샐입력!C$4:C$3003="지출")*(뱅샐입력!D$4:D$3003=A9)*ABS(뱅샐입력!G$4:G$3003))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IFERROR('08월'!F9,0)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SUMPRODUCT((MONTH(뱅샐입력!A$4:A$3003)=9)*(YEAR(뱅샐입력!A$4:A$3003)=설정!C3)*(뱅샐입력!C$4:C$3003="지출")*(뱅샐입력!D$4:D$3003=A10)*ABS(뱅샐입력!G$4:G$3003))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IFERROR('08월'!F10,0)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SUMPRODUCT((MONTH(뱅샐입력!A$4:A$3003)=9)*(YEAR(뱅샐입력!A$4:A$3003)=설정!C3)*(뱅샐입력!C$4:C$3003="지출")*(뱅샐입력!D$4:D$3003=A11)*ABS(뱅샐입력!G$4:G$3003))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IFERROR('08월'!F11,0)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SUMPRODUCT((MONTH(뱅샐입력!A$4:A$3003)=9)*(YEAR(뱅샐입력!A$4:A$3003)=설정!C3)*(뱅샐입력!C$4:C$3003="지출")*(뱅샐입력!D$4:D$3003=A12)*ABS(뱅샐입력!G$4:G$3003))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IFERROR('08월'!F12,0)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SUMPRODUCT((MONTH(뱅샐입력!A$4:A$3003)=9)*(YEAR(뱅샐입력!A$4:A$3003)=설정!C3)*(뱅샐입력!C$4:C$3003="지출")*(뱅샐입력!D$4:D$3003=A13)*ABS(뱅샐입력!G$4:G$3003))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IFERROR('08월'!F13,0)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SUMPRODUCT((MONTH(뱅샐입력!A$4:A$3003)=9)*(YEAR(뱅샐입력!A$4:A$3003)=설정!C3)*(뱅샐입력!C$4:C$3003="지출")*(뱅샐입력!D$4:D$3003=A14)*ABS(뱅샐입력!G$4:G$3003))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IFERROR('08월'!F14,0)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SUMPRODUCT((MONTH(뱅샐입력!A$4:A$3003)=9)*(YEAR(뱅샐입력!A$4:A$3003)=설정!C3)*(뱅샐입력!C$4:C$3003="지출")*(뱅샐입력!D$4:D$3003=A15)*ABS(뱅샐입력!G$4:G$3003))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IFERROR('08월'!F15,0)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SUMPRODUCT((MONTH(뱅샐입력!A$4:A$3003)=9)*(YEAR(뱅샐입력!A$4:A$3003)=설정!C3)*(뱅샐입력!C$4:C$3003="지출")*(뱅샐입력!D$4:D$3003=A16)*ABS(뱅샐입력!G$4:G$3003))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IFERROR('08월'!F16,0)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SUMPRODUCT((MONTH(뱅샐입력!A$4:A$3003)=9)*(YEAR(뱅샐입력!A$4:A$3003)=설정!C3)*(뱅샐입력!C$4:C$3003="지출")*(뱅샐입력!D$4:D$3003=A17)*ABS(뱅샐입력!G$4:G$3003))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IFERROR('08월'!F17,0)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SUMPRODUCT((MONTH(뱅샐입력!A$4:A$3003)=9)*(YEAR(뱅샐입력!A$4:A$3003)=설정!C3)*(뱅샐입력!C$4:C$3003="지출")*(뱅샐입력!D$4:D$3003=A18)*ABS(뱅샐입력!G$4:G$3003))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IFERROR('08월'!F18,0)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SUMPRODUCT((MONTH(뱅샐입력!A$4:A$3003)=9)*(YEAR(뱅샐입력!A$4:A$3003)=설정!C3)*(뱅샐입력!C$4:C$3003="지출")*(뱅샐입력!D$4:D$3003=A19)*ABS(뱅샐입력!G$4:G$3003))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IFERROR('08월'!F19,0)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SUMPRODUCT((MONTH(뱅샐입력!A$4:A$3003)=9)*(YEAR(뱅샐입력!A$4:A$3003)=설정!C3)*(뱅샐입력!C$4:C$3003="지출")*(뱅샐입력!D$4:D$3003=A20)*ABS(뱅샐입력!G$4:G$3003))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IFERROR('08월'!F20,0)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SUMPRODUCT((MONTH(뱅샐입력!A$4:A$3003)=9)*(YEAR(뱅샐입력!A$4:A$3003)=설정!C3)*(뱅샐입력!C$4:C$3003="지출")*(뱅샐입력!D$4:D$3003=A21)*ABS(뱅샐입력!G$4:G$3003))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IFERROR('08월'!F21,0)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SUMPRODUCT((MONTH(뱅샐입력!A$4:A$3003)=9)*(YEAR(뱅샐입력!A$4:A$3003)=설정!C3)*(뱅샐입력!C$4:C$3003="지출")*(뱅샐입력!D$4:D$3003=A22)*ABS(뱅샐입력!G$4:G$3003))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IFERROR('08월'!F22,0)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9)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TEXT(DATE(설정!C3,10,1),"YYYY년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SUMPRODUCT((MONTH(뱅샐입력!A$4:A$3003)=10)*(YEAR(뱅샐입력!A$4:A$3003)=설정!C3)*(뱅샐입력!C$4:C$3003="수입")*뱅샐입력!G$4:G$3003)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SUMPRODUCT((MONTH(뱅샐입력!A$4:A$3003)=10)*(YEAR(뱅샐입력!A$4:A$3003)=설정!C3)*(뱅샐입력!C$4:C$3003="지출")*ABS(뱅샐입력!G$4:G$3003))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SUMPRODUCT((MONTH(뱅샐입력!A$4:A$3003)=10)*(YEAR(뱅샐입력!A$4:A$3003)=설정!C3)*(뱅샐입력!C$4:C$3003="지출")*(뱅샐입력!D$4:D$3003=A5)*ABS(뱅샐입력!G$4:G$3003))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IFERROR('09월'!F5,0)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SUMPRODUCT((MONTH(뱅샐입력!A$4:A$3003)=10)*(YEAR(뱅샐입력!A$4:A$3003)=설정!C3)*(뱅샐입력!C$4:C$3003="지출")*(뱅샐입력!D$4:D$3003=A6)*ABS(뱅샐입력!G$4:G$3003))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IFERROR('09월'!F6,0)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SUMPRODUCT((MONTH(뱅샐입력!A$4:A$3003)=10)*(YEAR(뱅샐입력!A$4:A$3003)=설정!C3)*(뱅샐입력!C$4:C$3003="지출")*(뱅샐입력!D$4:D$3003=A7)*ABS(뱅샐입력!G$4:G$3003))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IFERROR('09월'!F7,0)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SUMPRODUCT((MONTH(뱅샐입력!A$4:A$3003)=10)*(YEAR(뱅샐입력!A$4:A$3003)=설정!C3)*(뱅샐입력!C$4:C$3003="지출")*(뱅샐입력!D$4:D$3003=A8)*ABS(뱅샐입력!G$4:G$3003))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IFERROR('09월'!F8,0)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SUMPRODUCT((MONTH(뱅샐입력!A$4:A$3003)=10)*(YEAR(뱅샐입력!A$4:A$3003)=설정!C3)*(뱅샐입력!C$4:C$3003="지출")*(뱅샐입력!D$4:D$3003=A9)*ABS(뱅샐입력!G$4:G$3003))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IFERROR('09월'!F9,0)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SUMPRODUCT((MONTH(뱅샐입력!A$4:A$3003)=10)*(YEAR(뱅샐입력!A$4:A$3003)=설정!C3)*(뱅샐입력!C$4:C$3003="지출")*(뱅샐입력!D$4:D$3003=A10)*ABS(뱅샐입력!G$4:G$3003))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IFERROR('09월'!F10,0)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SUMPRODUCT((MONTH(뱅샐입력!A$4:A$3003)=10)*(YEAR(뱅샐입력!A$4:A$3003)=설정!C3)*(뱅샐입력!C$4:C$3003="지출")*(뱅샐입력!D$4:D$3003=A11)*ABS(뱅샐입력!G$4:G$3003))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IFERROR('09월'!F11,0)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SUMPRODUCT((MONTH(뱅샐입력!A$4:A$3003)=10)*(YEAR(뱅샐입력!A$4:A$3003)=설정!C3)*(뱅샐입력!C$4:C$3003="지출")*(뱅샐입력!D$4:D$3003=A12)*ABS(뱅샐입력!G$4:G$3003))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IFERROR('09월'!F12,0)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SUMPRODUCT((MONTH(뱅샐입력!A$4:A$3003)=10)*(YEAR(뱅샐입력!A$4:A$3003)=설정!C3)*(뱅샐입력!C$4:C$3003="지출")*(뱅샐입력!D$4:D$3003=A13)*ABS(뱅샐입력!G$4:G$3003))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IFERROR('09월'!F13,0)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SUMPRODUCT((MONTH(뱅샐입력!A$4:A$3003)=10)*(YEAR(뱅샐입력!A$4:A$3003)=설정!C3)*(뱅샐입력!C$4:C$3003="지출")*(뱅샐입력!D$4:D$3003=A14)*ABS(뱅샐입력!G$4:G$3003))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IFERROR('09월'!F14,0)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SUMPRODUCT((MONTH(뱅샐입력!A$4:A$3003)=10)*(YEAR(뱅샐입력!A$4:A$3003)=설정!C3)*(뱅샐입력!C$4:C$3003="지출")*(뱅샐입력!D$4:D$3003=A15)*ABS(뱅샐입력!G$4:G$3003))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IFERROR('09월'!F15,0)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SUMPRODUCT((MONTH(뱅샐입력!A$4:A$3003)=10)*(YEAR(뱅샐입력!A$4:A$3003)=설정!C3)*(뱅샐입력!C$4:C$3003="지출")*(뱅샐입력!D$4:D$3003=A16)*ABS(뱅샐입력!G$4:G$3003))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IFERROR('09월'!F16,0)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SUMPRODUCT((MONTH(뱅샐입력!A$4:A$3003)=10)*(YEAR(뱅샐입력!A$4:A$3003)=설정!C3)*(뱅샐입력!C$4:C$3003="지출")*(뱅샐입력!D$4:D$3003=A17)*ABS(뱅샐입력!G$4:G$3003))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IFERROR('09월'!F17,0)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SUMPRODUCT((MONTH(뱅샐입력!A$4:A$3003)=10)*(YEAR(뱅샐입력!A$4:A$3003)=설정!C3)*(뱅샐입력!C$4:C$3003="지출")*(뱅샐입력!D$4:D$3003=A18)*ABS(뱅샐입력!G$4:G$3003))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IFERROR('09월'!F18,0)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SUMPRODUCT((MONTH(뱅샐입력!A$4:A$3003)=10)*(YEAR(뱅샐입력!A$4:A$3003)=설정!C3)*(뱅샐입력!C$4:C$3003="지출")*(뱅샐입력!D$4:D$3003=A19)*ABS(뱅샐입력!G$4:G$3003))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IFERROR('09월'!F19,0)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SUMPRODUCT((MONTH(뱅샐입력!A$4:A$3003)=10)*(YEAR(뱅샐입력!A$4:A$3003)=설정!C3)*(뱅샐입력!C$4:C$3003="지출")*(뱅샐입력!D$4:D$3003=A20)*ABS(뱅샐입력!G$4:G$3003))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IFERROR('09월'!F20,0)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SUMPRODUCT((MONTH(뱅샐입력!A$4:A$3003)=10)*(YEAR(뱅샐입력!A$4:A$3003)=설정!C3)*(뱅샐입력!C$4:C$3003="지출")*(뱅샐입력!D$4:D$3003=A21)*ABS(뱅샐입력!G$4:G$3003))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IFERROR('09월'!F21,0)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SUMPRODUCT((MONTH(뱅샐입력!A$4:A$3003)=10)*(YEAR(뱅샐입력!A$4:A$3003)=설정!C3)*(뱅샐입력!C$4:C$3003="지출")*(뱅샐입력!D$4:D$3003=A22)*ABS(뱅샐입력!G$4:G$3003))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IFERROR('09월'!F22,0)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10)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TEXT(DATE(설정!C3,11,1),"YYYY년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SUMPRODUCT((MONTH(뱅샐입력!A$4:A$3003)=11)*(YEAR(뱅샐입력!A$4:A$3003)=설정!C3)*(뱅샐입력!C$4:C$3003="수입")*뱅샐입력!G$4:G$3003)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SUMPRODUCT((MONTH(뱅샐입력!A$4:A$3003)=11)*(YEAR(뱅샐입력!A$4:A$3003)=설정!C3)*(뱅샐입력!C$4:C$3003="지출")*ABS(뱅샐입력!G$4:G$3003))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SUMPRODUCT((MONTH(뱅샐입력!A$4:A$3003)=11)*(YEAR(뱅샐입력!A$4:A$3003)=설정!C3)*(뱅샐입력!C$4:C$3003="지출")*(뱅샐입력!D$4:D$3003=A5)*ABS(뱅샐입력!G$4:G$3003))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IFERROR('10월'!F5,0)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SUMPRODUCT((MONTH(뱅샐입력!A$4:A$3003)=11)*(YEAR(뱅샐입력!A$4:A$3003)=설정!C3)*(뱅샐입력!C$4:C$3003="지출")*(뱅샐입력!D$4:D$3003=A6)*ABS(뱅샐입력!G$4:G$3003))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IFERROR('10월'!F6,0)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SUMPRODUCT((MONTH(뱅샐입력!A$4:A$3003)=11)*(YEAR(뱅샐입력!A$4:A$3003)=설정!C3)*(뱅샐입력!C$4:C$3003="지출")*(뱅샐입력!D$4:D$3003=A7)*ABS(뱅샐입력!G$4:G$3003))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IFERROR('10월'!F7,0)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SUMPRODUCT((MONTH(뱅샐입력!A$4:A$3003)=11)*(YEAR(뱅샐입력!A$4:A$3003)=설정!C3)*(뱅샐입력!C$4:C$3003="지출")*(뱅샐입력!D$4:D$3003=A8)*ABS(뱅샐입력!G$4:G$3003))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IFERROR('10월'!F8,0)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SUMPRODUCT((MONTH(뱅샐입력!A$4:A$3003)=11)*(YEAR(뱅샐입력!A$4:A$3003)=설정!C3)*(뱅샐입력!C$4:C$3003="지출")*(뱅샐입력!D$4:D$3003=A9)*ABS(뱅샐입력!G$4:G$3003))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IFERROR('10월'!F9,0)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SUMPRODUCT((MONTH(뱅샐입력!A$4:A$3003)=11)*(YEAR(뱅샐입력!A$4:A$3003)=설정!C3)*(뱅샐입력!C$4:C$3003="지출")*(뱅샐입력!D$4:D$3003=A10)*ABS(뱅샐입력!G$4:G$3003))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IFERROR('10월'!F10,0)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SUMPRODUCT((MONTH(뱅샐입력!A$4:A$3003)=11)*(YEAR(뱅샐입력!A$4:A$3003)=설정!C3)*(뱅샐입력!C$4:C$3003="지출")*(뱅샐입력!D$4:D$3003=A11)*ABS(뱅샐입력!G$4:G$3003))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IFERROR('10월'!F11,0)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SUMPRODUCT((MONTH(뱅샐입력!A$4:A$3003)=11)*(YEAR(뱅샐입력!A$4:A$3003)=설정!C3)*(뱅샐입력!C$4:C$3003="지출")*(뱅샐입력!D$4:D$3003=A12)*ABS(뱅샐입력!G$4:G$3003))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IFERROR('10월'!F12,0)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SUMPRODUCT((MONTH(뱅샐입력!A$4:A$3003)=11)*(YEAR(뱅샐입력!A$4:A$3003)=설정!C3)*(뱅샐입력!C$4:C$3003="지출")*(뱅샐입력!D$4:D$3003=A13)*ABS(뱅샐입력!G$4:G$3003))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IFERROR('10월'!F13,0)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SUMPRODUCT((MONTH(뱅샐입력!A$4:A$3003)=11)*(YEAR(뱅샐입력!A$4:A$3003)=설정!C3)*(뱅샐입력!C$4:C$3003="지출")*(뱅샐입력!D$4:D$3003=A14)*ABS(뱅샐입력!G$4:G$3003))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IFERROR('10월'!F14,0)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SUMPRODUCT((MONTH(뱅샐입력!A$4:A$3003)=11)*(YEAR(뱅샐입력!A$4:A$3003)=설정!C3)*(뱅샐입력!C$4:C$3003="지출")*(뱅샐입력!D$4:D$3003=A15)*ABS(뱅샐입력!G$4:G$3003))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IFERROR('10월'!F15,0)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SUMPRODUCT((MONTH(뱅샐입력!A$4:A$3003)=11)*(YEAR(뱅샐입력!A$4:A$3003)=설정!C3)*(뱅샐입력!C$4:C$3003="지출")*(뱅샐입력!D$4:D$3003=A16)*ABS(뱅샐입력!G$4:G$3003))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IFERROR('10월'!F16,0)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SUMPRODUCT((MONTH(뱅샐입력!A$4:A$3003)=11)*(YEAR(뱅샐입력!A$4:A$3003)=설정!C3)*(뱅샐입력!C$4:C$3003="지출")*(뱅샐입력!D$4:D$3003=A17)*ABS(뱅샐입력!G$4:G$3003))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IFERROR('10월'!F17,0)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SUMPRODUCT((MONTH(뱅샐입력!A$4:A$3003)=11)*(YEAR(뱅샐입력!A$4:A$3003)=설정!C3)*(뱅샐입력!C$4:C$3003="지출")*(뱅샐입력!D$4:D$3003=A18)*ABS(뱅샐입력!G$4:G$3003))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IFERROR('10월'!F18,0)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SUMPRODUCT((MONTH(뱅샐입력!A$4:A$3003)=11)*(YEAR(뱅샐입력!A$4:A$3003)=설정!C3)*(뱅샐입력!C$4:C$3003="지출")*(뱅샐입력!D$4:D$3003=A19)*ABS(뱅샐입력!G$4:G$3003))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IFERROR('10월'!F19,0)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SUMPRODUCT((MONTH(뱅샐입력!A$4:A$3003)=11)*(YEAR(뱅샐입력!A$4:A$3003)=설정!C3)*(뱅샐입력!C$4:C$3003="지출")*(뱅샐입력!D$4:D$3003=A20)*ABS(뱅샐입력!G$4:G$3003))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IFERROR('10월'!F20,0)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SUMPRODUCT((MONTH(뱅샐입력!A$4:A$3003)=11)*(YEAR(뱅샐입력!A$4:A$3003)=설정!C3)*(뱅샐입력!C$4:C$3003="지출")*(뱅샐입력!D$4:D$3003=A21)*ABS(뱅샐입력!G$4:G$3003))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IFERROR('10월'!F21,0)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SUMPRODUCT((MONTH(뱅샐입력!A$4:A$3003)=11)*(YEAR(뱅샐입력!A$4:A$3003)=설정!C3)*(뱅샐입력!C$4:C$3003="지출")*(뱅샐입력!D$4:D$3003=A22)*ABS(뱅샐입력!G$4:G$3003))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IFERROR('10월'!F22,0)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TEXT(DATE(설정!C3,12,1),"YYYY년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SUMPRODUCT((MONTH(뱅샐입력!A$4:A$3003)=12)*(YEAR(뱅샐입력!A$4:A$3003)=설정!C3)*(뱅샐입력!C$4:C$3003="수입")*뱅샐입력!G$4:G$3003)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SUMPRODUCT((MONTH(뱅샐입력!A$4:A$3003)=12)*(YEAR(뱅샐입력!A$4:A$3003)=설정!C3)*(뱅샐입력!C$4:C$3003="지출")*ABS(뱅샐입력!G$4:G$3003))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SUMPRODUCT((MONTH(뱅샐입력!A$4:A$3003)=12)*(YEAR(뱅샐입력!A$4:A$3003)=설정!C3)*(뱅샐입력!C$4:C$3003="지출")*(뱅샐입력!D$4:D$3003=A5)*ABS(뱅샐입력!G$4:G$3003))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IFERROR('11월'!F5,0)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SUMPRODUCT((MONTH(뱅샐입력!A$4:A$3003)=12)*(YEAR(뱅샐입력!A$4:A$3003)=설정!C3)*(뱅샐입력!C$4:C$3003="지출")*(뱅샐입력!D$4:D$3003=A6)*ABS(뱅샐입력!G$4:G$3003))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IFERROR('11월'!F6,0)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SUMPRODUCT((MONTH(뱅샐입력!A$4:A$3003)=12)*(YEAR(뱅샐입력!A$4:A$3003)=설정!C3)*(뱅샐입력!C$4:C$3003="지출")*(뱅샐입력!D$4:D$3003=A7)*ABS(뱅샐입력!G$4:G$3003))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IFERROR('11월'!F7,0)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SUMPRODUCT((MONTH(뱅샐입력!A$4:A$3003)=12)*(YEAR(뱅샐입력!A$4:A$3003)=설정!C3)*(뱅샐입력!C$4:C$3003="지출")*(뱅샐입력!D$4:D$3003=A8)*ABS(뱅샐입력!G$4:G$3003))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IFERROR('11월'!F8,0)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SUMPRODUCT((MONTH(뱅샐입력!A$4:A$3003)=12)*(YEAR(뱅샐입력!A$4:A$3003)=설정!C3)*(뱅샐입력!C$4:C$3003="지출")*(뱅샐입력!D$4:D$3003=A9)*ABS(뱅샐입력!G$4:G$3003))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IFERROR('11월'!F9,0)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SUMPRODUCT((MONTH(뱅샐입력!A$4:A$3003)=12)*(YEAR(뱅샐입력!A$4:A$3003)=설정!C3)*(뱅샐입력!C$4:C$3003="지출")*(뱅샐입력!D$4:D$3003=A10)*ABS(뱅샐입력!G$4:G$3003))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IFERROR('11월'!F10,0)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SUMPRODUCT((MONTH(뱅샐입력!A$4:A$3003)=12)*(YEAR(뱅샐입력!A$4:A$3003)=설정!C3)*(뱅샐입력!C$4:C$3003="지출")*(뱅샐입력!D$4:D$3003=A11)*ABS(뱅샐입력!G$4:G$3003))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IFERROR('11월'!F11,0)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SUMPRODUCT((MONTH(뱅샐입력!A$4:A$3003)=12)*(YEAR(뱅샐입력!A$4:A$3003)=설정!C3)*(뱅샐입력!C$4:C$3003="지출")*(뱅샐입력!D$4:D$3003=A12)*ABS(뱅샐입력!G$4:G$3003))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IFERROR('11월'!F12,0)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SUMPRODUCT((MONTH(뱅샐입력!A$4:A$3003)=12)*(YEAR(뱅샐입력!A$4:A$3003)=설정!C3)*(뱅샐입력!C$4:C$3003="지출")*(뱅샐입력!D$4:D$3003=A13)*ABS(뱅샐입력!G$4:G$3003))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IFERROR('11월'!F13,0)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SUMPRODUCT((MONTH(뱅샐입력!A$4:A$3003)=12)*(YEAR(뱅샐입력!A$4:A$3003)=설정!C3)*(뱅샐입력!C$4:C$3003="지출")*(뱅샐입력!D$4:D$3003=A14)*ABS(뱅샐입력!G$4:G$3003))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IFERROR('11월'!F14,0)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SUMPRODUCT((MONTH(뱅샐입력!A$4:A$3003)=12)*(YEAR(뱅샐입력!A$4:A$3003)=설정!C3)*(뱅샐입력!C$4:C$3003="지출")*(뱅샐입력!D$4:D$3003=A15)*ABS(뱅샐입력!G$4:G$3003))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IFERROR('11월'!F15,0)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SUMPRODUCT((MONTH(뱅샐입력!A$4:A$3003)=12)*(YEAR(뱅샐입력!A$4:A$3003)=설정!C3)*(뱅샐입력!C$4:C$3003="지출")*(뱅샐입력!D$4:D$3003=A16)*ABS(뱅샐입력!G$4:G$3003))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IFERROR('11월'!F16,0)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SUMPRODUCT((MONTH(뱅샐입력!A$4:A$3003)=12)*(YEAR(뱅샐입력!A$4:A$3003)=설정!C3)*(뱅샐입력!C$4:C$3003="지출")*(뱅샐입력!D$4:D$3003=A17)*ABS(뱅샐입력!G$4:G$3003))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IFERROR('11월'!F17,0)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SUMPRODUCT((MONTH(뱅샐입력!A$4:A$3003)=12)*(YEAR(뱅샐입력!A$4:A$3003)=설정!C3)*(뱅샐입력!C$4:C$3003="지출")*(뱅샐입력!D$4:D$3003=A18)*ABS(뱅샐입력!G$4:G$3003))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IFERROR('11월'!F18,0)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SUMPRODUCT((MONTH(뱅샐입력!A$4:A$3003)=12)*(YEAR(뱅샐입력!A$4:A$3003)=설정!C3)*(뱅샐입력!C$4:C$3003="지출")*(뱅샐입력!D$4:D$3003=A19)*ABS(뱅샐입력!G$4:G$3003))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IFERROR('11월'!F19,0)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SUMPRODUCT((MONTH(뱅샐입력!A$4:A$3003)=12)*(YEAR(뱅샐입력!A$4:A$3003)=설정!C3)*(뱅샐입력!C$4:C$3003="지출")*(뱅샐입력!D$4:D$3003=A20)*ABS(뱅샐입력!G$4:G$3003))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IFERROR('11월'!F20,0)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SUMPRODUCT((MONTH(뱅샐입력!A$4:A$3003)=12)*(YEAR(뱅샐입력!A$4:A$3003)=설정!C3)*(뱅샐입력!C$4:C$3003="지출")*(뱅샐입력!D$4:D$3003=A21)*ABS(뱅샐입력!G$4:G$3003))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IFERROR('11월'!F21,0)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SUMPRODUCT((MONTH(뱅샐입력!A$4:A$3003)=12)*(YEAR(뱅샐입력!A$4:A$3003)=설정!C3)*(뱅샐입력!C$4:C$3003="지출")*(뱅샐입력!D$4:D$3003=A22)*ABS(뱅샐입력!G$4:G$3003))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IFERROR('11월'!F22,0)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0" max="10"/>
  </cols>
  <sheetData>
    <row r="1" ht="30" customHeight="1">
      <c r="B1" s="81" t="inlineStr">
        <is>
          <t>자산 현황</t>
        </is>
      </c>
    </row>
    <row r="2" ht="22" customHeight="1">
      <c r="B2" s="26" t="inlineStr">
        <is>
          <t>※ 계좌 잔액, 주식, 코인, 퇴직금은 직접 입력하세요.</t>
        </is>
      </c>
    </row>
    <row r="3" ht="22" customHeight="1"/>
    <row r="4" ht="22" customHeight="1">
      <c r="B4" s="56" t="inlineStr">
        <is>
          <t>항목</t>
        </is>
      </c>
      <c r="C4" s="57" t="inlineStr">
        <is>
          <t>금액</t>
        </is>
      </c>
      <c r="D4" s="56" t="inlineStr">
        <is>
          <t>비고</t>
        </is>
      </c>
    </row>
    <row r="5" ht="22" customHeight="1">
      <c r="B5" s="82" t="inlineStr">
        <is>
          <t>[ 자산 ]</t>
        </is>
      </c>
      <c r="C5" s="10" t="n"/>
      <c r="D5" s="11" t="n"/>
    </row>
    <row r="6" ht="22" customHeight="1">
      <c r="B6" s="83" t="inlineStr">
        <is>
          <t>부동산</t>
        </is>
      </c>
      <c r="C6" s="84" t="n">
        <v>900000000</v>
      </c>
      <c r="D6" s="83" t="inlineStr">
        <is>
          <t>기흥역센트럴푸르지오</t>
        </is>
      </c>
    </row>
    <row r="7" ht="22" customHeight="1">
      <c r="B7" s="65" t="inlineStr">
        <is>
          <t>계좌(KB)</t>
        </is>
      </c>
      <c r="C7" s="85" t="n">
        <v>0</v>
      </c>
      <c r="D7" s="65" t="inlineStr">
        <is>
          <t>직접 입력</t>
        </is>
      </c>
    </row>
    <row r="8" ht="22" customHeight="1">
      <c r="B8" s="83" t="inlineStr">
        <is>
          <t>계좌(토스)</t>
        </is>
      </c>
      <c r="C8" s="84" t="n">
        <v>0</v>
      </c>
      <c r="D8" s="83" t="inlineStr">
        <is>
          <t>직접 입력</t>
        </is>
      </c>
    </row>
    <row r="9" ht="22" customHeight="1">
      <c r="B9" s="65" t="inlineStr">
        <is>
          <t>계좌(기타)</t>
        </is>
      </c>
      <c r="C9" s="85" t="n">
        <v>0</v>
      </c>
      <c r="D9" s="65" t="inlineStr">
        <is>
          <t>직접 입력</t>
        </is>
      </c>
    </row>
    <row r="10" ht="22" customHeight="1">
      <c r="B10" s="83" t="inlineStr">
        <is>
          <t>주식</t>
        </is>
      </c>
      <c r="C10" s="84" t="n">
        <v>0</v>
      </c>
      <c r="D10" s="83" t="inlineStr">
        <is>
          <t>삼성증권 등</t>
        </is>
      </c>
    </row>
    <row r="11" ht="22" customHeight="1">
      <c r="B11" s="65" t="inlineStr">
        <is>
          <t>코인</t>
        </is>
      </c>
      <c r="C11" s="85" t="n">
        <v>0</v>
      </c>
      <c r="D11" s="65" t="inlineStr">
        <is>
          <t>직접 입력</t>
        </is>
      </c>
    </row>
    <row r="12" ht="22" customHeight="1">
      <c r="B12" s="83" t="inlineStr">
        <is>
          <t>퇴직금(예상)</t>
        </is>
      </c>
      <c r="C12" s="84" t="n">
        <v>0</v>
      </c>
      <c r="D12" s="83" t="inlineStr">
        <is>
          <t>직접 입력</t>
        </is>
      </c>
    </row>
    <row r="13" ht="22" customHeight="1">
      <c r="B13" s="65" t="inlineStr">
        <is>
          <t>현금</t>
        </is>
      </c>
      <c r="C13" s="85" t="n">
        <v>0</v>
      </c>
      <c r="D13" s="65" t="inlineStr">
        <is>
          <t>직접 입력</t>
        </is>
      </c>
    </row>
    <row r="14" ht="22" customHeight="1">
      <c r="B14" s="86" t="inlineStr">
        <is>
          <t>총 자산</t>
        </is>
      </c>
      <c r="C14" s="87">
        <f>C6+C7+C8+C9+C10+C11+C12+C13</f>
        <v/>
      </c>
      <c r="D14" s="88" t="inlineStr"/>
    </row>
    <row r="15" ht="22" customHeight="1"/>
    <row r="16" ht="22" customHeight="1">
      <c r="B16" s="89" t="inlineStr">
        <is>
          <t>[ 부채 ]</t>
        </is>
      </c>
      <c r="C16" s="10" t="n"/>
      <c r="D16" s="11" t="n"/>
    </row>
    <row r="17" ht="22" customHeight="1">
      <c r="B17" s="90" t="inlineStr">
        <is>
          <t>대출잔액</t>
        </is>
      </c>
      <c r="C17" s="91" t="n">
        <v>0</v>
      </c>
      <c r="D17" s="90" t="inlineStr">
        <is>
          <t>디딤돌대출 등</t>
        </is>
      </c>
    </row>
    <row r="18" ht="22" customHeight="1">
      <c r="B18" s="65" t="inlineStr">
        <is>
          <t>기타부채</t>
        </is>
      </c>
      <c r="C18" s="85" t="n">
        <v>0</v>
      </c>
      <c r="D18" s="65" t="inlineStr">
        <is>
          <t>직접 입력</t>
        </is>
      </c>
    </row>
    <row r="19" ht="22" customHeight="1">
      <c r="B19" s="92" t="inlineStr">
        <is>
          <t>총 부채</t>
        </is>
      </c>
      <c r="C19" s="87">
        <f>C17+C18</f>
        <v/>
      </c>
      <c r="D19" s="88" t="inlineStr"/>
    </row>
    <row r="20" ht="22" customHeight="1"/>
    <row r="21" ht="22" customHeight="1">
      <c r="B21" s="93" t="inlineStr">
        <is>
          <t>순 자산 (자산 - 부채)</t>
        </is>
      </c>
      <c r="C21" s="94">
        <f>C14-C19</f>
        <v/>
      </c>
      <c r="D21" s="93" t="n"/>
    </row>
    <row r="22" ht="22" customHeight="1"/>
    <row r="23" ht="24" customHeight="1">
      <c r="B23" s="55" t="inlineStr">
        <is>
          <t>월별 자산 추이  (매월 말 업데이트)</t>
        </is>
      </c>
      <c r="C23" s="10" t="n"/>
      <c r="D23" s="10" t="n"/>
      <c r="E23" s="10" t="n"/>
      <c r="F23" s="10" t="n"/>
      <c r="G23" s="10" t="n"/>
      <c r="H23" s="10" t="n"/>
      <c r="I23" s="11" t="n"/>
    </row>
    <row r="24" ht="14" customHeight="1">
      <c r="B24" s="26" t="inlineStr">
        <is>
          <t>※ 부동산·계좌합계·주식·코인·퇴직금은 매월 직접 입력하세요. 대출잔액은 대출상환 시트에서 자동 참조됩니다.</t>
        </is>
      </c>
    </row>
    <row r="25" ht="22" customHeight="1">
      <c r="B25" s="56" t="inlineStr">
        <is>
          <t>월</t>
        </is>
      </c>
      <c r="C25" s="59" t="inlineStr">
        <is>
          <t>부동산</t>
        </is>
      </c>
      <c r="D25" s="57" t="inlineStr">
        <is>
          <t>계좌합계</t>
        </is>
      </c>
      <c r="E25" s="59" t="inlineStr">
        <is>
          <t>주식</t>
        </is>
      </c>
      <c r="F25" s="59" t="inlineStr">
        <is>
          <t>코인</t>
        </is>
      </c>
      <c r="G25" s="59" t="inlineStr">
        <is>
          <t>퇴직금</t>
        </is>
      </c>
      <c r="H25" s="58" t="inlineStr">
        <is>
          <t>대출잔액</t>
        </is>
      </c>
      <c r="I25" s="56" t="inlineStr">
        <is>
          <t>순자산</t>
        </is>
      </c>
    </row>
    <row r="26" ht="21" customHeight="1">
      <c r="B26" s="61" t="inlineStr">
        <is>
          <t>1월</t>
        </is>
      </c>
      <c r="C26" s="85" t="n">
        <v>0</v>
      </c>
      <c r="D26" s="85" t="n">
        <v>0</v>
      </c>
      <c r="E26" s="85" t="n">
        <v>0</v>
      </c>
      <c r="F26" s="85" t="n">
        <v>0</v>
      </c>
      <c r="G26" s="85" t="n">
        <v>0</v>
      </c>
      <c r="H26" s="95" t="n">
        <v>0</v>
      </c>
      <c r="I26" s="96">
        <f>C26+D26+E26+F26+G26-H26</f>
        <v/>
      </c>
    </row>
    <row r="27" ht="21" customHeight="1">
      <c r="B27" s="66" t="inlineStr">
        <is>
          <t>2월</t>
        </is>
      </c>
      <c r="C27" s="97" t="n">
        <v>0</v>
      </c>
      <c r="D27" s="97" t="n">
        <v>0</v>
      </c>
      <c r="E27" s="97" t="n">
        <v>0</v>
      </c>
      <c r="F27" s="97" t="n">
        <v>0</v>
      </c>
      <c r="G27" s="97" t="n">
        <v>0</v>
      </c>
      <c r="H27" s="95" t="n">
        <v>0</v>
      </c>
      <c r="I27" s="98">
        <f>C27+D27+E27+F27+G27-H27</f>
        <v/>
      </c>
    </row>
    <row r="28" ht="21" customHeight="1">
      <c r="B28" s="61" t="inlineStr">
        <is>
          <t>3월</t>
        </is>
      </c>
      <c r="C28" s="85" t="n">
        <v>0</v>
      </c>
      <c r="D28" s="85" t="n">
        <v>0</v>
      </c>
      <c r="E28" s="85" t="n">
        <v>0</v>
      </c>
      <c r="F28" s="85" t="n">
        <v>0</v>
      </c>
      <c r="G28" s="85" t="n">
        <v>0</v>
      </c>
      <c r="H28" s="95">
        <f>'대출상환'!$C$5</f>
        <v/>
      </c>
      <c r="I28" s="96">
        <f>C28+D28+E28+F28+G28-H28</f>
        <v/>
      </c>
    </row>
    <row r="29" ht="21" customHeight="1">
      <c r="B29" s="66" t="inlineStr">
        <is>
          <t>4월</t>
        </is>
      </c>
      <c r="C29" s="97" t="n">
        <v>0</v>
      </c>
      <c r="D29" s="97" t="n">
        <v>0</v>
      </c>
      <c r="E29" s="97" t="n">
        <v>0</v>
      </c>
      <c r="F29" s="97" t="n">
        <v>0</v>
      </c>
      <c r="G29" s="97" t="n">
        <v>0</v>
      </c>
      <c r="H29" s="95">
        <f>IFERROR('대출상환'!$H$67,0)</f>
        <v/>
      </c>
      <c r="I29" s="98">
        <f>C29+D29+E29+F29+G29-H29</f>
        <v/>
      </c>
    </row>
    <row r="30" ht="21" customHeight="1">
      <c r="B30" s="61" t="inlineStr">
        <is>
          <t>5월</t>
        </is>
      </c>
      <c r="C30" s="85" t="n">
        <v>0</v>
      </c>
      <c r="D30" s="85" t="n">
        <v>0</v>
      </c>
      <c r="E30" s="85" t="n">
        <v>0</v>
      </c>
      <c r="F30" s="85" t="n">
        <v>0</v>
      </c>
      <c r="G30" s="85" t="n">
        <v>0</v>
      </c>
      <c r="H30" s="95">
        <f>IFERROR('대출상환'!$H$68,0)</f>
        <v/>
      </c>
      <c r="I30" s="96">
        <f>C30+D30+E30+F30+G30-H30</f>
        <v/>
      </c>
    </row>
    <row r="31" ht="21" customHeight="1">
      <c r="B31" s="66" t="inlineStr">
        <is>
          <t>6월</t>
        </is>
      </c>
      <c r="C31" s="97" t="n">
        <v>0</v>
      </c>
      <c r="D31" s="97" t="n">
        <v>0</v>
      </c>
      <c r="E31" s="97" t="n">
        <v>0</v>
      </c>
      <c r="F31" s="97" t="n">
        <v>0</v>
      </c>
      <c r="G31" s="97" t="n">
        <v>0</v>
      </c>
      <c r="H31" s="95">
        <f>IFERROR('대출상환'!$H$69,0)</f>
        <v/>
      </c>
      <c r="I31" s="98">
        <f>C31+D31+E31+F31+G31-H31</f>
        <v/>
      </c>
    </row>
    <row r="32" ht="21" customHeight="1">
      <c r="B32" s="61" t="inlineStr">
        <is>
          <t>7월</t>
        </is>
      </c>
      <c r="C32" s="85" t="n">
        <v>0</v>
      </c>
      <c r="D32" s="85" t="n">
        <v>0</v>
      </c>
      <c r="E32" s="85" t="n">
        <v>0</v>
      </c>
      <c r="F32" s="85" t="n">
        <v>0</v>
      </c>
      <c r="G32" s="85" t="n">
        <v>0</v>
      </c>
      <c r="H32" s="95">
        <f>IFERROR('대출상환'!$H$70,0)</f>
        <v/>
      </c>
      <c r="I32" s="96">
        <f>C32+D32+E32+F32+G32-H32</f>
        <v/>
      </c>
    </row>
    <row r="33" ht="21" customHeight="1">
      <c r="B33" s="66" t="inlineStr">
        <is>
          <t>8월</t>
        </is>
      </c>
      <c r="C33" s="97" t="n">
        <v>0</v>
      </c>
      <c r="D33" s="97" t="n">
        <v>0</v>
      </c>
      <c r="E33" s="97" t="n">
        <v>0</v>
      </c>
      <c r="F33" s="97" t="n">
        <v>0</v>
      </c>
      <c r="G33" s="97" t="n">
        <v>0</v>
      </c>
      <c r="H33" s="95">
        <f>IFERROR('대출상환'!$H$71,0)</f>
        <v/>
      </c>
      <c r="I33" s="98">
        <f>C33+D33+E33+F33+G33-H33</f>
        <v/>
      </c>
    </row>
    <row r="34" ht="21" customHeight="1">
      <c r="B34" s="61" t="inlineStr">
        <is>
          <t>9월</t>
        </is>
      </c>
      <c r="C34" s="85" t="n">
        <v>0</v>
      </c>
      <c r="D34" s="85" t="n">
        <v>0</v>
      </c>
      <c r="E34" s="85" t="n">
        <v>0</v>
      </c>
      <c r="F34" s="85" t="n">
        <v>0</v>
      </c>
      <c r="G34" s="85" t="n">
        <v>0</v>
      </c>
      <c r="H34" s="95">
        <f>IFERROR('대출상환'!$H$72,0)</f>
        <v/>
      </c>
      <c r="I34" s="96">
        <f>C34+D34+E34+F34+G34-H34</f>
        <v/>
      </c>
    </row>
    <row r="35" ht="21" customHeight="1">
      <c r="B35" s="66" t="inlineStr">
        <is>
          <t>10월</t>
        </is>
      </c>
      <c r="C35" s="97" t="n">
        <v>0</v>
      </c>
      <c r="D35" s="97" t="n">
        <v>0</v>
      </c>
      <c r="E35" s="97" t="n">
        <v>0</v>
      </c>
      <c r="F35" s="97" t="n">
        <v>0</v>
      </c>
      <c r="G35" s="97" t="n">
        <v>0</v>
      </c>
      <c r="H35" s="95">
        <f>IFERROR('대출상환'!$H$73,0)</f>
        <v/>
      </c>
      <c r="I35" s="98">
        <f>C35+D35+E35+F35+G35-H35</f>
        <v/>
      </c>
    </row>
    <row r="36" ht="21" customHeight="1">
      <c r="B36" s="61" t="inlineStr">
        <is>
          <t>11월</t>
        </is>
      </c>
      <c r="C36" s="85" t="n">
        <v>0</v>
      </c>
      <c r="D36" s="85" t="n">
        <v>0</v>
      </c>
      <c r="E36" s="85" t="n">
        <v>0</v>
      </c>
      <c r="F36" s="85" t="n">
        <v>0</v>
      </c>
      <c r="G36" s="85" t="n">
        <v>0</v>
      </c>
      <c r="H36" s="95">
        <f>IFERROR('대출상환'!$H$74,0)</f>
        <v/>
      </c>
      <c r="I36" s="96">
        <f>C36+D36+E36+F36+G36-H36</f>
        <v/>
      </c>
    </row>
    <row r="37" ht="21" customHeight="1">
      <c r="B37" s="66" t="inlineStr">
        <is>
          <t>12월</t>
        </is>
      </c>
      <c r="C37" s="97" t="n">
        <v>0</v>
      </c>
      <c r="D37" s="97" t="n">
        <v>0</v>
      </c>
      <c r="E37" s="97" t="n">
        <v>0</v>
      </c>
      <c r="F37" s="97" t="n">
        <v>0</v>
      </c>
      <c r="G37" s="97" t="n">
        <v>0</v>
      </c>
      <c r="H37" s="95">
        <f>IFERROR('대출상환'!$H$75,0)</f>
        <v/>
      </c>
      <c r="I37" s="98">
        <f>C37+D37+E37+F37+G37-H37</f>
        <v/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6">
    <mergeCell ref="B5:D5"/>
    <mergeCell ref="B24:I24"/>
    <mergeCell ref="B2:I2"/>
    <mergeCell ref="B23:I23"/>
    <mergeCell ref="B1:I1"/>
    <mergeCell ref="B16:D16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74">
        <f>설정!C3&amp;"년 결제수단별 지출"</f>
        <v/>
      </c>
    </row>
    <row r="2" ht="14" customHeight="1">
      <c r="A2" s="35" t="inlineStr">
        <is>
          <t>※ 뱅샐입력 붙여넣기 후 자동 집계 (지출 타입만, 이체 제외). 카드·계좌 추가 시 자동 반영.</t>
        </is>
      </c>
    </row>
    <row r="4" ht="22" customHeight="1">
      <c r="A4" s="27" t="inlineStr">
        <is>
          <t>결제수단</t>
        </is>
      </c>
      <c r="B4" s="27" t="inlineStr">
        <is>
          <t>연간 합계</t>
        </is>
      </c>
      <c r="C4" s="27" t="inlineStr">
        <is>
          <t>1월</t>
        </is>
      </c>
      <c r="D4" s="27" t="inlineStr">
        <is>
          <t>2월</t>
        </is>
      </c>
      <c r="E4" s="27" t="inlineStr">
        <is>
          <t>3월</t>
        </is>
      </c>
      <c r="F4" s="27" t="inlineStr">
        <is>
          <t>4월</t>
        </is>
      </c>
      <c r="G4" s="27" t="inlineStr">
        <is>
          <t>5월</t>
        </is>
      </c>
      <c r="H4" s="27" t="inlineStr">
        <is>
          <t>6월</t>
        </is>
      </c>
      <c r="I4" s="27" t="inlineStr">
        <is>
          <t>7월</t>
        </is>
      </c>
      <c r="J4" s="27" t="inlineStr">
        <is>
          <t>8월</t>
        </is>
      </c>
      <c r="K4" s="27" t="inlineStr">
        <is>
          <t>9월</t>
        </is>
      </c>
      <c r="L4" s="27" t="inlineStr">
        <is>
          <t>10월</t>
        </is>
      </c>
      <c r="M4" s="27" t="inlineStr">
        <is>
          <t>11월</t>
        </is>
      </c>
      <c r="N4" s="27" t="inlineStr">
        <is>
          <t>12월</t>
        </is>
      </c>
    </row>
    <row r="5" ht="20" customHeight="1">
      <c r="A5" s="99">
        <f>IFERROR(UNIQUE(FILTER(뱅샐입력!I$4:I$3003,(뱅샐입력!I$4:I$3003&lt;&gt;"")*(뱅샐입력!C$4:C$3003="지출")*(YEAR(뱅샐입력!A$4:A$3003)=설정!C3))),"")</f>
        <v/>
      </c>
      <c r="B5" s="100">
        <f>IFERROR(IF(A5="","",SUMPRODUCT((뱅샐입력!I$4:I$3003=A5)*(YEAR(뱅샐입력!A$4:A$3003)=설정!C3)*(뱅샐입력!C$4:C$3003="지출")*ABS(뱅샐입력!G$4:G$3003))),0)</f>
        <v/>
      </c>
      <c r="C5" s="100">
        <f>IFERROR(IF(A5="","",SUMPRODUCT((뱅샐입력!I$4:I$3003=A5)*(MONTH(뱅샐입력!A$4:A$3003)=1)*(YEAR(뱅샐입력!A$4:A$3003)=설정!C3)*(뱅샐입력!C$4:C$3003="지출")*ABS(뱅샐입력!G$4:G$3003))),0)</f>
        <v/>
      </c>
      <c r="D5" s="100">
        <f>IFERROR(IF(A5="","",SUMPRODUCT((뱅샐입력!I$4:I$3003=A5)*(MONTH(뱅샐입력!A$4:A$3003)=2)*(YEAR(뱅샐입력!A$4:A$3003)=설정!C3)*(뱅샐입력!C$4:C$3003="지출")*ABS(뱅샐입력!G$4:G$3003))),0)</f>
        <v/>
      </c>
      <c r="E5" s="100">
        <f>IFERROR(IF(A5="","",SUMPRODUCT((뱅샐입력!I$4:I$3003=A5)*(MONTH(뱅샐입력!A$4:A$3003)=3)*(YEAR(뱅샐입력!A$4:A$3003)=설정!C3)*(뱅샐입력!C$4:C$3003="지출")*ABS(뱅샐입력!G$4:G$3003))),0)</f>
        <v/>
      </c>
      <c r="F5" s="100">
        <f>IFERROR(IF(A5="","",SUMPRODUCT((뱅샐입력!I$4:I$3003=A5)*(MONTH(뱅샐입력!A$4:A$3003)=4)*(YEAR(뱅샐입력!A$4:A$3003)=설정!C3)*(뱅샐입력!C$4:C$3003="지출")*ABS(뱅샐입력!G$4:G$3003))),0)</f>
        <v/>
      </c>
      <c r="G5" s="100">
        <f>IFERROR(IF(A5="","",SUMPRODUCT((뱅샐입력!I$4:I$3003=A5)*(MONTH(뱅샐입력!A$4:A$3003)=5)*(YEAR(뱅샐입력!A$4:A$3003)=설정!C3)*(뱅샐입력!C$4:C$3003="지출")*ABS(뱅샐입력!G$4:G$3003))),0)</f>
        <v/>
      </c>
      <c r="H5" s="100">
        <f>IFERROR(IF(A5="","",SUMPRODUCT((뱅샐입력!I$4:I$3003=A5)*(MONTH(뱅샐입력!A$4:A$3003)=6)*(YEAR(뱅샐입력!A$4:A$3003)=설정!C3)*(뱅샐입력!C$4:C$3003="지출")*ABS(뱅샐입력!G$4:G$3003))),0)</f>
        <v/>
      </c>
      <c r="I5" s="100">
        <f>IFERROR(IF(A5="","",SUMPRODUCT((뱅샐입력!I$4:I$3003=A5)*(MONTH(뱅샐입력!A$4:A$3003)=7)*(YEAR(뱅샐입력!A$4:A$3003)=설정!C3)*(뱅샐입력!C$4:C$3003="지출")*ABS(뱅샐입력!G$4:G$3003))),0)</f>
        <v/>
      </c>
      <c r="J5" s="100">
        <f>IFERROR(IF(A5="","",SUMPRODUCT((뱅샐입력!I$4:I$3003=A5)*(MONTH(뱅샐입력!A$4:A$3003)=8)*(YEAR(뱅샐입력!A$4:A$3003)=설정!C3)*(뱅샐입력!C$4:C$3003="지출")*ABS(뱅샐입력!G$4:G$3003))),0)</f>
        <v/>
      </c>
      <c r="K5" s="100">
        <f>IFERROR(IF(A5="","",SUMPRODUCT((뱅샐입력!I$4:I$3003=A5)*(MONTH(뱅샐입력!A$4:A$3003)=9)*(YEAR(뱅샐입력!A$4:A$3003)=설정!C3)*(뱅샐입력!C$4:C$3003="지출")*ABS(뱅샐입력!G$4:G$3003))),0)</f>
        <v/>
      </c>
      <c r="L5" s="100">
        <f>IFERROR(IF(A5="","",SUMPRODUCT((뱅샐입력!I$4:I$3003=A5)*(MONTH(뱅샐입력!A$4:A$3003)=10)*(YEAR(뱅샐입력!A$4:A$3003)=설정!C3)*(뱅샐입력!C$4:C$3003="지출")*ABS(뱅샐입력!G$4:G$3003))),0)</f>
        <v/>
      </c>
      <c r="M5" s="100">
        <f>IFERROR(IF(A5="","",SUMPRODUCT((뱅샐입력!I$4:I$3003=A5)*(MONTH(뱅샐입력!A$4:A$3003)=11)*(YEAR(뱅샐입력!A$4:A$3003)=설정!C3)*(뱅샐입력!C$4:C$3003="지출")*ABS(뱅샐입력!G$4:G$3003))),0)</f>
        <v/>
      </c>
      <c r="N5" s="100">
        <f>IFERROR(IF(A5="","",SUMPRODUCT((뱅샐입력!I$4:I$3003=A5)*(MONTH(뱅샐입력!A$4:A$3003)=12)*(YEAR(뱅샐입력!A$4:A$3003)=설정!C3)*(뱅샐입력!C$4:C$3003="지출")*ABS(뱅샐입력!G$4:G$3003))),0)</f>
        <v/>
      </c>
    </row>
    <row r="6" ht="20" customHeight="1">
      <c r="A6" s="101" t="n"/>
      <c r="B6" s="49">
        <f>IFERROR(IF(A6="","",SUMPRODUCT((뱅샐입력!I$4:I$3003=A6)*(YEAR(뱅샐입력!A$4:A$3003)=설정!C3)*(뱅샐입력!C$4:C$3003="지출")*ABS(뱅샐입력!G$4:G$3003))),0)</f>
        <v/>
      </c>
      <c r="C6" s="49">
        <f>IFERROR(IF(A6="","",SUMPRODUCT((뱅샐입력!I$4:I$3003=A6)*(MONTH(뱅샐입력!A$4:A$3003)=1)*(YEAR(뱅샐입력!A$4:A$3003)=설정!C3)*(뱅샐입력!C$4:C$3003="지출")*ABS(뱅샐입력!G$4:G$3003))),0)</f>
        <v/>
      </c>
      <c r="D6" s="49">
        <f>IFERROR(IF(A6="","",SUMPRODUCT((뱅샐입력!I$4:I$3003=A6)*(MONTH(뱅샐입력!A$4:A$3003)=2)*(YEAR(뱅샐입력!A$4:A$3003)=설정!C3)*(뱅샐입력!C$4:C$3003="지출")*ABS(뱅샐입력!G$4:G$3003))),0)</f>
        <v/>
      </c>
      <c r="E6" s="49">
        <f>IFERROR(IF(A6="","",SUMPRODUCT((뱅샐입력!I$4:I$3003=A6)*(MONTH(뱅샐입력!A$4:A$3003)=3)*(YEAR(뱅샐입력!A$4:A$3003)=설정!C3)*(뱅샐입력!C$4:C$3003="지출")*ABS(뱅샐입력!G$4:G$3003))),0)</f>
        <v/>
      </c>
      <c r="F6" s="49">
        <f>IFERROR(IF(A6="","",SUMPRODUCT((뱅샐입력!I$4:I$3003=A6)*(MONTH(뱅샐입력!A$4:A$3003)=4)*(YEAR(뱅샐입력!A$4:A$3003)=설정!C3)*(뱅샐입력!C$4:C$3003="지출")*ABS(뱅샐입력!G$4:G$3003))),0)</f>
        <v/>
      </c>
      <c r="G6" s="49">
        <f>IFERROR(IF(A6="","",SUMPRODUCT((뱅샐입력!I$4:I$3003=A6)*(MONTH(뱅샐입력!A$4:A$3003)=5)*(YEAR(뱅샐입력!A$4:A$3003)=설정!C3)*(뱅샐입력!C$4:C$3003="지출")*ABS(뱅샐입력!G$4:G$3003))),0)</f>
        <v/>
      </c>
      <c r="H6" s="49">
        <f>IFERROR(IF(A6="","",SUMPRODUCT((뱅샐입력!I$4:I$3003=A6)*(MONTH(뱅샐입력!A$4:A$3003)=6)*(YEAR(뱅샐입력!A$4:A$3003)=설정!C3)*(뱅샐입력!C$4:C$3003="지출")*ABS(뱅샐입력!G$4:G$3003))),0)</f>
        <v/>
      </c>
      <c r="I6" s="49">
        <f>IFERROR(IF(A6="","",SUMPRODUCT((뱅샐입력!I$4:I$3003=A6)*(MONTH(뱅샐입력!A$4:A$3003)=7)*(YEAR(뱅샐입력!A$4:A$3003)=설정!C3)*(뱅샐입력!C$4:C$3003="지출")*ABS(뱅샐입력!G$4:G$3003))),0)</f>
        <v/>
      </c>
      <c r="J6" s="49">
        <f>IFERROR(IF(A6="","",SUMPRODUCT((뱅샐입력!I$4:I$3003=A6)*(MONTH(뱅샐입력!A$4:A$3003)=8)*(YEAR(뱅샐입력!A$4:A$3003)=설정!C3)*(뱅샐입력!C$4:C$3003="지출")*ABS(뱅샐입력!G$4:G$3003))),0)</f>
        <v/>
      </c>
      <c r="K6" s="49">
        <f>IFERROR(IF(A6="","",SUMPRODUCT((뱅샐입력!I$4:I$3003=A6)*(MONTH(뱅샐입력!A$4:A$3003)=9)*(YEAR(뱅샐입력!A$4:A$3003)=설정!C3)*(뱅샐입력!C$4:C$3003="지출")*ABS(뱅샐입력!G$4:G$3003))),0)</f>
        <v/>
      </c>
      <c r="L6" s="49">
        <f>IFERROR(IF(A6="","",SUMPRODUCT((뱅샐입력!I$4:I$3003=A6)*(MONTH(뱅샐입력!A$4:A$3003)=10)*(YEAR(뱅샐입력!A$4:A$3003)=설정!C3)*(뱅샐입력!C$4:C$3003="지출")*ABS(뱅샐입력!G$4:G$3003))),0)</f>
        <v/>
      </c>
      <c r="M6" s="49">
        <f>IFERROR(IF(A6="","",SUMPRODUCT((뱅샐입력!I$4:I$3003=A6)*(MONTH(뱅샐입력!A$4:A$3003)=11)*(YEAR(뱅샐입력!A$4:A$3003)=설정!C3)*(뱅샐입력!C$4:C$3003="지출")*ABS(뱅샐입력!G$4:G$3003))),0)</f>
        <v/>
      </c>
      <c r="N6" s="49">
        <f>IFERROR(IF(A6="","",SUMPRODUCT((뱅샐입력!I$4:I$3003=A6)*(MONTH(뱅샐입력!A$4:A$3003)=12)*(YEAR(뱅샐입력!A$4:A$3003)=설정!C3)*(뱅샐입력!C$4:C$3003="지출")*ABS(뱅샐입력!G$4:G$3003))),0)</f>
        <v/>
      </c>
    </row>
    <row r="7" ht="20" customHeight="1">
      <c r="A7" s="99" t="n"/>
      <c r="B7" s="100">
        <f>IFERROR(IF(A7="","",SUMPRODUCT((뱅샐입력!I$4:I$3003=A7)*(YEAR(뱅샐입력!A$4:A$3003)=설정!C3)*(뱅샐입력!C$4:C$3003="지출")*ABS(뱅샐입력!G$4:G$3003))),0)</f>
        <v/>
      </c>
      <c r="C7" s="100">
        <f>IFERROR(IF(A7="","",SUMPRODUCT((뱅샐입력!I$4:I$3003=A7)*(MONTH(뱅샐입력!A$4:A$3003)=1)*(YEAR(뱅샐입력!A$4:A$3003)=설정!C3)*(뱅샐입력!C$4:C$3003="지출")*ABS(뱅샐입력!G$4:G$3003))),0)</f>
        <v/>
      </c>
      <c r="D7" s="100">
        <f>IFERROR(IF(A7="","",SUMPRODUCT((뱅샐입력!I$4:I$3003=A7)*(MONTH(뱅샐입력!A$4:A$3003)=2)*(YEAR(뱅샐입력!A$4:A$3003)=설정!C3)*(뱅샐입력!C$4:C$3003="지출")*ABS(뱅샐입력!G$4:G$3003))),0)</f>
        <v/>
      </c>
      <c r="E7" s="100">
        <f>IFERROR(IF(A7="","",SUMPRODUCT((뱅샐입력!I$4:I$3003=A7)*(MONTH(뱅샐입력!A$4:A$3003)=3)*(YEAR(뱅샐입력!A$4:A$3003)=설정!C3)*(뱅샐입력!C$4:C$3003="지출")*ABS(뱅샐입력!G$4:G$3003))),0)</f>
        <v/>
      </c>
      <c r="F7" s="100">
        <f>IFERROR(IF(A7="","",SUMPRODUCT((뱅샐입력!I$4:I$3003=A7)*(MONTH(뱅샐입력!A$4:A$3003)=4)*(YEAR(뱅샐입력!A$4:A$3003)=설정!C3)*(뱅샐입력!C$4:C$3003="지출")*ABS(뱅샐입력!G$4:G$3003))),0)</f>
        <v/>
      </c>
      <c r="G7" s="100">
        <f>IFERROR(IF(A7="","",SUMPRODUCT((뱅샐입력!I$4:I$3003=A7)*(MONTH(뱅샐입력!A$4:A$3003)=5)*(YEAR(뱅샐입력!A$4:A$3003)=설정!C3)*(뱅샐입력!C$4:C$3003="지출")*ABS(뱅샐입력!G$4:G$3003))),0)</f>
        <v/>
      </c>
      <c r="H7" s="100">
        <f>IFERROR(IF(A7="","",SUMPRODUCT((뱅샐입력!I$4:I$3003=A7)*(MONTH(뱅샐입력!A$4:A$3003)=6)*(YEAR(뱅샐입력!A$4:A$3003)=설정!C3)*(뱅샐입력!C$4:C$3003="지출")*ABS(뱅샐입력!G$4:G$3003))),0)</f>
        <v/>
      </c>
      <c r="I7" s="100">
        <f>IFERROR(IF(A7="","",SUMPRODUCT((뱅샐입력!I$4:I$3003=A7)*(MONTH(뱅샐입력!A$4:A$3003)=7)*(YEAR(뱅샐입력!A$4:A$3003)=설정!C3)*(뱅샐입력!C$4:C$3003="지출")*ABS(뱅샐입력!G$4:G$3003))),0)</f>
        <v/>
      </c>
      <c r="J7" s="100">
        <f>IFERROR(IF(A7="","",SUMPRODUCT((뱅샐입력!I$4:I$3003=A7)*(MONTH(뱅샐입력!A$4:A$3003)=8)*(YEAR(뱅샐입력!A$4:A$3003)=설정!C3)*(뱅샐입력!C$4:C$3003="지출")*ABS(뱅샐입력!G$4:G$3003))),0)</f>
        <v/>
      </c>
      <c r="K7" s="100">
        <f>IFERROR(IF(A7="","",SUMPRODUCT((뱅샐입력!I$4:I$3003=A7)*(MONTH(뱅샐입력!A$4:A$3003)=9)*(YEAR(뱅샐입력!A$4:A$3003)=설정!C3)*(뱅샐입력!C$4:C$3003="지출")*ABS(뱅샐입력!G$4:G$3003))),0)</f>
        <v/>
      </c>
      <c r="L7" s="100">
        <f>IFERROR(IF(A7="","",SUMPRODUCT((뱅샐입력!I$4:I$3003=A7)*(MONTH(뱅샐입력!A$4:A$3003)=10)*(YEAR(뱅샐입력!A$4:A$3003)=설정!C3)*(뱅샐입력!C$4:C$3003="지출")*ABS(뱅샐입력!G$4:G$3003))),0)</f>
        <v/>
      </c>
      <c r="M7" s="100">
        <f>IFERROR(IF(A7="","",SUMPRODUCT((뱅샐입력!I$4:I$3003=A7)*(MONTH(뱅샐입력!A$4:A$3003)=11)*(YEAR(뱅샐입력!A$4:A$3003)=설정!C3)*(뱅샐입력!C$4:C$3003="지출")*ABS(뱅샐입력!G$4:G$3003))),0)</f>
        <v/>
      </c>
      <c r="N7" s="100">
        <f>IFERROR(IF(A7="","",SUMPRODUCT((뱅샐입력!I$4:I$3003=A7)*(MONTH(뱅샐입력!A$4:A$3003)=12)*(YEAR(뱅샐입력!A$4:A$3003)=설정!C3)*(뱅샐입력!C$4:C$3003="지출")*ABS(뱅샐입력!G$4:G$3003))),0)</f>
        <v/>
      </c>
    </row>
    <row r="8" ht="20" customHeight="1">
      <c r="A8" s="101" t="n"/>
      <c r="B8" s="49">
        <f>IFERROR(IF(A8="","",SUMPRODUCT((뱅샐입력!I$4:I$3003=A8)*(YEAR(뱅샐입력!A$4:A$3003)=설정!C3)*(뱅샐입력!C$4:C$3003="지출")*ABS(뱅샐입력!G$4:G$3003))),0)</f>
        <v/>
      </c>
      <c r="C8" s="49">
        <f>IFERROR(IF(A8="","",SUMPRODUCT((뱅샐입력!I$4:I$3003=A8)*(MONTH(뱅샐입력!A$4:A$3003)=1)*(YEAR(뱅샐입력!A$4:A$3003)=설정!C3)*(뱅샐입력!C$4:C$3003="지출")*ABS(뱅샐입력!G$4:G$3003))),0)</f>
        <v/>
      </c>
      <c r="D8" s="49">
        <f>IFERROR(IF(A8="","",SUMPRODUCT((뱅샐입력!I$4:I$3003=A8)*(MONTH(뱅샐입력!A$4:A$3003)=2)*(YEAR(뱅샐입력!A$4:A$3003)=설정!C3)*(뱅샐입력!C$4:C$3003="지출")*ABS(뱅샐입력!G$4:G$3003))),0)</f>
        <v/>
      </c>
      <c r="E8" s="49">
        <f>IFERROR(IF(A8="","",SUMPRODUCT((뱅샐입력!I$4:I$3003=A8)*(MONTH(뱅샐입력!A$4:A$3003)=3)*(YEAR(뱅샐입력!A$4:A$3003)=설정!C3)*(뱅샐입력!C$4:C$3003="지출")*ABS(뱅샐입력!G$4:G$3003))),0)</f>
        <v/>
      </c>
      <c r="F8" s="49">
        <f>IFERROR(IF(A8="","",SUMPRODUCT((뱅샐입력!I$4:I$3003=A8)*(MONTH(뱅샐입력!A$4:A$3003)=4)*(YEAR(뱅샐입력!A$4:A$3003)=설정!C3)*(뱅샐입력!C$4:C$3003="지출")*ABS(뱅샐입력!G$4:G$3003))),0)</f>
        <v/>
      </c>
      <c r="G8" s="49">
        <f>IFERROR(IF(A8="","",SUMPRODUCT((뱅샐입력!I$4:I$3003=A8)*(MONTH(뱅샐입력!A$4:A$3003)=5)*(YEAR(뱅샐입력!A$4:A$3003)=설정!C3)*(뱅샐입력!C$4:C$3003="지출")*ABS(뱅샐입력!G$4:G$3003))),0)</f>
        <v/>
      </c>
      <c r="H8" s="49">
        <f>IFERROR(IF(A8="","",SUMPRODUCT((뱅샐입력!I$4:I$3003=A8)*(MONTH(뱅샐입력!A$4:A$3003)=6)*(YEAR(뱅샐입력!A$4:A$3003)=설정!C3)*(뱅샐입력!C$4:C$3003="지출")*ABS(뱅샐입력!G$4:G$3003))),0)</f>
        <v/>
      </c>
      <c r="I8" s="49">
        <f>IFERROR(IF(A8="","",SUMPRODUCT((뱅샐입력!I$4:I$3003=A8)*(MONTH(뱅샐입력!A$4:A$3003)=7)*(YEAR(뱅샐입력!A$4:A$3003)=설정!C3)*(뱅샐입력!C$4:C$3003="지출")*ABS(뱅샐입력!G$4:G$3003))),0)</f>
        <v/>
      </c>
      <c r="J8" s="49">
        <f>IFERROR(IF(A8="","",SUMPRODUCT((뱅샐입력!I$4:I$3003=A8)*(MONTH(뱅샐입력!A$4:A$3003)=8)*(YEAR(뱅샐입력!A$4:A$3003)=설정!C3)*(뱅샐입력!C$4:C$3003="지출")*ABS(뱅샐입력!G$4:G$3003))),0)</f>
        <v/>
      </c>
      <c r="K8" s="49">
        <f>IFERROR(IF(A8="","",SUMPRODUCT((뱅샐입력!I$4:I$3003=A8)*(MONTH(뱅샐입력!A$4:A$3003)=9)*(YEAR(뱅샐입력!A$4:A$3003)=설정!C3)*(뱅샐입력!C$4:C$3003="지출")*ABS(뱅샐입력!G$4:G$3003))),0)</f>
        <v/>
      </c>
      <c r="L8" s="49">
        <f>IFERROR(IF(A8="","",SUMPRODUCT((뱅샐입력!I$4:I$3003=A8)*(MONTH(뱅샐입력!A$4:A$3003)=10)*(YEAR(뱅샐입력!A$4:A$3003)=설정!C3)*(뱅샐입력!C$4:C$3003="지출")*ABS(뱅샐입력!G$4:G$3003))),0)</f>
        <v/>
      </c>
      <c r="M8" s="49">
        <f>IFERROR(IF(A8="","",SUMPRODUCT((뱅샐입력!I$4:I$3003=A8)*(MONTH(뱅샐입력!A$4:A$3003)=11)*(YEAR(뱅샐입력!A$4:A$3003)=설정!C3)*(뱅샐입력!C$4:C$3003="지출")*ABS(뱅샐입력!G$4:G$3003))),0)</f>
        <v/>
      </c>
      <c r="N8" s="49">
        <f>IFERROR(IF(A8="","",SUMPRODUCT((뱅샐입력!I$4:I$3003=A8)*(MONTH(뱅샐입력!A$4:A$3003)=12)*(YEAR(뱅샐입력!A$4:A$3003)=설정!C3)*(뱅샐입력!C$4:C$3003="지출")*ABS(뱅샐입력!G$4:G$3003))),0)</f>
        <v/>
      </c>
    </row>
    <row r="9" ht="20" customHeight="1">
      <c r="A9" s="99" t="n"/>
      <c r="B9" s="100">
        <f>IFERROR(IF(A9="","",SUMPRODUCT((뱅샐입력!I$4:I$3003=A9)*(YEAR(뱅샐입력!A$4:A$3003)=설정!C3)*(뱅샐입력!C$4:C$3003="지출")*ABS(뱅샐입력!G$4:G$3003))),0)</f>
        <v/>
      </c>
      <c r="C9" s="100">
        <f>IFERROR(IF(A9="","",SUMPRODUCT((뱅샐입력!I$4:I$3003=A9)*(MONTH(뱅샐입력!A$4:A$3003)=1)*(YEAR(뱅샐입력!A$4:A$3003)=설정!C3)*(뱅샐입력!C$4:C$3003="지출")*ABS(뱅샐입력!G$4:G$3003))),0)</f>
        <v/>
      </c>
      <c r="D9" s="100">
        <f>IFERROR(IF(A9="","",SUMPRODUCT((뱅샐입력!I$4:I$3003=A9)*(MONTH(뱅샐입력!A$4:A$3003)=2)*(YEAR(뱅샐입력!A$4:A$3003)=설정!C3)*(뱅샐입력!C$4:C$3003="지출")*ABS(뱅샐입력!G$4:G$3003))),0)</f>
        <v/>
      </c>
      <c r="E9" s="100">
        <f>IFERROR(IF(A9="","",SUMPRODUCT((뱅샐입력!I$4:I$3003=A9)*(MONTH(뱅샐입력!A$4:A$3003)=3)*(YEAR(뱅샐입력!A$4:A$3003)=설정!C3)*(뱅샐입력!C$4:C$3003="지출")*ABS(뱅샐입력!G$4:G$3003))),0)</f>
        <v/>
      </c>
      <c r="F9" s="100">
        <f>IFERROR(IF(A9="","",SUMPRODUCT((뱅샐입력!I$4:I$3003=A9)*(MONTH(뱅샐입력!A$4:A$3003)=4)*(YEAR(뱅샐입력!A$4:A$3003)=설정!C3)*(뱅샐입력!C$4:C$3003="지출")*ABS(뱅샐입력!G$4:G$3003))),0)</f>
        <v/>
      </c>
      <c r="G9" s="100">
        <f>IFERROR(IF(A9="","",SUMPRODUCT((뱅샐입력!I$4:I$3003=A9)*(MONTH(뱅샐입력!A$4:A$3003)=5)*(YEAR(뱅샐입력!A$4:A$3003)=설정!C3)*(뱅샐입력!C$4:C$3003="지출")*ABS(뱅샐입력!G$4:G$3003))),0)</f>
        <v/>
      </c>
      <c r="H9" s="100">
        <f>IFERROR(IF(A9="","",SUMPRODUCT((뱅샐입력!I$4:I$3003=A9)*(MONTH(뱅샐입력!A$4:A$3003)=6)*(YEAR(뱅샐입력!A$4:A$3003)=설정!C3)*(뱅샐입력!C$4:C$3003="지출")*ABS(뱅샐입력!G$4:G$3003))),0)</f>
        <v/>
      </c>
      <c r="I9" s="100">
        <f>IFERROR(IF(A9="","",SUMPRODUCT((뱅샐입력!I$4:I$3003=A9)*(MONTH(뱅샐입력!A$4:A$3003)=7)*(YEAR(뱅샐입력!A$4:A$3003)=설정!C3)*(뱅샐입력!C$4:C$3003="지출")*ABS(뱅샐입력!G$4:G$3003))),0)</f>
        <v/>
      </c>
      <c r="J9" s="100">
        <f>IFERROR(IF(A9="","",SUMPRODUCT((뱅샐입력!I$4:I$3003=A9)*(MONTH(뱅샐입력!A$4:A$3003)=8)*(YEAR(뱅샐입력!A$4:A$3003)=설정!C3)*(뱅샐입력!C$4:C$3003="지출")*ABS(뱅샐입력!G$4:G$3003))),0)</f>
        <v/>
      </c>
      <c r="K9" s="100">
        <f>IFERROR(IF(A9="","",SUMPRODUCT((뱅샐입력!I$4:I$3003=A9)*(MONTH(뱅샐입력!A$4:A$3003)=9)*(YEAR(뱅샐입력!A$4:A$3003)=설정!C3)*(뱅샐입력!C$4:C$3003="지출")*ABS(뱅샐입력!G$4:G$3003))),0)</f>
        <v/>
      </c>
      <c r="L9" s="100">
        <f>IFERROR(IF(A9="","",SUMPRODUCT((뱅샐입력!I$4:I$3003=A9)*(MONTH(뱅샐입력!A$4:A$3003)=10)*(YEAR(뱅샐입력!A$4:A$3003)=설정!C3)*(뱅샐입력!C$4:C$3003="지출")*ABS(뱅샐입력!G$4:G$3003))),0)</f>
        <v/>
      </c>
      <c r="M9" s="100">
        <f>IFERROR(IF(A9="","",SUMPRODUCT((뱅샐입력!I$4:I$3003=A9)*(MONTH(뱅샐입력!A$4:A$3003)=11)*(YEAR(뱅샐입력!A$4:A$3003)=설정!C3)*(뱅샐입력!C$4:C$3003="지출")*ABS(뱅샐입력!G$4:G$3003))),0)</f>
        <v/>
      </c>
      <c r="N9" s="100">
        <f>IFERROR(IF(A9="","",SUMPRODUCT((뱅샐입력!I$4:I$3003=A9)*(MONTH(뱅샐입력!A$4:A$3003)=12)*(YEAR(뱅샐입력!A$4:A$3003)=설정!C3)*(뱅샐입력!C$4:C$3003="지출")*ABS(뱅샐입력!G$4:G$3003))),0)</f>
        <v/>
      </c>
    </row>
    <row r="10" ht="20" customHeight="1">
      <c r="A10" s="101" t="n"/>
      <c r="B10" s="49">
        <f>IFERROR(IF(A10="","",SUMPRODUCT((뱅샐입력!I$4:I$3003=A10)*(YEAR(뱅샐입력!A$4:A$3003)=설정!C3)*(뱅샐입력!C$4:C$3003="지출")*ABS(뱅샐입력!G$4:G$3003))),0)</f>
        <v/>
      </c>
      <c r="C10" s="49">
        <f>IFERROR(IF(A10="","",SUMPRODUCT((뱅샐입력!I$4:I$3003=A10)*(MONTH(뱅샐입력!A$4:A$3003)=1)*(YEAR(뱅샐입력!A$4:A$3003)=설정!C3)*(뱅샐입력!C$4:C$3003="지출")*ABS(뱅샐입력!G$4:G$3003))),0)</f>
        <v/>
      </c>
      <c r="D10" s="49">
        <f>IFERROR(IF(A10="","",SUMPRODUCT((뱅샐입력!I$4:I$3003=A10)*(MONTH(뱅샐입력!A$4:A$3003)=2)*(YEAR(뱅샐입력!A$4:A$3003)=설정!C3)*(뱅샐입력!C$4:C$3003="지출")*ABS(뱅샐입력!G$4:G$3003))),0)</f>
        <v/>
      </c>
      <c r="E10" s="49">
        <f>IFERROR(IF(A10="","",SUMPRODUCT((뱅샐입력!I$4:I$3003=A10)*(MONTH(뱅샐입력!A$4:A$3003)=3)*(YEAR(뱅샐입력!A$4:A$3003)=설정!C3)*(뱅샐입력!C$4:C$3003="지출")*ABS(뱅샐입력!G$4:G$3003))),0)</f>
        <v/>
      </c>
      <c r="F10" s="49">
        <f>IFERROR(IF(A10="","",SUMPRODUCT((뱅샐입력!I$4:I$3003=A10)*(MONTH(뱅샐입력!A$4:A$3003)=4)*(YEAR(뱅샐입력!A$4:A$3003)=설정!C3)*(뱅샐입력!C$4:C$3003="지출")*ABS(뱅샐입력!G$4:G$3003))),0)</f>
        <v/>
      </c>
      <c r="G10" s="49">
        <f>IFERROR(IF(A10="","",SUMPRODUCT((뱅샐입력!I$4:I$3003=A10)*(MONTH(뱅샐입력!A$4:A$3003)=5)*(YEAR(뱅샐입력!A$4:A$3003)=설정!C3)*(뱅샐입력!C$4:C$3003="지출")*ABS(뱅샐입력!G$4:G$3003))),0)</f>
        <v/>
      </c>
      <c r="H10" s="49">
        <f>IFERROR(IF(A10="","",SUMPRODUCT((뱅샐입력!I$4:I$3003=A10)*(MONTH(뱅샐입력!A$4:A$3003)=6)*(YEAR(뱅샐입력!A$4:A$3003)=설정!C3)*(뱅샐입력!C$4:C$3003="지출")*ABS(뱅샐입력!G$4:G$3003))),0)</f>
        <v/>
      </c>
      <c r="I10" s="49">
        <f>IFERROR(IF(A10="","",SUMPRODUCT((뱅샐입력!I$4:I$3003=A10)*(MONTH(뱅샐입력!A$4:A$3003)=7)*(YEAR(뱅샐입력!A$4:A$3003)=설정!C3)*(뱅샐입력!C$4:C$3003="지출")*ABS(뱅샐입력!G$4:G$3003))),0)</f>
        <v/>
      </c>
      <c r="J10" s="49">
        <f>IFERROR(IF(A10="","",SUMPRODUCT((뱅샐입력!I$4:I$3003=A10)*(MONTH(뱅샐입력!A$4:A$3003)=8)*(YEAR(뱅샐입력!A$4:A$3003)=설정!C3)*(뱅샐입력!C$4:C$3003="지출")*ABS(뱅샐입력!G$4:G$3003))),0)</f>
        <v/>
      </c>
      <c r="K10" s="49">
        <f>IFERROR(IF(A10="","",SUMPRODUCT((뱅샐입력!I$4:I$3003=A10)*(MONTH(뱅샐입력!A$4:A$3003)=9)*(YEAR(뱅샐입력!A$4:A$3003)=설정!C3)*(뱅샐입력!C$4:C$3003="지출")*ABS(뱅샐입력!G$4:G$3003))),0)</f>
        <v/>
      </c>
      <c r="L10" s="49">
        <f>IFERROR(IF(A10="","",SUMPRODUCT((뱅샐입력!I$4:I$3003=A10)*(MONTH(뱅샐입력!A$4:A$3003)=10)*(YEAR(뱅샐입력!A$4:A$3003)=설정!C3)*(뱅샐입력!C$4:C$3003="지출")*ABS(뱅샐입력!G$4:G$3003))),0)</f>
        <v/>
      </c>
      <c r="M10" s="49">
        <f>IFERROR(IF(A10="","",SUMPRODUCT((뱅샐입력!I$4:I$3003=A10)*(MONTH(뱅샐입력!A$4:A$3003)=11)*(YEAR(뱅샐입력!A$4:A$3003)=설정!C3)*(뱅샐입력!C$4:C$3003="지출")*ABS(뱅샐입력!G$4:G$3003))),0)</f>
        <v/>
      </c>
      <c r="N10" s="49">
        <f>IFERROR(IF(A10="","",SUMPRODUCT((뱅샐입력!I$4:I$3003=A10)*(MONTH(뱅샐입력!A$4:A$3003)=12)*(YEAR(뱅샐입력!A$4:A$3003)=설정!C3)*(뱅샐입력!C$4:C$3003="지출")*ABS(뱅샐입력!G$4:G$3003))),0)</f>
        <v/>
      </c>
    </row>
    <row r="11" ht="20" customHeight="1">
      <c r="A11" s="99" t="n"/>
      <c r="B11" s="100">
        <f>IFERROR(IF(A11="","",SUMPRODUCT((뱅샐입력!I$4:I$3003=A11)*(YEAR(뱅샐입력!A$4:A$3003)=설정!C3)*(뱅샐입력!C$4:C$3003="지출")*ABS(뱅샐입력!G$4:G$3003))),0)</f>
        <v/>
      </c>
      <c r="C11" s="100">
        <f>IFERROR(IF(A11="","",SUMPRODUCT((뱅샐입력!I$4:I$3003=A11)*(MONTH(뱅샐입력!A$4:A$3003)=1)*(YEAR(뱅샐입력!A$4:A$3003)=설정!C3)*(뱅샐입력!C$4:C$3003="지출")*ABS(뱅샐입력!G$4:G$3003))),0)</f>
        <v/>
      </c>
      <c r="D11" s="100">
        <f>IFERROR(IF(A11="","",SUMPRODUCT((뱅샐입력!I$4:I$3003=A11)*(MONTH(뱅샐입력!A$4:A$3003)=2)*(YEAR(뱅샐입력!A$4:A$3003)=설정!C3)*(뱅샐입력!C$4:C$3003="지출")*ABS(뱅샐입력!G$4:G$3003))),0)</f>
        <v/>
      </c>
      <c r="E11" s="100">
        <f>IFERROR(IF(A11="","",SUMPRODUCT((뱅샐입력!I$4:I$3003=A11)*(MONTH(뱅샐입력!A$4:A$3003)=3)*(YEAR(뱅샐입력!A$4:A$3003)=설정!C3)*(뱅샐입력!C$4:C$3003="지출")*ABS(뱅샐입력!G$4:G$3003))),0)</f>
        <v/>
      </c>
      <c r="F11" s="100">
        <f>IFERROR(IF(A11="","",SUMPRODUCT((뱅샐입력!I$4:I$3003=A11)*(MONTH(뱅샐입력!A$4:A$3003)=4)*(YEAR(뱅샐입력!A$4:A$3003)=설정!C3)*(뱅샐입력!C$4:C$3003="지출")*ABS(뱅샐입력!G$4:G$3003))),0)</f>
        <v/>
      </c>
      <c r="G11" s="100">
        <f>IFERROR(IF(A11="","",SUMPRODUCT((뱅샐입력!I$4:I$3003=A11)*(MONTH(뱅샐입력!A$4:A$3003)=5)*(YEAR(뱅샐입력!A$4:A$3003)=설정!C3)*(뱅샐입력!C$4:C$3003="지출")*ABS(뱅샐입력!G$4:G$3003))),0)</f>
        <v/>
      </c>
      <c r="H11" s="100">
        <f>IFERROR(IF(A11="","",SUMPRODUCT((뱅샐입력!I$4:I$3003=A11)*(MONTH(뱅샐입력!A$4:A$3003)=6)*(YEAR(뱅샐입력!A$4:A$3003)=설정!C3)*(뱅샐입력!C$4:C$3003="지출")*ABS(뱅샐입력!G$4:G$3003))),0)</f>
        <v/>
      </c>
      <c r="I11" s="100">
        <f>IFERROR(IF(A11="","",SUMPRODUCT((뱅샐입력!I$4:I$3003=A11)*(MONTH(뱅샐입력!A$4:A$3003)=7)*(YEAR(뱅샐입력!A$4:A$3003)=설정!C3)*(뱅샐입력!C$4:C$3003="지출")*ABS(뱅샐입력!G$4:G$3003))),0)</f>
        <v/>
      </c>
      <c r="J11" s="100">
        <f>IFERROR(IF(A11="","",SUMPRODUCT((뱅샐입력!I$4:I$3003=A11)*(MONTH(뱅샐입력!A$4:A$3003)=8)*(YEAR(뱅샐입력!A$4:A$3003)=설정!C3)*(뱅샐입력!C$4:C$3003="지출")*ABS(뱅샐입력!G$4:G$3003))),0)</f>
        <v/>
      </c>
      <c r="K11" s="100">
        <f>IFERROR(IF(A11="","",SUMPRODUCT((뱅샐입력!I$4:I$3003=A11)*(MONTH(뱅샐입력!A$4:A$3003)=9)*(YEAR(뱅샐입력!A$4:A$3003)=설정!C3)*(뱅샐입력!C$4:C$3003="지출")*ABS(뱅샐입력!G$4:G$3003))),0)</f>
        <v/>
      </c>
      <c r="L11" s="100">
        <f>IFERROR(IF(A11="","",SUMPRODUCT((뱅샐입력!I$4:I$3003=A11)*(MONTH(뱅샐입력!A$4:A$3003)=10)*(YEAR(뱅샐입력!A$4:A$3003)=설정!C3)*(뱅샐입력!C$4:C$3003="지출")*ABS(뱅샐입력!G$4:G$3003))),0)</f>
        <v/>
      </c>
      <c r="M11" s="100">
        <f>IFERROR(IF(A11="","",SUMPRODUCT((뱅샐입력!I$4:I$3003=A11)*(MONTH(뱅샐입력!A$4:A$3003)=11)*(YEAR(뱅샐입력!A$4:A$3003)=설정!C3)*(뱅샐입력!C$4:C$3003="지출")*ABS(뱅샐입력!G$4:G$3003))),0)</f>
        <v/>
      </c>
      <c r="N11" s="100">
        <f>IFERROR(IF(A11="","",SUMPRODUCT((뱅샐입력!I$4:I$3003=A11)*(MONTH(뱅샐입력!A$4:A$3003)=12)*(YEAR(뱅샐입력!A$4:A$3003)=설정!C3)*(뱅샐입력!C$4:C$3003="지출")*ABS(뱅샐입력!G$4:G$3003))),0)</f>
        <v/>
      </c>
    </row>
    <row r="12" ht="20" customHeight="1">
      <c r="A12" s="101" t="n"/>
      <c r="B12" s="49">
        <f>IFERROR(IF(A12="","",SUMPRODUCT((뱅샐입력!I$4:I$3003=A12)*(YEAR(뱅샐입력!A$4:A$3003)=설정!C3)*(뱅샐입력!C$4:C$3003="지출")*ABS(뱅샐입력!G$4:G$3003))),0)</f>
        <v/>
      </c>
      <c r="C12" s="49">
        <f>IFERROR(IF(A12="","",SUMPRODUCT((뱅샐입력!I$4:I$3003=A12)*(MONTH(뱅샐입력!A$4:A$3003)=1)*(YEAR(뱅샐입력!A$4:A$3003)=설정!C3)*(뱅샐입력!C$4:C$3003="지출")*ABS(뱅샐입력!G$4:G$3003))),0)</f>
        <v/>
      </c>
      <c r="D12" s="49">
        <f>IFERROR(IF(A12="","",SUMPRODUCT((뱅샐입력!I$4:I$3003=A12)*(MONTH(뱅샐입력!A$4:A$3003)=2)*(YEAR(뱅샐입력!A$4:A$3003)=설정!C3)*(뱅샐입력!C$4:C$3003="지출")*ABS(뱅샐입력!G$4:G$3003))),0)</f>
        <v/>
      </c>
      <c r="E12" s="49">
        <f>IFERROR(IF(A12="","",SUMPRODUCT((뱅샐입력!I$4:I$3003=A12)*(MONTH(뱅샐입력!A$4:A$3003)=3)*(YEAR(뱅샐입력!A$4:A$3003)=설정!C3)*(뱅샐입력!C$4:C$3003="지출")*ABS(뱅샐입력!G$4:G$3003))),0)</f>
        <v/>
      </c>
      <c r="F12" s="49">
        <f>IFERROR(IF(A12="","",SUMPRODUCT((뱅샐입력!I$4:I$3003=A12)*(MONTH(뱅샐입력!A$4:A$3003)=4)*(YEAR(뱅샐입력!A$4:A$3003)=설정!C3)*(뱅샐입력!C$4:C$3003="지출")*ABS(뱅샐입력!G$4:G$3003))),0)</f>
        <v/>
      </c>
      <c r="G12" s="49">
        <f>IFERROR(IF(A12="","",SUMPRODUCT((뱅샐입력!I$4:I$3003=A12)*(MONTH(뱅샐입력!A$4:A$3003)=5)*(YEAR(뱅샐입력!A$4:A$3003)=설정!C3)*(뱅샐입력!C$4:C$3003="지출")*ABS(뱅샐입력!G$4:G$3003))),0)</f>
        <v/>
      </c>
      <c r="H12" s="49">
        <f>IFERROR(IF(A12="","",SUMPRODUCT((뱅샐입력!I$4:I$3003=A12)*(MONTH(뱅샐입력!A$4:A$3003)=6)*(YEAR(뱅샐입력!A$4:A$3003)=설정!C3)*(뱅샐입력!C$4:C$3003="지출")*ABS(뱅샐입력!G$4:G$3003))),0)</f>
        <v/>
      </c>
      <c r="I12" s="49">
        <f>IFERROR(IF(A12="","",SUMPRODUCT((뱅샐입력!I$4:I$3003=A12)*(MONTH(뱅샐입력!A$4:A$3003)=7)*(YEAR(뱅샐입력!A$4:A$3003)=설정!C3)*(뱅샐입력!C$4:C$3003="지출")*ABS(뱅샐입력!G$4:G$3003))),0)</f>
        <v/>
      </c>
      <c r="J12" s="49">
        <f>IFERROR(IF(A12="","",SUMPRODUCT((뱅샐입력!I$4:I$3003=A12)*(MONTH(뱅샐입력!A$4:A$3003)=8)*(YEAR(뱅샐입력!A$4:A$3003)=설정!C3)*(뱅샐입력!C$4:C$3003="지출")*ABS(뱅샐입력!G$4:G$3003))),0)</f>
        <v/>
      </c>
      <c r="K12" s="49">
        <f>IFERROR(IF(A12="","",SUMPRODUCT((뱅샐입력!I$4:I$3003=A12)*(MONTH(뱅샐입력!A$4:A$3003)=9)*(YEAR(뱅샐입력!A$4:A$3003)=설정!C3)*(뱅샐입력!C$4:C$3003="지출")*ABS(뱅샐입력!G$4:G$3003))),0)</f>
        <v/>
      </c>
      <c r="L12" s="49">
        <f>IFERROR(IF(A12="","",SUMPRODUCT((뱅샐입력!I$4:I$3003=A12)*(MONTH(뱅샐입력!A$4:A$3003)=10)*(YEAR(뱅샐입력!A$4:A$3003)=설정!C3)*(뱅샐입력!C$4:C$3003="지출")*ABS(뱅샐입력!G$4:G$3003))),0)</f>
        <v/>
      </c>
      <c r="M12" s="49">
        <f>IFERROR(IF(A12="","",SUMPRODUCT((뱅샐입력!I$4:I$3003=A12)*(MONTH(뱅샐입력!A$4:A$3003)=11)*(YEAR(뱅샐입력!A$4:A$3003)=설정!C3)*(뱅샐입력!C$4:C$3003="지출")*ABS(뱅샐입력!G$4:G$3003))),0)</f>
        <v/>
      </c>
      <c r="N12" s="49">
        <f>IFERROR(IF(A12="","",SUMPRODUCT((뱅샐입력!I$4:I$3003=A12)*(MONTH(뱅샐입력!A$4:A$3003)=12)*(YEAR(뱅샐입력!A$4:A$3003)=설정!C3)*(뱅샐입력!C$4:C$3003="지출")*ABS(뱅샐입력!G$4:G$3003))),0)</f>
        <v/>
      </c>
    </row>
    <row r="13" ht="20" customHeight="1">
      <c r="A13" s="99" t="n"/>
      <c r="B13" s="100">
        <f>IFERROR(IF(A13="","",SUMPRODUCT((뱅샐입력!I$4:I$3003=A13)*(YEAR(뱅샐입력!A$4:A$3003)=설정!C3)*(뱅샐입력!C$4:C$3003="지출")*ABS(뱅샐입력!G$4:G$3003))),0)</f>
        <v/>
      </c>
      <c r="C13" s="100">
        <f>IFERROR(IF(A13="","",SUMPRODUCT((뱅샐입력!I$4:I$3003=A13)*(MONTH(뱅샐입력!A$4:A$3003)=1)*(YEAR(뱅샐입력!A$4:A$3003)=설정!C3)*(뱅샐입력!C$4:C$3003="지출")*ABS(뱅샐입력!G$4:G$3003))),0)</f>
        <v/>
      </c>
      <c r="D13" s="100">
        <f>IFERROR(IF(A13="","",SUMPRODUCT((뱅샐입력!I$4:I$3003=A13)*(MONTH(뱅샐입력!A$4:A$3003)=2)*(YEAR(뱅샐입력!A$4:A$3003)=설정!C3)*(뱅샐입력!C$4:C$3003="지출")*ABS(뱅샐입력!G$4:G$3003))),0)</f>
        <v/>
      </c>
      <c r="E13" s="100">
        <f>IFERROR(IF(A13="","",SUMPRODUCT((뱅샐입력!I$4:I$3003=A13)*(MONTH(뱅샐입력!A$4:A$3003)=3)*(YEAR(뱅샐입력!A$4:A$3003)=설정!C3)*(뱅샐입력!C$4:C$3003="지출")*ABS(뱅샐입력!G$4:G$3003))),0)</f>
        <v/>
      </c>
      <c r="F13" s="100">
        <f>IFERROR(IF(A13="","",SUMPRODUCT((뱅샐입력!I$4:I$3003=A13)*(MONTH(뱅샐입력!A$4:A$3003)=4)*(YEAR(뱅샐입력!A$4:A$3003)=설정!C3)*(뱅샐입력!C$4:C$3003="지출")*ABS(뱅샐입력!G$4:G$3003))),0)</f>
        <v/>
      </c>
      <c r="G13" s="100">
        <f>IFERROR(IF(A13="","",SUMPRODUCT((뱅샐입력!I$4:I$3003=A13)*(MONTH(뱅샐입력!A$4:A$3003)=5)*(YEAR(뱅샐입력!A$4:A$3003)=설정!C3)*(뱅샐입력!C$4:C$3003="지출")*ABS(뱅샐입력!G$4:G$3003))),0)</f>
        <v/>
      </c>
      <c r="H13" s="100">
        <f>IFERROR(IF(A13="","",SUMPRODUCT((뱅샐입력!I$4:I$3003=A13)*(MONTH(뱅샐입력!A$4:A$3003)=6)*(YEAR(뱅샐입력!A$4:A$3003)=설정!C3)*(뱅샐입력!C$4:C$3003="지출")*ABS(뱅샐입력!G$4:G$3003))),0)</f>
        <v/>
      </c>
      <c r="I13" s="100">
        <f>IFERROR(IF(A13="","",SUMPRODUCT((뱅샐입력!I$4:I$3003=A13)*(MONTH(뱅샐입력!A$4:A$3003)=7)*(YEAR(뱅샐입력!A$4:A$3003)=설정!C3)*(뱅샐입력!C$4:C$3003="지출")*ABS(뱅샐입력!G$4:G$3003))),0)</f>
        <v/>
      </c>
      <c r="J13" s="100">
        <f>IFERROR(IF(A13="","",SUMPRODUCT((뱅샐입력!I$4:I$3003=A13)*(MONTH(뱅샐입력!A$4:A$3003)=8)*(YEAR(뱅샐입력!A$4:A$3003)=설정!C3)*(뱅샐입력!C$4:C$3003="지출")*ABS(뱅샐입력!G$4:G$3003))),0)</f>
        <v/>
      </c>
      <c r="K13" s="100">
        <f>IFERROR(IF(A13="","",SUMPRODUCT((뱅샐입력!I$4:I$3003=A13)*(MONTH(뱅샐입력!A$4:A$3003)=9)*(YEAR(뱅샐입력!A$4:A$3003)=설정!C3)*(뱅샐입력!C$4:C$3003="지출")*ABS(뱅샐입력!G$4:G$3003))),0)</f>
        <v/>
      </c>
      <c r="L13" s="100">
        <f>IFERROR(IF(A13="","",SUMPRODUCT((뱅샐입력!I$4:I$3003=A13)*(MONTH(뱅샐입력!A$4:A$3003)=10)*(YEAR(뱅샐입력!A$4:A$3003)=설정!C3)*(뱅샐입력!C$4:C$3003="지출")*ABS(뱅샐입력!G$4:G$3003))),0)</f>
        <v/>
      </c>
      <c r="M13" s="100">
        <f>IFERROR(IF(A13="","",SUMPRODUCT((뱅샐입력!I$4:I$3003=A13)*(MONTH(뱅샐입력!A$4:A$3003)=11)*(YEAR(뱅샐입력!A$4:A$3003)=설정!C3)*(뱅샐입력!C$4:C$3003="지출")*ABS(뱅샐입력!G$4:G$3003))),0)</f>
        <v/>
      </c>
      <c r="N13" s="100">
        <f>IFERROR(IF(A13="","",SUMPRODUCT((뱅샐입력!I$4:I$3003=A13)*(MONTH(뱅샐입력!A$4:A$3003)=12)*(YEAR(뱅샐입력!A$4:A$3003)=설정!C3)*(뱅샐입력!C$4:C$3003="지출")*ABS(뱅샐입력!G$4:G$3003))),0)</f>
        <v/>
      </c>
    </row>
    <row r="14" ht="20" customHeight="1">
      <c r="A14" s="101" t="n"/>
      <c r="B14" s="49">
        <f>IFERROR(IF(A14="","",SUMPRODUCT((뱅샐입력!I$4:I$3003=A14)*(YEAR(뱅샐입력!A$4:A$3003)=설정!C3)*(뱅샐입력!C$4:C$3003="지출")*ABS(뱅샐입력!G$4:G$3003))),0)</f>
        <v/>
      </c>
      <c r="C14" s="49">
        <f>IFERROR(IF(A14="","",SUMPRODUCT((뱅샐입력!I$4:I$3003=A14)*(MONTH(뱅샐입력!A$4:A$3003)=1)*(YEAR(뱅샐입력!A$4:A$3003)=설정!C3)*(뱅샐입력!C$4:C$3003="지출")*ABS(뱅샐입력!G$4:G$3003))),0)</f>
        <v/>
      </c>
      <c r="D14" s="49">
        <f>IFERROR(IF(A14="","",SUMPRODUCT((뱅샐입력!I$4:I$3003=A14)*(MONTH(뱅샐입력!A$4:A$3003)=2)*(YEAR(뱅샐입력!A$4:A$3003)=설정!C3)*(뱅샐입력!C$4:C$3003="지출")*ABS(뱅샐입력!G$4:G$3003))),0)</f>
        <v/>
      </c>
      <c r="E14" s="49">
        <f>IFERROR(IF(A14="","",SUMPRODUCT((뱅샐입력!I$4:I$3003=A14)*(MONTH(뱅샐입력!A$4:A$3003)=3)*(YEAR(뱅샐입력!A$4:A$3003)=설정!C3)*(뱅샐입력!C$4:C$3003="지출")*ABS(뱅샐입력!G$4:G$3003))),0)</f>
        <v/>
      </c>
      <c r="F14" s="49">
        <f>IFERROR(IF(A14="","",SUMPRODUCT((뱅샐입력!I$4:I$3003=A14)*(MONTH(뱅샐입력!A$4:A$3003)=4)*(YEAR(뱅샐입력!A$4:A$3003)=설정!C3)*(뱅샐입력!C$4:C$3003="지출")*ABS(뱅샐입력!G$4:G$3003))),0)</f>
        <v/>
      </c>
      <c r="G14" s="49">
        <f>IFERROR(IF(A14="","",SUMPRODUCT((뱅샐입력!I$4:I$3003=A14)*(MONTH(뱅샐입력!A$4:A$3003)=5)*(YEAR(뱅샐입력!A$4:A$3003)=설정!C3)*(뱅샐입력!C$4:C$3003="지출")*ABS(뱅샐입력!G$4:G$3003))),0)</f>
        <v/>
      </c>
      <c r="H14" s="49">
        <f>IFERROR(IF(A14="","",SUMPRODUCT((뱅샐입력!I$4:I$3003=A14)*(MONTH(뱅샐입력!A$4:A$3003)=6)*(YEAR(뱅샐입력!A$4:A$3003)=설정!C3)*(뱅샐입력!C$4:C$3003="지출")*ABS(뱅샐입력!G$4:G$3003))),0)</f>
        <v/>
      </c>
      <c r="I14" s="49">
        <f>IFERROR(IF(A14="","",SUMPRODUCT((뱅샐입력!I$4:I$3003=A14)*(MONTH(뱅샐입력!A$4:A$3003)=7)*(YEAR(뱅샐입력!A$4:A$3003)=설정!C3)*(뱅샐입력!C$4:C$3003="지출")*ABS(뱅샐입력!G$4:G$3003))),0)</f>
        <v/>
      </c>
      <c r="J14" s="49">
        <f>IFERROR(IF(A14="","",SUMPRODUCT((뱅샐입력!I$4:I$3003=A14)*(MONTH(뱅샐입력!A$4:A$3003)=8)*(YEAR(뱅샐입력!A$4:A$3003)=설정!C3)*(뱅샐입력!C$4:C$3003="지출")*ABS(뱅샐입력!G$4:G$3003))),0)</f>
        <v/>
      </c>
      <c r="K14" s="49">
        <f>IFERROR(IF(A14="","",SUMPRODUCT((뱅샐입력!I$4:I$3003=A14)*(MONTH(뱅샐입력!A$4:A$3003)=9)*(YEAR(뱅샐입력!A$4:A$3003)=설정!C3)*(뱅샐입력!C$4:C$3003="지출")*ABS(뱅샐입력!G$4:G$3003))),0)</f>
        <v/>
      </c>
      <c r="L14" s="49">
        <f>IFERROR(IF(A14="","",SUMPRODUCT((뱅샐입력!I$4:I$3003=A14)*(MONTH(뱅샐입력!A$4:A$3003)=10)*(YEAR(뱅샐입력!A$4:A$3003)=설정!C3)*(뱅샐입력!C$4:C$3003="지출")*ABS(뱅샐입력!G$4:G$3003))),0)</f>
        <v/>
      </c>
      <c r="M14" s="49">
        <f>IFERROR(IF(A14="","",SUMPRODUCT((뱅샐입력!I$4:I$3003=A14)*(MONTH(뱅샐입력!A$4:A$3003)=11)*(YEAR(뱅샐입력!A$4:A$3003)=설정!C3)*(뱅샐입력!C$4:C$3003="지출")*ABS(뱅샐입력!G$4:G$3003))),0)</f>
        <v/>
      </c>
      <c r="N14" s="49">
        <f>IFERROR(IF(A14="","",SUMPRODUCT((뱅샐입력!I$4:I$3003=A14)*(MONTH(뱅샐입력!A$4:A$3003)=12)*(YEAR(뱅샐입력!A$4:A$3003)=설정!C3)*(뱅샐입력!C$4:C$3003="지출")*ABS(뱅샐입력!G$4:G$3003))),0)</f>
        <v/>
      </c>
    </row>
    <row r="15" ht="20" customHeight="1">
      <c r="A15" s="99" t="n"/>
      <c r="B15" s="100">
        <f>IFERROR(IF(A15="","",SUMPRODUCT((뱅샐입력!I$4:I$3003=A15)*(YEAR(뱅샐입력!A$4:A$3003)=설정!C3)*(뱅샐입력!C$4:C$3003="지출")*ABS(뱅샐입력!G$4:G$3003))),0)</f>
        <v/>
      </c>
      <c r="C15" s="100">
        <f>IFERROR(IF(A15="","",SUMPRODUCT((뱅샐입력!I$4:I$3003=A15)*(MONTH(뱅샐입력!A$4:A$3003)=1)*(YEAR(뱅샐입력!A$4:A$3003)=설정!C3)*(뱅샐입력!C$4:C$3003="지출")*ABS(뱅샐입력!G$4:G$3003))),0)</f>
        <v/>
      </c>
      <c r="D15" s="100">
        <f>IFERROR(IF(A15="","",SUMPRODUCT((뱅샐입력!I$4:I$3003=A15)*(MONTH(뱅샐입력!A$4:A$3003)=2)*(YEAR(뱅샐입력!A$4:A$3003)=설정!C3)*(뱅샐입력!C$4:C$3003="지출")*ABS(뱅샐입력!G$4:G$3003))),0)</f>
        <v/>
      </c>
      <c r="E15" s="100">
        <f>IFERROR(IF(A15="","",SUMPRODUCT((뱅샐입력!I$4:I$3003=A15)*(MONTH(뱅샐입력!A$4:A$3003)=3)*(YEAR(뱅샐입력!A$4:A$3003)=설정!C3)*(뱅샐입력!C$4:C$3003="지출")*ABS(뱅샐입력!G$4:G$3003))),0)</f>
        <v/>
      </c>
      <c r="F15" s="100">
        <f>IFERROR(IF(A15="","",SUMPRODUCT((뱅샐입력!I$4:I$3003=A15)*(MONTH(뱅샐입력!A$4:A$3003)=4)*(YEAR(뱅샐입력!A$4:A$3003)=설정!C3)*(뱅샐입력!C$4:C$3003="지출")*ABS(뱅샐입력!G$4:G$3003))),0)</f>
        <v/>
      </c>
      <c r="G15" s="100">
        <f>IFERROR(IF(A15="","",SUMPRODUCT((뱅샐입력!I$4:I$3003=A15)*(MONTH(뱅샐입력!A$4:A$3003)=5)*(YEAR(뱅샐입력!A$4:A$3003)=설정!C3)*(뱅샐입력!C$4:C$3003="지출")*ABS(뱅샐입력!G$4:G$3003))),0)</f>
        <v/>
      </c>
      <c r="H15" s="100">
        <f>IFERROR(IF(A15="","",SUMPRODUCT((뱅샐입력!I$4:I$3003=A15)*(MONTH(뱅샐입력!A$4:A$3003)=6)*(YEAR(뱅샐입력!A$4:A$3003)=설정!C3)*(뱅샐입력!C$4:C$3003="지출")*ABS(뱅샐입력!G$4:G$3003))),0)</f>
        <v/>
      </c>
      <c r="I15" s="100">
        <f>IFERROR(IF(A15="","",SUMPRODUCT((뱅샐입력!I$4:I$3003=A15)*(MONTH(뱅샐입력!A$4:A$3003)=7)*(YEAR(뱅샐입력!A$4:A$3003)=설정!C3)*(뱅샐입력!C$4:C$3003="지출")*ABS(뱅샐입력!G$4:G$3003))),0)</f>
        <v/>
      </c>
      <c r="J15" s="100">
        <f>IFERROR(IF(A15="","",SUMPRODUCT((뱅샐입력!I$4:I$3003=A15)*(MONTH(뱅샐입력!A$4:A$3003)=8)*(YEAR(뱅샐입력!A$4:A$3003)=설정!C3)*(뱅샐입력!C$4:C$3003="지출")*ABS(뱅샐입력!G$4:G$3003))),0)</f>
        <v/>
      </c>
      <c r="K15" s="100">
        <f>IFERROR(IF(A15="","",SUMPRODUCT((뱅샐입력!I$4:I$3003=A15)*(MONTH(뱅샐입력!A$4:A$3003)=9)*(YEAR(뱅샐입력!A$4:A$3003)=설정!C3)*(뱅샐입력!C$4:C$3003="지출")*ABS(뱅샐입력!G$4:G$3003))),0)</f>
        <v/>
      </c>
      <c r="L15" s="100">
        <f>IFERROR(IF(A15="","",SUMPRODUCT((뱅샐입력!I$4:I$3003=A15)*(MONTH(뱅샐입력!A$4:A$3003)=10)*(YEAR(뱅샐입력!A$4:A$3003)=설정!C3)*(뱅샐입력!C$4:C$3003="지출")*ABS(뱅샐입력!G$4:G$3003))),0)</f>
        <v/>
      </c>
      <c r="M15" s="100">
        <f>IFERROR(IF(A15="","",SUMPRODUCT((뱅샐입력!I$4:I$3003=A15)*(MONTH(뱅샐입력!A$4:A$3003)=11)*(YEAR(뱅샐입력!A$4:A$3003)=설정!C3)*(뱅샐입력!C$4:C$3003="지출")*ABS(뱅샐입력!G$4:G$3003))),0)</f>
        <v/>
      </c>
      <c r="N15" s="100">
        <f>IFERROR(IF(A15="","",SUMPRODUCT((뱅샐입력!I$4:I$3003=A15)*(MONTH(뱅샐입력!A$4:A$3003)=12)*(YEAR(뱅샐입력!A$4:A$3003)=설정!C3)*(뱅샐입력!C$4:C$3003="지출")*ABS(뱅샐입력!G$4:G$3003))),0)</f>
        <v/>
      </c>
    </row>
    <row r="16" ht="20" customHeight="1">
      <c r="A16" s="101" t="n"/>
      <c r="B16" s="49">
        <f>IFERROR(IF(A16="","",SUMPRODUCT((뱅샐입력!I$4:I$3003=A16)*(YEAR(뱅샐입력!A$4:A$3003)=설정!C3)*(뱅샐입력!C$4:C$3003="지출")*ABS(뱅샐입력!G$4:G$3003))),0)</f>
        <v/>
      </c>
      <c r="C16" s="49">
        <f>IFERROR(IF(A16="","",SUMPRODUCT((뱅샐입력!I$4:I$3003=A16)*(MONTH(뱅샐입력!A$4:A$3003)=1)*(YEAR(뱅샐입력!A$4:A$3003)=설정!C3)*(뱅샐입력!C$4:C$3003="지출")*ABS(뱅샐입력!G$4:G$3003))),0)</f>
        <v/>
      </c>
      <c r="D16" s="49">
        <f>IFERROR(IF(A16="","",SUMPRODUCT((뱅샐입력!I$4:I$3003=A16)*(MONTH(뱅샐입력!A$4:A$3003)=2)*(YEAR(뱅샐입력!A$4:A$3003)=설정!C3)*(뱅샐입력!C$4:C$3003="지출")*ABS(뱅샐입력!G$4:G$3003))),0)</f>
        <v/>
      </c>
      <c r="E16" s="49">
        <f>IFERROR(IF(A16="","",SUMPRODUCT((뱅샐입력!I$4:I$3003=A16)*(MONTH(뱅샐입력!A$4:A$3003)=3)*(YEAR(뱅샐입력!A$4:A$3003)=설정!C3)*(뱅샐입력!C$4:C$3003="지출")*ABS(뱅샐입력!G$4:G$3003))),0)</f>
        <v/>
      </c>
      <c r="F16" s="49">
        <f>IFERROR(IF(A16="","",SUMPRODUCT((뱅샐입력!I$4:I$3003=A16)*(MONTH(뱅샐입력!A$4:A$3003)=4)*(YEAR(뱅샐입력!A$4:A$3003)=설정!C3)*(뱅샐입력!C$4:C$3003="지출")*ABS(뱅샐입력!G$4:G$3003))),0)</f>
        <v/>
      </c>
      <c r="G16" s="49">
        <f>IFERROR(IF(A16="","",SUMPRODUCT((뱅샐입력!I$4:I$3003=A16)*(MONTH(뱅샐입력!A$4:A$3003)=5)*(YEAR(뱅샐입력!A$4:A$3003)=설정!C3)*(뱅샐입력!C$4:C$3003="지출")*ABS(뱅샐입력!G$4:G$3003))),0)</f>
        <v/>
      </c>
      <c r="H16" s="49">
        <f>IFERROR(IF(A16="","",SUMPRODUCT((뱅샐입력!I$4:I$3003=A16)*(MONTH(뱅샐입력!A$4:A$3003)=6)*(YEAR(뱅샐입력!A$4:A$3003)=설정!C3)*(뱅샐입력!C$4:C$3003="지출")*ABS(뱅샐입력!G$4:G$3003))),0)</f>
        <v/>
      </c>
      <c r="I16" s="49">
        <f>IFERROR(IF(A16="","",SUMPRODUCT((뱅샐입력!I$4:I$3003=A16)*(MONTH(뱅샐입력!A$4:A$3003)=7)*(YEAR(뱅샐입력!A$4:A$3003)=설정!C3)*(뱅샐입력!C$4:C$3003="지출")*ABS(뱅샐입력!G$4:G$3003))),0)</f>
        <v/>
      </c>
      <c r="J16" s="49">
        <f>IFERROR(IF(A16="","",SUMPRODUCT((뱅샐입력!I$4:I$3003=A16)*(MONTH(뱅샐입력!A$4:A$3003)=8)*(YEAR(뱅샐입력!A$4:A$3003)=설정!C3)*(뱅샐입력!C$4:C$3003="지출")*ABS(뱅샐입력!G$4:G$3003))),0)</f>
        <v/>
      </c>
      <c r="K16" s="49">
        <f>IFERROR(IF(A16="","",SUMPRODUCT((뱅샐입력!I$4:I$3003=A16)*(MONTH(뱅샐입력!A$4:A$3003)=9)*(YEAR(뱅샐입력!A$4:A$3003)=설정!C3)*(뱅샐입력!C$4:C$3003="지출")*ABS(뱅샐입력!G$4:G$3003))),0)</f>
        <v/>
      </c>
      <c r="L16" s="49">
        <f>IFERROR(IF(A16="","",SUMPRODUCT((뱅샐입력!I$4:I$3003=A16)*(MONTH(뱅샐입력!A$4:A$3003)=10)*(YEAR(뱅샐입력!A$4:A$3003)=설정!C3)*(뱅샐입력!C$4:C$3003="지출")*ABS(뱅샐입력!G$4:G$3003))),0)</f>
        <v/>
      </c>
      <c r="M16" s="49">
        <f>IFERROR(IF(A16="","",SUMPRODUCT((뱅샐입력!I$4:I$3003=A16)*(MONTH(뱅샐입력!A$4:A$3003)=11)*(YEAR(뱅샐입력!A$4:A$3003)=설정!C3)*(뱅샐입력!C$4:C$3003="지출")*ABS(뱅샐입력!G$4:G$3003))),0)</f>
        <v/>
      </c>
      <c r="N16" s="49">
        <f>IFERROR(IF(A16="","",SUMPRODUCT((뱅샐입력!I$4:I$3003=A16)*(MONTH(뱅샐입력!A$4:A$3003)=12)*(YEAR(뱅샐입력!A$4:A$3003)=설정!C3)*(뱅샐입력!C$4:C$3003="지출")*ABS(뱅샐입력!G$4:G$3003))),0)</f>
        <v/>
      </c>
    </row>
    <row r="17" ht="20" customHeight="1">
      <c r="A17" s="99" t="n"/>
      <c r="B17" s="100">
        <f>IFERROR(IF(A17="","",SUMPRODUCT((뱅샐입력!I$4:I$3003=A17)*(YEAR(뱅샐입력!A$4:A$3003)=설정!C3)*(뱅샐입력!C$4:C$3003="지출")*ABS(뱅샐입력!G$4:G$3003))),0)</f>
        <v/>
      </c>
      <c r="C17" s="100">
        <f>IFERROR(IF(A17="","",SUMPRODUCT((뱅샐입력!I$4:I$3003=A17)*(MONTH(뱅샐입력!A$4:A$3003)=1)*(YEAR(뱅샐입력!A$4:A$3003)=설정!C3)*(뱅샐입력!C$4:C$3003="지출")*ABS(뱅샐입력!G$4:G$3003))),0)</f>
        <v/>
      </c>
      <c r="D17" s="100">
        <f>IFERROR(IF(A17="","",SUMPRODUCT((뱅샐입력!I$4:I$3003=A17)*(MONTH(뱅샐입력!A$4:A$3003)=2)*(YEAR(뱅샐입력!A$4:A$3003)=설정!C3)*(뱅샐입력!C$4:C$3003="지출")*ABS(뱅샐입력!G$4:G$3003))),0)</f>
        <v/>
      </c>
      <c r="E17" s="100">
        <f>IFERROR(IF(A17="","",SUMPRODUCT((뱅샐입력!I$4:I$3003=A17)*(MONTH(뱅샐입력!A$4:A$3003)=3)*(YEAR(뱅샐입력!A$4:A$3003)=설정!C3)*(뱅샐입력!C$4:C$3003="지출")*ABS(뱅샐입력!G$4:G$3003))),0)</f>
        <v/>
      </c>
      <c r="F17" s="100">
        <f>IFERROR(IF(A17="","",SUMPRODUCT((뱅샐입력!I$4:I$3003=A17)*(MONTH(뱅샐입력!A$4:A$3003)=4)*(YEAR(뱅샐입력!A$4:A$3003)=설정!C3)*(뱅샐입력!C$4:C$3003="지출")*ABS(뱅샐입력!G$4:G$3003))),0)</f>
        <v/>
      </c>
      <c r="G17" s="100">
        <f>IFERROR(IF(A17="","",SUMPRODUCT((뱅샐입력!I$4:I$3003=A17)*(MONTH(뱅샐입력!A$4:A$3003)=5)*(YEAR(뱅샐입력!A$4:A$3003)=설정!C3)*(뱅샐입력!C$4:C$3003="지출")*ABS(뱅샐입력!G$4:G$3003))),0)</f>
        <v/>
      </c>
      <c r="H17" s="100">
        <f>IFERROR(IF(A17="","",SUMPRODUCT((뱅샐입력!I$4:I$3003=A17)*(MONTH(뱅샐입력!A$4:A$3003)=6)*(YEAR(뱅샐입력!A$4:A$3003)=설정!C3)*(뱅샐입력!C$4:C$3003="지출")*ABS(뱅샐입력!G$4:G$3003))),0)</f>
        <v/>
      </c>
      <c r="I17" s="100">
        <f>IFERROR(IF(A17="","",SUMPRODUCT((뱅샐입력!I$4:I$3003=A17)*(MONTH(뱅샐입력!A$4:A$3003)=7)*(YEAR(뱅샐입력!A$4:A$3003)=설정!C3)*(뱅샐입력!C$4:C$3003="지출")*ABS(뱅샐입력!G$4:G$3003))),0)</f>
        <v/>
      </c>
      <c r="J17" s="100">
        <f>IFERROR(IF(A17="","",SUMPRODUCT((뱅샐입력!I$4:I$3003=A17)*(MONTH(뱅샐입력!A$4:A$3003)=8)*(YEAR(뱅샐입력!A$4:A$3003)=설정!C3)*(뱅샐입력!C$4:C$3003="지출")*ABS(뱅샐입력!G$4:G$3003))),0)</f>
        <v/>
      </c>
      <c r="K17" s="100">
        <f>IFERROR(IF(A17="","",SUMPRODUCT((뱅샐입력!I$4:I$3003=A17)*(MONTH(뱅샐입력!A$4:A$3003)=9)*(YEAR(뱅샐입력!A$4:A$3003)=설정!C3)*(뱅샐입력!C$4:C$3003="지출")*ABS(뱅샐입력!G$4:G$3003))),0)</f>
        <v/>
      </c>
      <c r="L17" s="100">
        <f>IFERROR(IF(A17="","",SUMPRODUCT((뱅샐입력!I$4:I$3003=A17)*(MONTH(뱅샐입력!A$4:A$3003)=10)*(YEAR(뱅샐입력!A$4:A$3003)=설정!C3)*(뱅샐입력!C$4:C$3003="지출")*ABS(뱅샐입력!G$4:G$3003))),0)</f>
        <v/>
      </c>
      <c r="M17" s="100">
        <f>IFERROR(IF(A17="","",SUMPRODUCT((뱅샐입력!I$4:I$3003=A17)*(MONTH(뱅샐입력!A$4:A$3003)=11)*(YEAR(뱅샐입력!A$4:A$3003)=설정!C3)*(뱅샐입력!C$4:C$3003="지출")*ABS(뱅샐입력!G$4:G$3003))),0)</f>
        <v/>
      </c>
      <c r="N17" s="100">
        <f>IFERROR(IF(A17="","",SUMPRODUCT((뱅샐입력!I$4:I$3003=A17)*(MONTH(뱅샐입력!A$4:A$3003)=12)*(YEAR(뱅샐입력!A$4:A$3003)=설정!C3)*(뱅샐입력!C$4:C$3003="지출")*ABS(뱅샐입력!G$4:G$3003))),0)</f>
        <v/>
      </c>
    </row>
    <row r="18" ht="20" customHeight="1">
      <c r="A18" s="101" t="n"/>
      <c r="B18" s="49">
        <f>IFERROR(IF(A18="","",SUMPRODUCT((뱅샐입력!I$4:I$3003=A18)*(YEAR(뱅샐입력!A$4:A$3003)=설정!C3)*(뱅샐입력!C$4:C$3003="지출")*ABS(뱅샐입력!G$4:G$3003))),0)</f>
        <v/>
      </c>
      <c r="C18" s="49">
        <f>IFERROR(IF(A18="","",SUMPRODUCT((뱅샐입력!I$4:I$3003=A18)*(MONTH(뱅샐입력!A$4:A$3003)=1)*(YEAR(뱅샐입력!A$4:A$3003)=설정!C3)*(뱅샐입력!C$4:C$3003="지출")*ABS(뱅샐입력!G$4:G$3003))),0)</f>
        <v/>
      </c>
      <c r="D18" s="49">
        <f>IFERROR(IF(A18="","",SUMPRODUCT((뱅샐입력!I$4:I$3003=A18)*(MONTH(뱅샐입력!A$4:A$3003)=2)*(YEAR(뱅샐입력!A$4:A$3003)=설정!C3)*(뱅샐입력!C$4:C$3003="지출")*ABS(뱅샐입력!G$4:G$3003))),0)</f>
        <v/>
      </c>
      <c r="E18" s="49">
        <f>IFERROR(IF(A18="","",SUMPRODUCT((뱅샐입력!I$4:I$3003=A18)*(MONTH(뱅샐입력!A$4:A$3003)=3)*(YEAR(뱅샐입력!A$4:A$3003)=설정!C3)*(뱅샐입력!C$4:C$3003="지출")*ABS(뱅샐입력!G$4:G$3003))),0)</f>
        <v/>
      </c>
      <c r="F18" s="49">
        <f>IFERROR(IF(A18="","",SUMPRODUCT((뱅샐입력!I$4:I$3003=A18)*(MONTH(뱅샐입력!A$4:A$3003)=4)*(YEAR(뱅샐입력!A$4:A$3003)=설정!C3)*(뱅샐입력!C$4:C$3003="지출")*ABS(뱅샐입력!G$4:G$3003))),0)</f>
        <v/>
      </c>
      <c r="G18" s="49">
        <f>IFERROR(IF(A18="","",SUMPRODUCT((뱅샐입력!I$4:I$3003=A18)*(MONTH(뱅샐입력!A$4:A$3003)=5)*(YEAR(뱅샐입력!A$4:A$3003)=설정!C3)*(뱅샐입력!C$4:C$3003="지출")*ABS(뱅샐입력!G$4:G$3003))),0)</f>
        <v/>
      </c>
      <c r="H18" s="49">
        <f>IFERROR(IF(A18="","",SUMPRODUCT((뱅샐입력!I$4:I$3003=A18)*(MONTH(뱅샐입력!A$4:A$3003)=6)*(YEAR(뱅샐입력!A$4:A$3003)=설정!C3)*(뱅샐입력!C$4:C$3003="지출")*ABS(뱅샐입력!G$4:G$3003))),0)</f>
        <v/>
      </c>
      <c r="I18" s="49">
        <f>IFERROR(IF(A18="","",SUMPRODUCT((뱅샐입력!I$4:I$3003=A18)*(MONTH(뱅샐입력!A$4:A$3003)=7)*(YEAR(뱅샐입력!A$4:A$3003)=설정!C3)*(뱅샐입력!C$4:C$3003="지출")*ABS(뱅샐입력!G$4:G$3003))),0)</f>
        <v/>
      </c>
      <c r="J18" s="49">
        <f>IFERROR(IF(A18="","",SUMPRODUCT((뱅샐입력!I$4:I$3003=A18)*(MONTH(뱅샐입력!A$4:A$3003)=8)*(YEAR(뱅샐입력!A$4:A$3003)=설정!C3)*(뱅샐입력!C$4:C$3003="지출")*ABS(뱅샐입력!G$4:G$3003))),0)</f>
        <v/>
      </c>
      <c r="K18" s="49">
        <f>IFERROR(IF(A18="","",SUMPRODUCT((뱅샐입력!I$4:I$3003=A18)*(MONTH(뱅샐입력!A$4:A$3003)=9)*(YEAR(뱅샐입력!A$4:A$3003)=설정!C3)*(뱅샐입력!C$4:C$3003="지출")*ABS(뱅샐입력!G$4:G$3003))),0)</f>
        <v/>
      </c>
      <c r="L18" s="49">
        <f>IFERROR(IF(A18="","",SUMPRODUCT((뱅샐입력!I$4:I$3003=A18)*(MONTH(뱅샐입력!A$4:A$3003)=10)*(YEAR(뱅샐입력!A$4:A$3003)=설정!C3)*(뱅샐입력!C$4:C$3003="지출")*ABS(뱅샐입력!G$4:G$3003))),0)</f>
        <v/>
      </c>
      <c r="M18" s="49">
        <f>IFERROR(IF(A18="","",SUMPRODUCT((뱅샐입력!I$4:I$3003=A18)*(MONTH(뱅샐입력!A$4:A$3003)=11)*(YEAR(뱅샐입력!A$4:A$3003)=설정!C3)*(뱅샐입력!C$4:C$3003="지출")*ABS(뱅샐입력!G$4:G$3003))),0)</f>
        <v/>
      </c>
      <c r="N18" s="49">
        <f>IFERROR(IF(A18="","",SUMPRODUCT((뱅샐입력!I$4:I$3003=A18)*(MONTH(뱅샐입력!A$4:A$3003)=12)*(YEAR(뱅샐입력!A$4:A$3003)=설정!C3)*(뱅샐입력!C$4:C$3003="지출")*ABS(뱅샐입력!G$4:G$3003))),0)</f>
        <v/>
      </c>
    </row>
    <row r="19" ht="20" customHeight="1">
      <c r="A19" s="99" t="n"/>
      <c r="B19" s="100">
        <f>IFERROR(IF(A19="","",SUMPRODUCT((뱅샐입력!I$4:I$3003=A19)*(YEAR(뱅샐입력!A$4:A$3003)=설정!C3)*(뱅샐입력!C$4:C$3003="지출")*ABS(뱅샐입력!G$4:G$3003))),0)</f>
        <v/>
      </c>
      <c r="C19" s="100">
        <f>IFERROR(IF(A19="","",SUMPRODUCT((뱅샐입력!I$4:I$3003=A19)*(MONTH(뱅샐입력!A$4:A$3003)=1)*(YEAR(뱅샐입력!A$4:A$3003)=설정!C3)*(뱅샐입력!C$4:C$3003="지출")*ABS(뱅샐입력!G$4:G$3003))),0)</f>
        <v/>
      </c>
      <c r="D19" s="100">
        <f>IFERROR(IF(A19="","",SUMPRODUCT((뱅샐입력!I$4:I$3003=A19)*(MONTH(뱅샐입력!A$4:A$3003)=2)*(YEAR(뱅샐입력!A$4:A$3003)=설정!C3)*(뱅샐입력!C$4:C$3003="지출")*ABS(뱅샐입력!G$4:G$3003))),0)</f>
        <v/>
      </c>
      <c r="E19" s="100">
        <f>IFERROR(IF(A19="","",SUMPRODUCT((뱅샐입력!I$4:I$3003=A19)*(MONTH(뱅샐입력!A$4:A$3003)=3)*(YEAR(뱅샐입력!A$4:A$3003)=설정!C3)*(뱅샐입력!C$4:C$3003="지출")*ABS(뱅샐입력!G$4:G$3003))),0)</f>
        <v/>
      </c>
      <c r="F19" s="100">
        <f>IFERROR(IF(A19="","",SUMPRODUCT((뱅샐입력!I$4:I$3003=A19)*(MONTH(뱅샐입력!A$4:A$3003)=4)*(YEAR(뱅샐입력!A$4:A$3003)=설정!C3)*(뱅샐입력!C$4:C$3003="지출")*ABS(뱅샐입력!G$4:G$3003))),0)</f>
        <v/>
      </c>
      <c r="G19" s="100">
        <f>IFERROR(IF(A19="","",SUMPRODUCT((뱅샐입력!I$4:I$3003=A19)*(MONTH(뱅샐입력!A$4:A$3003)=5)*(YEAR(뱅샐입력!A$4:A$3003)=설정!C3)*(뱅샐입력!C$4:C$3003="지출")*ABS(뱅샐입력!G$4:G$3003))),0)</f>
        <v/>
      </c>
      <c r="H19" s="100">
        <f>IFERROR(IF(A19="","",SUMPRODUCT((뱅샐입력!I$4:I$3003=A19)*(MONTH(뱅샐입력!A$4:A$3003)=6)*(YEAR(뱅샐입력!A$4:A$3003)=설정!C3)*(뱅샐입력!C$4:C$3003="지출")*ABS(뱅샐입력!G$4:G$3003))),0)</f>
        <v/>
      </c>
      <c r="I19" s="100">
        <f>IFERROR(IF(A19="","",SUMPRODUCT((뱅샐입력!I$4:I$3003=A19)*(MONTH(뱅샐입력!A$4:A$3003)=7)*(YEAR(뱅샐입력!A$4:A$3003)=설정!C3)*(뱅샐입력!C$4:C$3003="지출")*ABS(뱅샐입력!G$4:G$3003))),0)</f>
        <v/>
      </c>
      <c r="J19" s="100">
        <f>IFERROR(IF(A19="","",SUMPRODUCT((뱅샐입력!I$4:I$3003=A19)*(MONTH(뱅샐입력!A$4:A$3003)=8)*(YEAR(뱅샐입력!A$4:A$3003)=설정!C3)*(뱅샐입력!C$4:C$3003="지출")*ABS(뱅샐입력!G$4:G$3003))),0)</f>
        <v/>
      </c>
      <c r="K19" s="100">
        <f>IFERROR(IF(A19="","",SUMPRODUCT((뱅샐입력!I$4:I$3003=A19)*(MONTH(뱅샐입력!A$4:A$3003)=9)*(YEAR(뱅샐입력!A$4:A$3003)=설정!C3)*(뱅샐입력!C$4:C$3003="지출")*ABS(뱅샐입력!G$4:G$3003))),0)</f>
        <v/>
      </c>
      <c r="L19" s="100">
        <f>IFERROR(IF(A19="","",SUMPRODUCT((뱅샐입력!I$4:I$3003=A19)*(MONTH(뱅샐입력!A$4:A$3003)=10)*(YEAR(뱅샐입력!A$4:A$3003)=설정!C3)*(뱅샐입력!C$4:C$3003="지출")*ABS(뱅샐입력!G$4:G$3003))),0)</f>
        <v/>
      </c>
      <c r="M19" s="100">
        <f>IFERROR(IF(A19="","",SUMPRODUCT((뱅샐입력!I$4:I$3003=A19)*(MONTH(뱅샐입력!A$4:A$3003)=11)*(YEAR(뱅샐입력!A$4:A$3003)=설정!C3)*(뱅샐입력!C$4:C$3003="지출")*ABS(뱅샐입력!G$4:G$3003))),0)</f>
        <v/>
      </c>
      <c r="N19" s="100">
        <f>IFERROR(IF(A19="","",SUMPRODUCT((뱅샐입력!I$4:I$3003=A19)*(MONTH(뱅샐입력!A$4:A$3003)=12)*(YEAR(뱅샐입력!A$4:A$3003)=설정!C3)*(뱅샐입력!C$4:C$3003="지출")*ABS(뱅샐입력!G$4:G$3003))),0)</f>
        <v/>
      </c>
    </row>
    <row r="20" ht="20" customHeight="1">
      <c r="A20" s="101" t="n"/>
      <c r="B20" s="49">
        <f>IFERROR(IF(A20="","",SUMPRODUCT((뱅샐입력!I$4:I$3003=A20)*(YEAR(뱅샐입력!A$4:A$3003)=설정!C3)*(뱅샐입력!C$4:C$3003="지출")*ABS(뱅샐입력!G$4:G$3003))),0)</f>
        <v/>
      </c>
      <c r="C20" s="49">
        <f>IFERROR(IF(A20="","",SUMPRODUCT((뱅샐입력!I$4:I$3003=A20)*(MONTH(뱅샐입력!A$4:A$3003)=1)*(YEAR(뱅샐입력!A$4:A$3003)=설정!C3)*(뱅샐입력!C$4:C$3003="지출")*ABS(뱅샐입력!G$4:G$3003))),0)</f>
        <v/>
      </c>
      <c r="D20" s="49">
        <f>IFERROR(IF(A20="","",SUMPRODUCT((뱅샐입력!I$4:I$3003=A20)*(MONTH(뱅샐입력!A$4:A$3003)=2)*(YEAR(뱅샐입력!A$4:A$3003)=설정!C3)*(뱅샐입력!C$4:C$3003="지출")*ABS(뱅샐입력!G$4:G$3003))),0)</f>
        <v/>
      </c>
      <c r="E20" s="49">
        <f>IFERROR(IF(A20="","",SUMPRODUCT((뱅샐입력!I$4:I$3003=A20)*(MONTH(뱅샐입력!A$4:A$3003)=3)*(YEAR(뱅샐입력!A$4:A$3003)=설정!C3)*(뱅샐입력!C$4:C$3003="지출")*ABS(뱅샐입력!G$4:G$3003))),0)</f>
        <v/>
      </c>
      <c r="F20" s="49">
        <f>IFERROR(IF(A20="","",SUMPRODUCT((뱅샐입력!I$4:I$3003=A20)*(MONTH(뱅샐입력!A$4:A$3003)=4)*(YEAR(뱅샐입력!A$4:A$3003)=설정!C3)*(뱅샐입력!C$4:C$3003="지출")*ABS(뱅샐입력!G$4:G$3003))),0)</f>
        <v/>
      </c>
      <c r="G20" s="49">
        <f>IFERROR(IF(A20="","",SUMPRODUCT((뱅샐입력!I$4:I$3003=A20)*(MONTH(뱅샐입력!A$4:A$3003)=5)*(YEAR(뱅샐입력!A$4:A$3003)=설정!C3)*(뱅샐입력!C$4:C$3003="지출")*ABS(뱅샐입력!G$4:G$3003))),0)</f>
        <v/>
      </c>
      <c r="H20" s="49">
        <f>IFERROR(IF(A20="","",SUMPRODUCT((뱅샐입력!I$4:I$3003=A20)*(MONTH(뱅샐입력!A$4:A$3003)=6)*(YEAR(뱅샐입력!A$4:A$3003)=설정!C3)*(뱅샐입력!C$4:C$3003="지출")*ABS(뱅샐입력!G$4:G$3003))),0)</f>
        <v/>
      </c>
      <c r="I20" s="49">
        <f>IFERROR(IF(A20="","",SUMPRODUCT((뱅샐입력!I$4:I$3003=A20)*(MONTH(뱅샐입력!A$4:A$3003)=7)*(YEAR(뱅샐입력!A$4:A$3003)=설정!C3)*(뱅샐입력!C$4:C$3003="지출")*ABS(뱅샐입력!G$4:G$3003))),0)</f>
        <v/>
      </c>
      <c r="J20" s="49">
        <f>IFERROR(IF(A20="","",SUMPRODUCT((뱅샐입력!I$4:I$3003=A20)*(MONTH(뱅샐입력!A$4:A$3003)=8)*(YEAR(뱅샐입력!A$4:A$3003)=설정!C3)*(뱅샐입력!C$4:C$3003="지출")*ABS(뱅샐입력!G$4:G$3003))),0)</f>
        <v/>
      </c>
      <c r="K20" s="49">
        <f>IFERROR(IF(A20="","",SUMPRODUCT((뱅샐입력!I$4:I$3003=A20)*(MONTH(뱅샐입력!A$4:A$3003)=9)*(YEAR(뱅샐입력!A$4:A$3003)=설정!C3)*(뱅샐입력!C$4:C$3003="지출")*ABS(뱅샐입력!G$4:G$3003))),0)</f>
        <v/>
      </c>
      <c r="L20" s="49">
        <f>IFERROR(IF(A20="","",SUMPRODUCT((뱅샐입력!I$4:I$3003=A20)*(MONTH(뱅샐입력!A$4:A$3003)=10)*(YEAR(뱅샐입력!A$4:A$3003)=설정!C3)*(뱅샐입력!C$4:C$3003="지출")*ABS(뱅샐입력!G$4:G$3003))),0)</f>
        <v/>
      </c>
      <c r="M20" s="49">
        <f>IFERROR(IF(A20="","",SUMPRODUCT((뱅샐입력!I$4:I$3003=A20)*(MONTH(뱅샐입력!A$4:A$3003)=11)*(YEAR(뱅샐입력!A$4:A$3003)=설정!C3)*(뱅샐입력!C$4:C$3003="지출")*ABS(뱅샐입력!G$4:G$3003))),0)</f>
        <v/>
      </c>
      <c r="N20" s="49">
        <f>IFERROR(IF(A20="","",SUMPRODUCT((뱅샐입력!I$4:I$3003=A20)*(MONTH(뱅샐입력!A$4:A$3003)=12)*(YEAR(뱅샐입력!A$4:A$3003)=설정!C3)*(뱅샐입력!C$4:C$3003="지출")*ABS(뱅샐입력!G$4:G$3003))),0)</f>
        <v/>
      </c>
    </row>
    <row r="21" ht="20" customHeight="1">
      <c r="A21" s="99" t="n"/>
      <c r="B21" s="100">
        <f>IFERROR(IF(A21="","",SUMPRODUCT((뱅샐입력!I$4:I$3003=A21)*(YEAR(뱅샐입력!A$4:A$3003)=설정!C3)*(뱅샐입력!C$4:C$3003="지출")*ABS(뱅샐입력!G$4:G$3003))),0)</f>
        <v/>
      </c>
      <c r="C21" s="100">
        <f>IFERROR(IF(A21="","",SUMPRODUCT((뱅샐입력!I$4:I$3003=A21)*(MONTH(뱅샐입력!A$4:A$3003)=1)*(YEAR(뱅샐입력!A$4:A$3003)=설정!C3)*(뱅샐입력!C$4:C$3003="지출")*ABS(뱅샐입력!G$4:G$3003))),0)</f>
        <v/>
      </c>
      <c r="D21" s="100">
        <f>IFERROR(IF(A21="","",SUMPRODUCT((뱅샐입력!I$4:I$3003=A21)*(MONTH(뱅샐입력!A$4:A$3003)=2)*(YEAR(뱅샐입력!A$4:A$3003)=설정!C3)*(뱅샐입력!C$4:C$3003="지출")*ABS(뱅샐입력!G$4:G$3003))),0)</f>
        <v/>
      </c>
      <c r="E21" s="100">
        <f>IFERROR(IF(A21="","",SUMPRODUCT((뱅샐입력!I$4:I$3003=A21)*(MONTH(뱅샐입력!A$4:A$3003)=3)*(YEAR(뱅샐입력!A$4:A$3003)=설정!C3)*(뱅샐입력!C$4:C$3003="지출")*ABS(뱅샐입력!G$4:G$3003))),0)</f>
        <v/>
      </c>
      <c r="F21" s="100">
        <f>IFERROR(IF(A21="","",SUMPRODUCT((뱅샐입력!I$4:I$3003=A21)*(MONTH(뱅샐입력!A$4:A$3003)=4)*(YEAR(뱅샐입력!A$4:A$3003)=설정!C3)*(뱅샐입력!C$4:C$3003="지출")*ABS(뱅샐입력!G$4:G$3003))),0)</f>
        <v/>
      </c>
      <c r="G21" s="100">
        <f>IFERROR(IF(A21="","",SUMPRODUCT((뱅샐입력!I$4:I$3003=A21)*(MONTH(뱅샐입력!A$4:A$3003)=5)*(YEAR(뱅샐입력!A$4:A$3003)=설정!C3)*(뱅샐입력!C$4:C$3003="지출")*ABS(뱅샐입력!G$4:G$3003))),0)</f>
        <v/>
      </c>
      <c r="H21" s="100">
        <f>IFERROR(IF(A21="","",SUMPRODUCT((뱅샐입력!I$4:I$3003=A21)*(MONTH(뱅샐입력!A$4:A$3003)=6)*(YEAR(뱅샐입력!A$4:A$3003)=설정!C3)*(뱅샐입력!C$4:C$3003="지출")*ABS(뱅샐입력!G$4:G$3003))),0)</f>
        <v/>
      </c>
      <c r="I21" s="100">
        <f>IFERROR(IF(A21="","",SUMPRODUCT((뱅샐입력!I$4:I$3003=A21)*(MONTH(뱅샐입력!A$4:A$3003)=7)*(YEAR(뱅샐입력!A$4:A$3003)=설정!C3)*(뱅샐입력!C$4:C$3003="지출")*ABS(뱅샐입력!G$4:G$3003))),0)</f>
        <v/>
      </c>
      <c r="J21" s="100">
        <f>IFERROR(IF(A21="","",SUMPRODUCT((뱅샐입력!I$4:I$3003=A21)*(MONTH(뱅샐입력!A$4:A$3003)=8)*(YEAR(뱅샐입력!A$4:A$3003)=설정!C3)*(뱅샐입력!C$4:C$3003="지출")*ABS(뱅샐입력!G$4:G$3003))),0)</f>
        <v/>
      </c>
      <c r="K21" s="100">
        <f>IFERROR(IF(A21="","",SUMPRODUCT((뱅샐입력!I$4:I$3003=A21)*(MONTH(뱅샐입력!A$4:A$3003)=9)*(YEAR(뱅샐입력!A$4:A$3003)=설정!C3)*(뱅샐입력!C$4:C$3003="지출")*ABS(뱅샐입력!G$4:G$3003))),0)</f>
        <v/>
      </c>
      <c r="L21" s="100">
        <f>IFERROR(IF(A21="","",SUMPRODUCT((뱅샐입력!I$4:I$3003=A21)*(MONTH(뱅샐입력!A$4:A$3003)=10)*(YEAR(뱅샐입력!A$4:A$3003)=설정!C3)*(뱅샐입력!C$4:C$3003="지출")*ABS(뱅샐입력!G$4:G$3003))),0)</f>
        <v/>
      </c>
      <c r="M21" s="100">
        <f>IFERROR(IF(A21="","",SUMPRODUCT((뱅샐입력!I$4:I$3003=A21)*(MONTH(뱅샐입력!A$4:A$3003)=11)*(YEAR(뱅샐입력!A$4:A$3003)=설정!C3)*(뱅샐입력!C$4:C$3003="지출")*ABS(뱅샐입력!G$4:G$3003))),0)</f>
        <v/>
      </c>
      <c r="N21" s="100">
        <f>IFERROR(IF(A21="","",SUMPRODUCT((뱅샐입력!I$4:I$3003=A21)*(MONTH(뱅샐입력!A$4:A$3003)=12)*(YEAR(뱅샐입력!A$4:A$3003)=설정!C3)*(뱅샐입력!C$4:C$3003="지출")*ABS(뱅샐입력!G$4:G$3003))),0)</f>
        <v/>
      </c>
    </row>
    <row r="22" ht="20" customHeight="1">
      <c r="A22" s="101" t="n"/>
      <c r="B22" s="49">
        <f>IFERROR(IF(A22="","",SUMPRODUCT((뱅샐입력!I$4:I$3003=A22)*(YEAR(뱅샐입력!A$4:A$3003)=설정!C3)*(뱅샐입력!C$4:C$3003="지출")*ABS(뱅샐입력!G$4:G$3003))),0)</f>
        <v/>
      </c>
      <c r="C22" s="49">
        <f>IFERROR(IF(A22="","",SUMPRODUCT((뱅샐입력!I$4:I$3003=A22)*(MONTH(뱅샐입력!A$4:A$3003)=1)*(YEAR(뱅샐입력!A$4:A$3003)=설정!C3)*(뱅샐입력!C$4:C$3003="지출")*ABS(뱅샐입력!G$4:G$3003))),0)</f>
        <v/>
      </c>
      <c r="D22" s="49">
        <f>IFERROR(IF(A22="","",SUMPRODUCT((뱅샐입력!I$4:I$3003=A22)*(MONTH(뱅샐입력!A$4:A$3003)=2)*(YEAR(뱅샐입력!A$4:A$3003)=설정!C3)*(뱅샐입력!C$4:C$3003="지출")*ABS(뱅샐입력!G$4:G$3003))),0)</f>
        <v/>
      </c>
      <c r="E22" s="49">
        <f>IFERROR(IF(A22="","",SUMPRODUCT((뱅샐입력!I$4:I$3003=A22)*(MONTH(뱅샐입력!A$4:A$3003)=3)*(YEAR(뱅샐입력!A$4:A$3003)=설정!C3)*(뱅샐입력!C$4:C$3003="지출")*ABS(뱅샐입력!G$4:G$3003))),0)</f>
        <v/>
      </c>
      <c r="F22" s="49">
        <f>IFERROR(IF(A22="","",SUMPRODUCT((뱅샐입력!I$4:I$3003=A22)*(MONTH(뱅샐입력!A$4:A$3003)=4)*(YEAR(뱅샐입력!A$4:A$3003)=설정!C3)*(뱅샐입력!C$4:C$3003="지출")*ABS(뱅샐입력!G$4:G$3003))),0)</f>
        <v/>
      </c>
      <c r="G22" s="49">
        <f>IFERROR(IF(A22="","",SUMPRODUCT((뱅샐입력!I$4:I$3003=A22)*(MONTH(뱅샐입력!A$4:A$3003)=5)*(YEAR(뱅샐입력!A$4:A$3003)=설정!C3)*(뱅샐입력!C$4:C$3003="지출")*ABS(뱅샐입력!G$4:G$3003))),0)</f>
        <v/>
      </c>
      <c r="H22" s="49">
        <f>IFERROR(IF(A22="","",SUMPRODUCT((뱅샐입력!I$4:I$3003=A22)*(MONTH(뱅샐입력!A$4:A$3003)=6)*(YEAR(뱅샐입력!A$4:A$3003)=설정!C3)*(뱅샐입력!C$4:C$3003="지출")*ABS(뱅샐입력!G$4:G$3003))),0)</f>
        <v/>
      </c>
      <c r="I22" s="49">
        <f>IFERROR(IF(A22="","",SUMPRODUCT((뱅샐입력!I$4:I$3003=A22)*(MONTH(뱅샐입력!A$4:A$3003)=7)*(YEAR(뱅샐입력!A$4:A$3003)=설정!C3)*(뱅샐입력!C$4:C$3003="지출")*ABS(뱅샐입력!G$4:G$3003))),0)</f>
        <v/>
      </c>
      <c r="J22" s="49">
        <f>IFERROR(IF(A22="","",SUMPRODUCT((뱅샐입력!I$4:I$3003=A22)*(MONTH(뱅샐입력!A$4:A$3003)=8)*(YEAR(뱅샐입력!A$4:A$3003)=설정!C3)*(뱅샐입력!C$4:C$3003="지출")*ABS(뱅샐입력!G$4:G$3003))),0)</f>
        <v/>
      </c>
      <c r="K22" s="49">
        <f>IFERROR(IF(A22="","",SUMPRODUCT((뱅샐입력!I$4:I$3003=A22)*(MONTH(뱅샐입력!A$4:A$3003)=9)*(YEAR(뱅샐입력!A$4:A$3003)=설정!C3)*(뱅샐입력!C$4:C$3003="지출")*ABS(뱅샐입력!G$4:G$3003))),0)</f>
        <v/>
      </c>
      <c r="L22" s="49">
        <f>IFERROR(IF(A22="","",SUMPRODUCT((뱅샐입력!I$4:I$3003=A22)*(MONTH(뱅샐입력!A$4:A$3003)=10)*(YEAR(뱅샐입력!A$4:A$3003)=설정!C3)*(뱅샐입력!C$4:C$3003="지출")*ABS(뱅샐입력!G$4:G$3003))),0)</f>
        <v/>
      </c>
      <c r="M22" s="49">
        <f>IFERROR(IF(A22="","",SUMPRODUCT((뱅샐입력!I$4:I$3003=A22)*(MONTH(뱅샐입력!A$4:A$3003)=11)*(YEAR(뱅샐입력!A$4:A$3003)=설정!C3)*(뱅샐입력!C$4:C$3003="지출")*ABS(뱅샐입력!G$4:G$3003))),0)</f>
        <v/>
      </c>
      <c r="N22" s="49">
        <f>IFERROR(IF(A22="","",SUMPRODUCT((뱅샐입력!I$4:I$3003=A22)*(MONTH(뱅샐입력!A$4:A$3003)=12)*(YEAR(뱅샐입력!A$4:A$3003)=설정!C3)*(뱅샐입력!C$4:C$3003="지출")*ABS(뱅샐입력!G$4:G$3003))),0)</f>
        <v/>
      </c>
    </row>
    <row r="23" ht="20" customHeight="1">
      <c r="A23" s="99" t="n"/>
      <c r="B23" s="100">
        <f>IFERROR(IF(A23="","",SUMPRODUCT((뱅샐입력!I$4:I$3003=A23)*(YEAR(뱅샐입력!A$4:A$3003)=설정!C3)*(뱅샐입력!C$4:C$3003="지출")*ABS(뱅샐입력!G$4:G$3003))),0)</f>
        <v/>
      </c>
      <c r="C23" s="100">
        <f>IFERROR(IF(A23="","",SUMPRODUCT((뱅샐입력!I$4:I$3003=A23)*(MONTH(뱅샐입력!A$4:A$3003)=1)*(YEAR(뱅샐입력!A$4:A$3003)=설정!C3)*(뱅샐입력!C$4:C$3003="지출")*ABS(뱅샐입력!G$4:G$3003))),0)</f>
        <v/>
      </c>
      <c r="D23" s="100">
        <f>IFERROR(IF(A23="","",SUMPRODUCT((뱅샐입력!I$4:I$3003=A23)*(MONTH(뱅샐입력!A$4:A$3003)=2)*(YEAR(뱅샐입력!A$4:A$3003)=설정!C3)*(뱅샐입력!C$4:C$3003="지출")*ABS(뱅샐입력!G$4:G$3003))),0)</f>
        <v/>
      </c>
      <c r="E23" s="100">
        <f>IFERROR(IF(A23="","",SUMPRODUCT((뱅샐입력!I$4:I$3003=A23)*(MONTH(뱅샐입력!A$4:A$3003)=3)*(YEAR(뱅샐입력!A$4:A$3003)=설정!C3)*(뱅샐입력!C$4:C$3003="지출")*ABS(뱅샐입력!G$4:G$3003))),0)</f>
        <v/>
      </c>
      <c r="F23" s="100">
        <f>IFERROR(IF(A23="","",SUMPRODUCT((뱅샐입력!I$4:I$3003=A23)*(MONTH(뱅샐입력!A$4:A$3003)=4)*(YEAR(뱅샐입력!A$4:A$3003)=설정!C3)*(뱅샐입력!C$4:C$3003="지출")*ABS(뱅샐입력!G$4:G$3003))),0)</f>
        <v/>
      </c>
      <c r="G23" s="100">
        <f>IFERROR(IF(A23="","",SUMPRODUCT((뱅샐입력!I$4:I$3003=A23)*(MONTH(뱅샐입력!A$4:A$3003)=5)*(YEAR(뱅샐입력!A$4:A$3003)=설정!C3)*(뱅샐입력!C$4:C$3003="지출")*ABS(뱅샐입력!G$4:G$3003))),0)</f>
        <v/>
      </c>
      <c r="H23" s="100">
        <f>IFERROR(IF(A23="","",SUMPRODUCT((뱅샐입력!I$4:I$3003=A23)*(MONTH(뱅샐입력!A$4:A$3003)=6)*(YEAR(뱅샐입력!A$4:A$3003)=설정!C3)*(뱅샐입력!C$4:C$3003="지출")*ABS(뱅샐입력!G$4:G$3003))),0)</f>
        <v/>
      </c>
      <c r="I23" s="100">
        <f>IFERROR(IF(A23="","",SUMPRODUCT((뱅샐입력!I$4:I$3003=A23)*(MONTH(뱅샐입력!A$4:A$3003)=7)*(YEAR(뱅샐입력!A$4:A$3003)=설정!C3)*(뱅샐입력!C$4:C$3003="지출")*ABS(뱅샐입력!G$4:G$3003))),0)</f>
        <v/>
      </c>
      <c r="J23" s="100">
        <f>IFERROR(IF(A23="","",SUMPRODUCT((뱅샐입력!I$4:I$3003=A23)*(MONTH(뱅샐입력!A$4:A$3003)=8)*(YEAR(뱅샐입력!A$4:A$3003)=설정!C3)*(뱅샐입력!C$4:C$3003="지출")*ABS(뱅샐입력!G$4:G$3003))),0)</f>
        <v/>
      </c>
      <c r="K23" s="100">
        <f>IFERROR(IF(A23="","",SUMPRODUCT((뱅샐입력!I$4:I$3003=A23)*(MONTH(뱅샐입력!A$4:A$3003)=9)*(YEAR(뱅샐입력!A$4:A$3003)=설정!C3)*(뱅샐입력!C$4:C$3003="지출")*ABS(뱅샐입력!G$4:G$3003))),0)</f>
        <v/>
      </c>
      <c r="L23" s="100">
        <f>IFERROR(IF(A23="","",SUMPRODUCT((뱅샐입력!I$4:I$3003=A23)*(MONTH(뱅샐입력!A$4:A$3003)=10)*(YEAR(뱅샐입력!A$4:A$3003)=설정!C3)*(뱅샐입력!C$4:C$3003="지출")*ABS(뱅샐입력!G$4:G$3003))),0)</f>
        <v/>
      </c>
      <c r="M23" s="100">
        <f>IFERROR(IF(A23="","",SUMPRODUCT((뱅샐입력!I$4:I$3003=A23)*(MONTH(뱅샐입력!A$4:A$3003)=11)*(YEAR(뱅샐입력!A$4:A$3003)=설정!C3)*(뱅샐입력!C$4:C$3003="지출")*ABS(뱅샐입력!G$4:G$3003))),0)</f>
        <v/>
      </c>
      <c r="N23" s="100">
        <f>IFERROR(IF(A23="","",SUMPRODUCT((뱅샐입력!I$4:I$3003=A23)*(MONTH(뱅샐입력!A$4:A$3003)=12)*(YEAR(뱅샐입력!A$4:A$3003)=설정!C3)*(뱅샐입력!C$4:C$3003="지출")*ABS(뱅샐입력!G$4:G$3003))),0)</f>
        <v/>
      </c>
    </row>
    <row r="24" ht="20" customHeight="1">
      <c r="A24" s="101" t="n"/>
      <c r="B24" s="49">
        <f>IFERROR(IF(A24="","",SUMPRODUCT((뱅샐입력!I$4:I$3003=A24)*(YEAR(뱅샐입력!A$4:A$3003)=설정!C3)*(뱅샐입력!C$4:C$3003="지출")*ABS(뱅샐입력!G$4:G$3003))),0)</f>
        <v/>
      </c>
      <c r="C24" s="49">
        <f>IFERROR(IF(A24="","",SUMPRODUCT((뱅샐입력!I$4:I$3003=A24)*(MONTH(뱅샐입력!A$4:A$3003)=1)*(YEAR(뱅샐입력!A$4:A$3003)=설정!C3)*(뱅샐입력!C$4:C$3003="지출")*ABS(뱅샐입력!G$4:G$3003))),0)</f>
        <v/>
      </c>
      <c r="D24" s="49">
        <f>IFERROR(IF(A24="","",SUMPRODUCT((뱅샐입력!I$4:I$3003=A24)*(MONTH(뱅샐입력!A$4:A$3003)=2)*(YEAR(뱅샐입력!A$4:A$3003)=설정!C3)*(뱅샐입력!C$4:C$3003="지출")*ABS(뱅샐입력!G$4:G$3003))),0)</f>
        <v/>
      </c>
      <c r="E24" s="49">
        <f>IFERROR(IF(A24="","",SUMPRODUCT((뱅샐입력!I$4:I$3003=A24)*(MONTH(뱅샐입력!A$4:A$3003)=3)*(YEAR(뱅샐입력!A$4:A$3003)=설정!C3)*(뱅샐입력!C$4:C$3003="지출")*ABS(뱅샐입력!G$4:G$3003))),0)</f>
        <v/>
      </c>
      <c r="F24" s="49">
        <f>IFERROR(IF(A24="","",SUMPRODUCT((뱅샐입력!I$4:I$3003=A24)*(MONTH(뱅샐입력!A$4:A$3003)=4)*(YEAR(뱅샐입력!A$4:A$3003)=설정!C3)*(뱅샐입력!C$4:C$3003="지출")*ABS(뱅샐입력!G$4:G$3003))),0)</f>
        <v/>
      </c>
      <c r="G24" s="49">
        <f>IFERROR(IF(A24="","",SUMPRODUCT((뱅샐입력!I$4:I$3003=A24)*(MONTH(뱅샐입력!A$4:A$3003)=5)*(YEAR(뱅샐입력!A$4:A$3003)=설정!C3)*(뱅샐입력!C$4:C$3003="지출")*ABS(뱅샐입력!G$4:G$3003))),0)</f>
        <v/>
      </c>
      <c r="H24" s="49">
        <f>IFERROR(IF(A24="","",SUMPRODUCT((뱅샐입력!I$4:I$3003=A24)*(MONTH(뱅샐입력!A$4:A$3003)=6)*(YEAR(뱅샐입력!A$4:A$3003)=설정!C3)*(뱅샐입력!C$4:C$3003="지출")*ABS(뱅샐입력!G$4:G$3003))),0)</f>
        <v/>
      </c>
      <c r="I24" s="49">
        <f>IFERROR(IF(A24="","",SUMPRODUCT((뱅샐입력!I$4:I$3003=A24)*(MONTH(뱅샐입력!A$4:A$3003)=7)*(YEAR(뱅샐입력!A$4:A$3003)=설정!C3)*(뱅샐입력!C$4:C$3003="지출")*ABS(뱅샐입력!G$4:G$3003))),0)</f>
        <v/>
      </c>
      <c r="J24" s="49">
        <f>IFERROR(IF(A24="","",SUMPRODUCT((뱅샐입력!I$4:I$3003=A24)*(MONTH(뱅샐입력!A$4:A$3003)=8)*(YEAR(뱅샐입력!A$4:A$3003)=설정!C3)*(뱅샐입력!C$4:C$3003="지출")*ABS(뱅샐입력!G$4:G$3003))),0)</f>
        <v/>
      </c>
      <c r="K24" s="49">
        <f>IFERROR(IF(A24="","",SUMPRODUCT((뱅샐입력!I$4:I$3003=A24)*(MONTH(뱅샐입력!A$4:A$3003)=9)*(YEAR(뱅샐입력!A$4:A$3003)=설정!C3)*(뱅샐입력!C$4:C$3003="지출")*ABS(뱅샐입력!G$4:G$3003))),0)</f>
        <v/>
      </c>
      <c r="L24" s="49">
        <f>IFERROR(IF(A24="","",SUMPRODUCT((뱅샐입력!I$4:I$3003=A24)*(MONTH(뱅샐입력!A$4:A$3003)=10)*(YEAR(뱅샐입력!A$4:A$3003)=설정!C3)*(뱅샐입력!C$4:C$3003="지출")*ABS(뱅샐입력!G$4:G$3003))),0)</f>
        <v/>
      </c>
      <c r="M24" s="49">
        <f>IFERROR(IF(A24="","",SUMPRODUCT((뱅샐입력!I$4:I$3003=A24)*(MONTH(뱅샐입력!A$4:A$3003)=11)*(YEAR(뱅샐입력!A$4:A$3003)=설정!C3)*(뱅샐입력!C$4:C$3003="지출")*ABS(뱅샐입력!G$4:G$3003))),0)</f>
        <v/>
      </c>
      <c r="N24" s="49">
        <f>IFERROR(IF(A24="","",SUMPRODUCT((뱅샐입력!I$4:I$3003=A24)*(MONTH(뱅샐입력!A$4:A$3003)=12)*(YEAR(뱅샐입력!A$4:A$3003)=설정!C3)*(뱅샐입력!C$4:C$3003="지출")*ABS(뱅샐입력!G$4:G$3003))),0)</f>
        <v/>
      </c>
    </row>
    <row r="25" ht="20" customHeight="1">
      <c r="A25" s="99" t="n"/>
      <c r="B25" s="100">
        <f>IFERROR(IF(A25="","",SUMPRODUCT((뱅샐입력!I$4:I$3003=A25)*(YEAR(뱅샐입력!A$4:A$3003)=설정!C3)*(뱅샐입력!C$4:C$3003="지출")*ABS(뱅샐입력!G$4:G$3003))),0)</f>
        <v/>
      </c>
      <c r="C25" s="100">
        <f>IFERROR(IF(A25="","",SUMPRODUCT((뱅샐입력!I$4:I$3003=A25)*(MONTH(뱅샐입력!A$4:A$3003)=1)*(YEAR(뱅샐입력!A$4:A$3003)=설정!C3)*(뱅샐입력!C$4:C$3003="지출")*ABS(뱅샐입력!G$4:G$3003))),0)</f>
        <v/>
      </c>
      <c r="D25" s="100">
        <f>IFERROR(IF(A25="","",SUMPRODUCT((뱅샐입력!I$4:I$3003=A25)*(MONTH(뱅샐입력!A$4:A$3003)=2)*(YEAR(뱅샐입력!A$4:A$3003)=설정!C3)*(뱅샐입력!C$4:C$3003="지출")*ABS(뱅샐입력!G$4:G$3003))),0)</f>
        <v/>
      </c>
      <c r="E25" s="100">
        <f>IFERROR(IF(A25="","",SUMPRODUCT((뱅샐입력!I$4:I$3003=A25)*(MONTH(뱅샐입력!A$4:A$3003)=3)*(YEAR(뱅샐입력!A$4:A$3003)=설정!C3)*(뱅샐입력!C$4:C$3003="지출")*ABS(뱅샐입력!G$4:G$3003))),0)</f>
        <v/>
      </c>
      <c r="F25" s="100">
        <f>IFERROR(IF(A25="","",SUMPRODUCT((뱅샐입력!I$4:I$3003=A25)*(MONTH(뱅샐입력!A$4:A$3003)=4)*(YEAR(뱅샐입력!A$4:A$3003)=설정!C3)*(뱅샐입력!C$4:C$3003="지출")*ABS(뱅샐입력!G$4:G$3003))),0)</f>
        <v/>
      </c>
      <c r="G25" s="100">
        <f>IFERROR(IF(A25="","",SUMPRODUCT((뱅샐입력!I$4:I$3003=A25)*(MONTH(뱅샐입력!A$4:A$3003)=5)*(YEAR(뱅샐입력!A$4:A$3003)=설정!C3)*(뱅샐입력!C$4:C$3003="지출")*ABS(뱅샐입력!G$4:G$3003))),0)</f>
        <v/>
      </c>
      <c r="H25" s="100">
        <f>IFERROR(IF(A25="","",SUMPRODUCT((뱅샐입력!I$4:I$3003=A25)*(MONTH(뱅샐입력!A$4:A$3003)=6)*(YEAR(뱅샐입력!A$4:A$3003)=설정!C3)*(뱅샐입력!C$4:C$3003="지출")*ABS(뱅샐입력!G$4:G$3003))),0)</f>
        <v/>
      </c>
      <c r="I25" s="100">
        <f>IFERROR(IF(A25="","",SUMPRODUCT((뱅샐입력!I$4:I$3003=A25)*(MONTH(뱅샐입력!A$4:A$3003)=7)*(YEAR(뱅샐입력!A$4:A$3003)=설정!C3)*(뱅샐입력!C$4:C$3003="지출")*ABS(뱅샐입력!G$4:G$3003))),0)</f>
        <v/>
      </c>
      <c r="J25" s="100">
        <f>IFERROR(IF(A25="","",SUMPRODUCT((뱅샐입력!I$4:I$3003=A25)*(MONTH(뱅샐입력!A$4:A$3003)=8)*(YEAR(뱅샐입력!A$4:A$3003)=설정!C3)*(뱅샐입력!C$4:C$3003="지출")*ABS(뱅샐입력!G$4:G$3003))),0)</f>
        <v/>
      </c>
      <c r="K25" s="100">
        <f>IFERROR(IF(A25="","",SUMPRODUCT((뱅샐입력!I$4:I$3003=A25)*(MONTH(뱅샐입력!A$4:A$3003)=9)*(YEAR(뱅샐입력!A$4:A$3003)=설정!C3)*(뱅샐입력!C$4:C$3003="지출")*ABS(뱅샐입력!G$4:G$3003))),0)</f>
        <v/>
      </c>
      <c r="L25" s="100">
        <f>IFERROR(IF(A25="","",SUMPRODUCT((뱅샐입력!I$4:I$3003=A25)*(MONTH(뱅샐입력!A$4:A$3003)=10)*(YEAR(뱅샐입력!A$4:A$3003)=설정!C3)*(뱅샐입력!C$4:C$3003="지출")*ABS(뱅샐입력!G$4:G$3003))),0)</f>
        <v/>
      </c>
      <c r="M25" s="100">
        <f>IFERROR(IF(A25="","",SUMPRODUCT((뱅샐입력!I$4:I$3003=A25)*(MONTH(뱅샐입력!A$4:A$3003)=11)*(YEAR(뱅샐입력!A$4:A$3003)=설정!C3)*(뱅샐입력!C$4:C$3003="지출")*ABS(뱅샐입력!G$4:G$3003))),0)</f>
        <v/>
      </c>
      <c r="N25" s="100">
        <f>IFERROR(IF(A25="","",SUMPRODUCT((뱅샐입력!I$4:I$3003=A25)*(MONTH(뱅샐입력!A$4:A$3003)=12)*(YEAR(뱅샐입력!A$4:A$3003)=설정!C3)*(뱅샐입력!C$4:C$3003="지출")*ABS(뱅샐입력!G$4:G$3003))),0)</f>
        <v/>
      </c>
    </row>
    <row r="26" ht="20" customHeight="1">
      <c r="A26" s="101" t="n"/>
      <c r="B26" s="49">
        <f>IFERROR(IF(A26="","",SUMPRODUCT((뱅샐입력!I$4:I$3003=A26)*(YEAR(뱅샐입력!A$4:A$3003)=설정!C3)*(뱅샐입력!C$4:C$3003="지출")*ABS(뱅샐입력!G$4:G$3003))),0)</f>
        <v/>
      </c>
      <c r="C26" s="49">
        <f>IFERROR(IF(A26="","",SUMPRODUCT((뱅샐입력!I$4:I$3003=A26)*(MONTH(뱅샐입력!A$4:A$3003)=1)*(YEAR(뱅샐입력!A$4:A$3003)=설정!C3)*(뱅샐입력!C$4:C$3003="지출")*ABS(뱅샐입력!G$4:G$3003))),0)</f>
        <v/>
      </c>
      <c r="D26" s="49">
        <f>IFERROR(IF(A26="","",SUMPRODUCT((뱅샐입력!I$4:I$3003=A26)*(MONTH(뱅샐입력!A$4:A$3003)=2)*(YEAR(뱅샐입력!A$4:A$3003)=설정!C3)*(뱅샐입력!C$4:C$3003="지출")*ABS(뱅샐입력!G$4:G$3003))),0)</f>
        <v/>
      </c>
      <c r="E26" s="49">
        <f>IFERROR(IF(A26="","",SUMPRODUCT((뱅샐입력!I$4:I$3003=A26)*(MONTH(뱅샐입력!A$4:A$3003)=3)*(YEAR(뱅샐입력!A$4:A$3003)=설정!C3)*(뱅샐입력!C$4:C$3003="지출")*ABS(뱅샐입력!G$4:G$3003))),0)</f>
        <v/>
      </c>
      <c r="F26" s="49">
        <f>IFERROR(IF(A26="","",SUMPRODUCT((뱅샐입력!I$4:I$3003=A26)*(MONTH(뱅샐입력!A$4:A$3003)=4)*(YEAR(뱅샐입력!A$4:A$3003)=설정!C3)*(뱅샐입력!C$4:C$3003="지출")*ABS(뱅샐입력!G$4:G$3003))),0)</f>
        <v/>
      </c>
      <c r="G26" s="49">
        <f>IFERROR(IF(A26="","",SUMPRODUCT((뱅샐입력!I$4:I$3003=A26)*(MONTH(뱅샐입력!A$4:A$3003)=5)*(YEAR(뱅샐입력!A$4:A$3003)=설정!C3)*(뱅샐입력!C$4:C$3003="지출")*ABS(뱅샐입력!G$4:G$3003))),0)</f>
        <v/>
      </c>
      <c r="H26" s="49">
        <f>IFERROR(IF(A26="","",SUMPRODUCT((뱅샐입력!I$4:I$3003=A26)*(MONTH(뱅샐입력!A$4:A$3003)=6)*(YEAR(뱅샐입력!A$4:A$3003)=설정!C3)*(뱅샐입력!C$4:C$3003="지출")*ABS(뱅샐입력!G$4:G$3003))),0)</f>
        <v/>
      </c>
      <c r="I26" s="49">
        <f>IFERROR(IF(A26="","",SUMPRODUCT((뱅샐입력!I$4:I$3003=A26)*(MONTH(뱅샐입력!A$4:A$3003)=7)*(YEAR(뱅샐입력!A$4:A$3003)=설정!C3)*(뱅샐입력!C$4:C$3003="지출")*ABS(뱅샐입력!G$4:G$3003))),0)</f>
        <v/>
      </c>
      <c r="J26" s="49">
        <f>IFERROR(IF(A26="","",SUMPRODUCT((뱅샐입력!I$4:I$3003=A26)*(MONTH(뱅샐입력!A$4:A$3003)=8)*(YEAR(뱅샐입력!A$4:A$3003)=설정!C3)*(뱅샐입력!C$4:C$3003="지출")*ABS(뱅샐입력!G$4:G$3003))),0)</f>
        <v/>
      </c>
      <c r="K26" s="49">
        <f>IFERROR(IF(A26="","",SUMPRODUCT((뱅샐입력!I$4:I$3003=A26)*(MONTH(뱅샐입력!A$4:A$3003)=9)*(YEAR(뱅샐입력!A$4:A$3003)=설정!C3)*(뱅샐입력!C$4:C$3003="지출")*ABS(뱅샐입력!G$4:G$3003))),0)</f>
        <v/>
      </c>
      <c r="L26" s="49">
        <f>IFERROR(IF(A26="","",SUMPRODUCT((뱅샐입력!I$4:I$3003=A26)*(MONTH(뱅샐입력!A$4:A$3003)=10)*(YEAR(뱅샐입력!A$4:A$3003)=설정!C3)*(뱅샐입력!C$4:C$3003="지출")*ABS(뱅샐입력!G$4:G$3003))),0)</f>
        <v/>
      </c>
      <c r="M26" s="49">
        <f>IFERROR(IF(A26="","",SUMPRODUCT((뱅샐입력!I$4:I$3003=A26)*(MONTH(뱅샐입력!A$4:A$3003)=11)*(YEAR(뱅샐입력!A$4:A$3003)=설정!C3)*(뱅샐입력!C$4:C$3003="지출")*ABS(뱅샐입력!G$4:G$3003))),0)</f>
        <v/>
      </c>
      <c r="N26" s="49">
        <f>IFERROR(IF(A26="","",SUMPRODUCT((뱅샐입력!I$4:I$3003=A26)*(MONTH(뱅샐입력!A$4:A$3003)=12)*(YEAR(뱅샐입력!A$4:A$3003)=설정!C3)*(뱅샐입력!C$4:C$3003="지출")*ABS(뱅샐입력!G$4:G$3003))),0)</f>
        <v/>
      </c>
    </row>
    <row r="27" ht="20" customHeight="1">
      <c r="A27" s="99" t="n"/>
      <c r="B27" s="100">
        <f>IFERROR(IF(A27="","",SUMPRODUCT((뱅샐입력!I$4:I$3003=A27)*(YEAR(뱅샐입력!A$4:A$3003)=설정!C3)*(뱅샐입력!C$4:C$3003="지출")*ABS(뱅샐입력!G$4:G$3003))),0)</f>
        <v/>
      </c>
      <c r="C27" s="100">
        <f>IFERROR(IF(A27="","",SUMPRODUCT((뱅샐입력!I$4:I$3003=A27)*(MONTH(뱅샐입력!A$4:A$3003)=1)*(YEAR(뱅샐입력!A$4:A$3003)=설정!C3)*(뱅샐입력!C$4:C$3003="지출")*ABS(뱅샐입력!G$4:G$3003))),0)</f>
        <v/>
      </c>
      <c r="D27" s="100">
        <f>IFERROR(IF(A27="","",SUMPRODUCT((뱅샐입력!I$4:I$3003=A27)*(MONTH(뱅샐입력!A$4:A$3003)=2)*(YEAR(뱅샐입력!A$4:A$3003)=설정!C3)*(뱅샐입력!C$4:C$3003="지출")*ABS(뱅샐입력!G$4:G$3003))),0)</f>
        <v/>
      </c>
      <c r="E27" s="100">
        <f>IFERROR(IF(A27="","",SUMPRODUCT((뱅샐입력!I$4:I$3003=A27)*(MONTH(뱅샐입력!A$4:A$3003)=3)*(YEAR(뱅샐입력!A$4:A$3003)=설정!C3)*(뱅샐입력!C$4:C$3003="지출")*ABS(뱅샐입력!G$4:G$3003))),0)</f>
        <v/>
      </c>
      <c r="F27" s="100">
        <f>IFERROR(IF(A27="","",SUMPRODUCT((뱅샐입력!I$4:I$3003=A27)*(MONTH(뱅샐입력!A$4:A$3003)=4)*(YEAR(뱅샐입력!A$4:A$3003)=설정!C3)*(뱅샐입력!C$4:C$3003="지출")*ABS(뱅샐입력!G$4:G$3003))),0)</f>
        <v/>
      </c>
      <c r="G27" s="100">
        <f>IFERROR(IF(A27="","",SUMPRODUCT((뱅샐입력!I$4:I$3003=A27)*(MONTH(뱅샐입력!A$4:A$3003)=5)*(YEAR(뱅샐입력!A$4:A$3003)=설정!C3)*(뱅샐입력!C$4:C$3003="지출")*ABS(뱅샐입력!G$4:G$3003))),0)</f>
        <v/>
      </c>
      <c r="H27" s="100">
        <f>IFERROR(IF(A27="","",SUMPRODUCT((뱅샐입력!I$4:I$3003=A27)*(MONTH(뱅샐입력!A$4:A$3003)=6)*(YEAR(뱅샐입력!A$4:A$3003)=설정!C3)*(뱅샐입력!C$4:C$3003="지출")*ABS(뱅샐입력!G$4:G$3003))),0)</f>
        <v/>
      </c>
      <c r="I27" s="100">
        <f>IFERROR(IF(A27="","",SUMPRODUCT((뱅샐입력!I$4:I$3003=A27)*(MONTH(뱅샐입력!A$4:A$3003)=7)*(YEAR(뱅샐입력!A$4:A$3003)=설정!C3)*(뱅샐입력!C$4:C$3003="지출")*ABS(뱅샐입력!G$4:G$3003))),0)</f>
        <v/>
      </c>
      <c r="J27" s="100">
        <f>IFERROR(IF(A27="","",SUMPRODUCT((뱅샐입력!I$4:I$3003=A27)*(MONTH(뱅샐입력!A$4:A$3003)=8)*(YEAR(뱅샐입력!A$4:A$3003)=설정!C3)*(뱅샐입력!C$4:C$3003="지출")*ABS(뱅샐입력!G$4:G$3003))),0)</f>
        <v/>
      </c>
      <c r="K27" s="100">
        <f>IFERROR(IF(A27="","",SUMPRODUCT((뱅샐입력!I$4:I$3003=A27)*(MONTH(뱅샐입력!A$4:A$3003)=9)*(YEAR(뱅샐입력!A$4:A$3003)=설정!C3)*(뱅샐입력!C$4:C$3003="지출")*ABS(뱅샐입력!G$4:G$3003))),0)</f>
        <v/>
      </c>
      <c r="L27" s="100">
        <f>IFERROR(IF(A27="","",SUMPRODUCT((뱅샐입력!I$4:I$3003=A27)*(MONTH(뱅샐입력!A$4:A$3003)=10)*(YEAR(뱅샐입력!A$4:A$3003)=설정!C3)*(뱅샐입력!C$4:C$3003="지출")*ABS(뱅샐입력!G$4:G$3003))),0)</f>
        <v/>
      </c>
      <c r="M27" s="100">
        <f>IFERROR(IF(A27="","",SUMPRODUCT((뱅샐입력!I$4:I$3003=A27)*(MONTH(뱅샐입력!A$4:A$3003)=11)*(YEAR(뱅샐입력!A$4:A$3003)=설정!C3)*(뱅샐입력!C$4:C$3003="지출")*ABS(뱅샐입력!G$4:G$3003))),0)</f>
        <v/>
      </c>
      <c r="N27" s="100">
        <f>IFERROR(IF(A27="","",SUMPRODUCT((뱅샐입력!I$4:I$3003=A27)*(MONTH(뱅샐입력!A$4:A$3003)=12)*(YEAR(뱅샐입력!A$4:A$3003)=설정!C3)*(뱅샐입력!C$4:C$3003="지출")*ABS(뱅샐입력!G$4:G$3003))),0)</f>
        <v/>
      </c>
    </row>
    <row r="28" ht="20" customHeight="1">
      <c r="A28" s="101" t="n"/>
      <c r="B28" s="49">
        <f>IFERROR(IF(A28="","",SUMPRODUCT((뱅샐입력!I$4:I$3003=A28)*(YEAR(뱅샐입력!A$4:A$3003)=설정!C3)*(뱅샐입력!C$4:C$3003="지출")*ABS(뱅샐입력!G$4:G$3003))),0)</f>
        <v/>
      </c>
      <c r="C28" s="49">
        <f>IFERROR(IF(A28="","",SUMPRODUCT((뱅샐입력!I$4:I$3003=A28)*(MONTH(뱅샐입력!A$4:A$3003)=1)*(YEAR(뱅샐입력!A$4:A$3003)=설정!C3)*(뱅샐입력!C$4:C$3003="지출")*ABS(뱅샐입력!G$4:G$3003))),0)</f>
        <v/>
      </c>
      <c r="D28" s="49">
        <f>IFERROR(IF(A28="","",SUMPRODUCT((뱅샐입력!I$4:I$3003=A28)*(MONTH(뱅샐입력!A$4:A$3003)=2)*(YEAR(뱅샐입력!A$4:A$3003)=설정!C3)*(뱅샐입력!C$4:C$3003="지출")*ABS(뱅샐입력!G$4:G$3003))),0)</f>
        <v/>
      </c>
      <c r="E28" s="49">
        <f>IFERROR(IF(A28="","",SUMPRODUCT((뱅샐입력!I$4:I$3003=A28)*(MONTH(뱅샐입력!A$4:A$3003)=3)*(YEAR(뱅샐입력!A$4:A$3003)=설정!C3)*(뱅샐입력!C$4:C$3003="지출")*ABS(뱅샐입력!G$4:G$3003))),0)</f>
        <v/>
      </c>
      <c r="F28" s="49">
        <f>IFERROR(IF(A28="","",SUMPRODUCT((뱅샐입력!I$4:I$3003=A28)*(MONTH(뱅샐입력!A$4:A$3003)=4)*(YEAR(뱅샐입력!A$4:A$3003)=설정!C3)*(뱅샐입력!C$4:C$3003="지출")*ABS(뱅샐입력!G$4:G$3003))),0)</f>
        <v/>
      </c>
      <c r="G28" s="49">
        <f>IFERROR(IF(A28="","",SUMPRODUCT((뱅샐입력!I$4:I$3003=A28)*(MONTH(뱅샐입력!A$4:A$3003)=5)*(YEAR(뱅샐입력!A$4:A$3003)=설정!C3)*(뱅샐입력!C$4:C$3003="지출")*ABS(뱅샐입력!G$4:G$3003))),0)</f>
        <v/>
      </c>
      <c r="H28" s="49">
        <f>IFERROR(IF(A28="","",SUMPRODUCT((뱅샐입력!I$4:I$3003=A28)*(MONTH(뱅샐입력!A$4:A$3003)=6)*(YEAR(뱅샐입력!A$4:A$3003)=설정!C3)*(뱅샐입력!C$4:C$3003="지출")*ABS(뱅샐입력!G$4:G$3003))),0)</f>
        <v/>
      </c>
      <c r="I28" s="49">
        <f>IFERROR(IF(A28="","",SUMPRODUCT((뱅샐입력!I$4:I$3003=A28)*(MONTH(뱅샐입력!A$4:A$3003)=7)*(YEAR(뱅샐입력!A$4:A$3003)=설정!C3)*(뱅샐입력!C$4:C$3003="지출")*ABS(뱅샐입력!G$4:G$3003))),0)</f>
        <v/>
      </c>
      <c r="J28" s="49">
        <f>IFERROR(IF(A28="","",SUMPRODUCT((뱅샐입력!I$4:I$3003=A28)*(MONTH(뱅샐입력!A$4:A$3003)=8)*(YEAR(뱅샐입력!A$4:A$3003)=설정!C3)*(뱅샐입력!C$4:C$3003="지출")*ABS(뱅샐입력!G$4:G$3003))),0)</f>
        <v/>
      </c>
      <c r="K28" s="49">
        <f>IFERROR(IF(A28="","",SUMPRODUCT((뱅샐입력!I$4:I$3003=A28)*(MONTH(뱅샐입력!A$4:A$3003)=9)*(YEAR(뱅샐입력!A$4:A$3003)=설정!C3)*(뱅샐입력!C$4:C$3003="지출")*ABS(뱅샐입력!G$4:G$3003))),0)</f>
        <v/>
      </c>
      <c r="L28" s="49">
        <f>IFERROR(IF(A28="","",SUMPRODUCT((뱅샐입력!I$4:I$3003=A28)*(MONTH(뱅샐입력!A$4:A$3003)=10)*(YEAR(뱅샐입력!A$4:A$3003)=설정!C3)*(뱅샐입력!C$4:C$3003="지출")*ABS(뱅샐입력!G$4:G$3003))),0)</f>
        <v/>
      </c>
      <c r="M28" s="49">
        <f>IFERROR(IF(A28="","",SUMPRODUCT((뱅샐입력!I$4:I$3003=A28)*(MONTH(뱅샐입력!A$4:A$3003)=11)*(YEAR(뱅샐입력!A$4:A$3003)=설정!C3)*(뱅샐입력!C$4:C$3003="지출")*ABS(뱅샐입력!G$4:G$3003))),0)</f>
        <v/>
      </c>
      <c r="N28" s="49">
        <f>IFERROR(IF(A28="","",SUMPRODUCT((뱅샐입력!I$4:I$3003=A28)*(MONTH(뱅샐입력!A$4:A$3003)=12)*(YEAR(뱅샐입력!A$4:A$3003)=설정!C3)*(뱅샐입력!C$4:C$3003="지출")*ABS(뱅샐입력!G$4:G$3003))),0)</f>
        <v/>
      </c>
    </row>
    <row r="29" ht="20" customHeight="1">
      <c r="A29" s="99" t="n"/>
      <c r="B29" s="100">
        <f>IFERROR(IF(A29="","",SUMPRODUCT((뱅샐입력!I$4:I$3003=A29)*(YEAR(뱅샐입력!A$4:A$3003)=설정!C3)*(뱅샐입력!C$4:C$3003="지출")*ABS(뱅샐입력!G$4:G$3003))),0)</f>
        <v/>
      </c>
      <c r="C29" s="100">
        <f>IFERROR(IF(A29="","",SUMPRODUCT((뱅샐입력!I$4:I$3003=A29)*(MONTH(뱅샐입력!A$4:A$3003)=1)*(YEAR(뱅샐입력!A$4:A$3003)=설정!C3)*(뱅샐입력!C$4:C$3003="지출")*ABS(뱅샐입력!G$4:G$3003))),0)</f>
        <v/>
      </c>
      <c r="D29" s="100">
        <f>IFERROR(IF(A29="","",SUMPRODUCT((뱅샐입력!I$4:I$3003=A29)*(MONTH(뱅샐입력!A$4:A$3003)=2)*(YEAR(뱅샐입력!A$4:A$3003)=설정!C3)*(뱅샐입력!C$4:C$3003="지출")*ABS(뱅샐입력!G$4:G$3003))),0)</f>
        <v/>
      </c>
      <c r="E29" s="100">
        <f>IFERROR(IF(A29="","",SUMPRODUCT((뱅샐입력!I$4:I$3003=A29)*(MONTH(뱅샐입력!A$4:A$3003)=3)*(YEAR(뱅샐입력!A$4:A$3003)=설정!C3)*(뱅샐입력!C$4:C$3003="지출")*ABS(뱅샐입력!G$4:G$3003))),0)</f>
        <v/>
      </c>
      <c r="F29" s="100">
        <f>IFERROR(IF(A29="","",SUMPRODUCT((뱅샐입력!I$4:I$3003=A29)*(MONTH(뱅샐입력!A$4:A$3003)=4)*(YEAR(뱅샐입력!A$4:A$3003)=설정!C3)*(뱅샐입력!C$4:C$3003="지출")*ABS(뱅샐입력!G$4:G$3003))),0)</f>
        <v/>
      </c>
      <c r="G29" s="100">
        <f>IFERROR(IF(A29="","",SUMPRODUCT((뱅샐입력!I$4:I$3003=A29)*(MONTH(뱅샐입력!A$4:A$3003)=5)*(YEAR(뱅샐입력!A$4:A$3003)=설정!C3)*(뱅샐입력!C$4:C$3003="지출")*ABS(뱅샐입력!G$4:G$3003))),0)</f>
        <v/>
      </c>
      <c r="H29" s="100">
        <f>IFERROR(IF(A29="","",SUMPRODUCT((뱅샐입력!I$4:I$3003=A29)*(MONTH(뱅샐입력!A$4:A$3003)=6)*(YEAR(뱅샐입력!A$4:A$3003)=설정!C3)*(뱅샐입력!C$4:C$3003="지출")*ABS(뱅샐입력!G$4:G$3003))),0)</f>
        <v/>
      </c>
      <c r="I29" s="100">
        <f>IFERROR(IF(A29="","",SUMPRODUCT((뱅샐입력!I$4:I$3003=A29)*(MONTH(뱅샐입력!A$4:A$3003)=7)*(YEAR(뱅샐입력!A$4:A$3003)=설정!C3)*(뱅샐입력!C$4:C$3003="지출")*ABS(뱅샐입력!G$4:G$3003))),0)</f>
        <v/>
      </c>
      <c r="J29" s="100">
        <f>IFERROR(IF(A29="","",SUMPRODUCT((뱅샐입력!I$4:I$3003=A29)*(MONTH(뱅샐입력!A$4:A$3003)=8)*(YEAR(뱅샐입력!A$4:A$3003)=설정!C3)*(뱅샐입력!C$4:C$3003="지출")*ABS(뱅샐입력!G$4:G$3003))),0)</f>
        <v/>
      </c>
      <c r="K29" s="100">
        <f>IFERROR(IF(A29="","",SUMPRODUCT((뱅샐입력!I$4:I$3003=A29)*(MONTH(뱅샐입력!A$4:A$3003)=9)*(YEAR(뱅샐입력!A$4:A$3003)=설정!C3)*(뱅샐입력!C$4:C$3003="지출")*ABS(뱅샐입력!G$4:G$3003))),0)</f>
        <v/>
      </c>
      <c r="L29" s="100">
        <f>IFERROR(IF(A29="","",SUMPRODUCT((뱅샐입력!I$4:I$3003=A29)*(MONTH(뱅샐입력!A$4:A$3003)=10)*(YEAR(뱅샐입력!A$4:A$3003)=설정!C3)*(뱅샐입력!C$4:C$3003="지출")*ABS(뱅샐입력!G$4:G$3003))),0)</f>
        <v/>
      </c>
      <c r="M29" s="100">
        <f>IFERROR(IF(A29="","",SUMPRODUCT((뱅샐입력!I$4:I$3003=A29)*(MONTH(뱅샐입력!A$4:A$3003)=11)*(YEAR(뱅샐입력!A$4:A$3003)=설정!C3)*(뱅샐입력!C$4:C$3003="지출")*ABS(뱅샐입력!G$4:G$3003))),0)</f>
        <v/>
      </c>
      <c r="N29" s="100">
        <f>IFERROR(IF(A29="","",SUMPRODUCT((뱅샐입력!I$4:I$3003=A29)*(MONTH(뱅샐입력!A$4:A$3003)=12)*(YEAR(뱅샐입력!A$4:A$3003)=설정!C3)*(뱅샐입력!C$4:C$3003="지출")*ABS(뱅샐입력!G$4:G$3003))),0)</f>
        <v/>
      </c>
    </row>
    <row r="30" ht="20" customHeight="1">
      <c r="A30" s="101" t="n"/>
      <c r="B30" s="49">
        <f>IFERROR(IF(A30="","",SUMPRODUCT((뱅샐입력!I$4:I$3003=A30)*(YEAR(뱅샐입력!A$4:A$3003)=설정!C3)*(뱅샐입력!C$4:C$3003="지출")*ABS(뱅샐입력!G$4:G$3003))),0)</f>
        <v/>
      </c>
      <c r="C30" s="49">
        <f>IFERROR(IF(A30="","",SUMPRODUCT((뱅샐입력!I$4:I$3003=A30)*(MONTH(뱅샐입력!A$4:A$3003)=1)*(YEAR(뱅샐입력!A$4:A$3003)=설정!C3)*(뱅샐입력!C$4:C$3003="지출")*ABS(뱅샐입력!G$4:G$3003))),0)</f>
        <v/>
      </c>
      <c r="D30" s="49">
        <f>IFERROR(IF(A30="","",SUMPRODUCT((뱅샐입력!I$4:I$3003=A30)*(MONTH(뱅샐입력!A$4:A$3003)=2)*(YEAR(뱅샐입력!A$4:A$3003)=설정!C3)*(뱅샐입력!C$4:C$3003="지출")*ABS(뱅샐입력!G$4:G$3003))),0)</f>
        <v/>
      </c>
      <c r="E30" s="49">
        <f>IFERROR(IF(A30="","",SUMPRODUCT((뱅샐입력!I$4:I$3003=A30)*(MONTH(뱅샐입력!A$4:A$3003)=3)*(YEAR(뱅샐입력!A$4:A$3003)=설정!C3)*(뱅샐입력!C$4:C$3003="지출")*ABS(뱅샐입력!G$4:G$3003))),0)</f>
        <v/>
      </c>
      <c r="F30" s="49">
        <f>IFERROR(IF(A30="","",SUMPRODUCT((뱅샐입력!I$4:I$3003=A30)*(MONTH(뱅샐입력!A$4:A$3003)=4)*(YEAR(뱅샐입력!A$4:A$3003)=설정!C3)*(뱅샐입력!C$4:C$3003="지출")*ABS(뱅샐입력!G$4:G$3003))),0)</f>
        <v/>
      </c>
      <c r="G30" s="49">
        <f>IFERROR(IF(A30="","",SUMPRODUCT((뱅샐입력!I$4:I$3003=A30)*(MONTH(뱅샐입력!A$4:A$3003)=5)*(YEAR(뱅샐입력!A$4:A$3003)=설정!C3)*(뱅샐입력!C$4:C$3003="지출")*ABS(뱅샐입력!G$4:G$3003))),0)</f>
        <v/>
      </c>
      <c r="H30" s="49">
        <f>IFERROR(IF(A30="","",SUMPRODUCT((뱅샐입력!I$4:I$3003=A30)*(MONTH(뱅샐입력!A$4:A$3003)=6)*(YEAR(뱅샐입력!A$4:A$3003)=설정!C3)*(뱅샐입력!C$4:C$3003="지출")*ABS(뱅샐입력!G$4:G$3003))),0)</f>
        <v/>
      </c>
      <c r="I30" s="49">
        <f>IFERROR(IF(A30="","",SUMPRODUCT((뱅샐입력!I$4:I$3003=A30)*(MONTH(뱅샐입력!A$4:A$3003)=7)*(YEAR(뱅샐입력!A$4:A$3003)=설정!C3)*(뱅샐입력!C$4:C$3003="지출")*ABS(뱅샐입력!G$4:G$3003))),0)</f>
        <v/>
      </c>
      <c r="J30" s="49">
        <f>IFERROR(IF(A30="","",SUMPRODUCT((뱅샐입력!I$4:I$3003=A30)*(MONTH(뱅샐입력!A$4:A$3003)=8)*(YEAR(뱅샐입력!A$4:A$3003)=설정!C3)*(뱅샐입력!C$4:C$3003="지출")*ABS(뱅샐입력!G$4:G$3003))),0)</f>
        <v/>
      </c>
      <c r="K30" s="49">
        <f>IFERROR(IF(A30="","",SUMPRODUCT((뱅샐입력!I$4:I$3003=A30)*(MONTH(뱅샐입력!A$4:A$3003)=9)*(YEAR(뱅샐입력!A$4:A$3003)=설정!C3)*(뱅샐입력!C$4:C$3003="지출")*ABS(뱅샐입력!G$4:G$3003))),0)</f>
        <v/>
      </c>
      <c r="L30" s="49">
        <f>IFERROR(IF(A30="","",SUMPRODUCT((뱅샐입력!I$4:I$3003=A30)*(MONTH(뱅샐입력!A$4:A$3003)=10)*(YEAR(뱅샐입력!A$4:A$3003)=설정!C3)*(뱅샐입력!C$4:C$3003="지출")*ABS(뱅샐입력!G$4:G$3003))),0)</f>
        <v/>
      </c>
      <c r="M30" s="49">
        <f>IFERROR(IF(A30="","",SUMPRODUCT((뱅샐입력!I$4:I$3003=A30)*(MONTH(뱅샐입력!A$4:A$3003)=11)*(YEAR(뱅샐입력!A$4:A$3003)=설정!C3)*(뱅샐입력!C$4:C$3003="지출")*ABS(뱅샐입력!G$4:G$3003))),0)</f>
        <v/>
      </c>
      <c r="N30" s="49">
        <f>IFERROR(IF(A30="","",SUMPRODUCT((뱅샐입력!I$4:I$3003=A30)*(MONTH(뱅샐입력!A$4:A$3003)=12)*(YEAR(뱅샐입력!A$4:A$3003)=설정!C3)*(뱅샐입력!C$4:C$3003="지출")*ABS(뱅샐입력!G$4:G$3003))),0)</f>
        <v/>
      </c>
    </row>
    <row r="31" ht="20" customHeight="1">
      <c r="A31" s="99" t="n"/>
      <c r="B31" s="100">
        <f>IFERROR(IF(A31="","",SUMPRODUCT((뱅샐입력!I$4:I$3003=A31)*(YEAR(뱅샐입력!A$4:A$3003)=설정!C3)*(뱅샐입력!C$4:C$3003="지출")*ABS(뱅샐입력!G$4:G$3003))),0)</f>
        <v/>
      </c>
      <c r="C31" s="100">
        <f>IFERROR(IF(A31="","",SUMPRODUCT((뱅샐입력!I$4:I$3003=A31)*(MONTH(뱅샐입력!A$4:A$3003)=1)*(YEAR(뱅샐입력!A$4:A$3003)=설정!C3)*(뱅샐입력!C$4:C$3003="지출")*ABS(뱅샐입력!G$4:G$3003))),0)</f>
        <v/>
      </c>
      <c r="D31" s="100">
        <f>IFERROR(IF(A31="","",SUMPRODUCT((뱅샐입력!I$4:I$3003=A31)*(MONTH(뱅샐입력!A$4:A$3003)=2)*(YEAR(뱅샐입력!A$4:A$3003)=설정!C3)*(뱅샐입력!C$4:C$3003="지출")*ABS(뱅샐입력!G$4:G$3003))),0)</f>
        <v/>
      </c>
      <c r="E31" s="100">
        <f>IFERROR(IF(A31="","",SUMPRODUCT((뱅샐입력!I$4:I$3003=A31)*(MONTH(뱅샐입력!A$4:A$3003)=3)*(YEAR(뱅샐입력!A$4:A$3003)=설정!C3)*(뱅샐입력!C$4:C$3003="지출")*ABS(뱅샐입력!G$4:G$3003))),0)</f>
        <v/>
      </c>
      <c r="F31" s="100">
        <f>IFERROR(IF(A31="","",SUMPRODUCT((뱅샐입력!I$4:I$3003=A31)*(MONTH(뱅샐입력!A$4:A$3003)=4)*(YEAR(뱅샐입력!A$4:A$3003)=설정!C3)*(뱅샐입력!C$4:C$3003="지출")*ABS(뱅샐입력!G$4:G$3003))),0)</f>
        <v/>
      </c>
      <c r="G31" s="100">
        <f>IFERROR(IF(A31="","",SUMPRODUCT((뱅샐입력!I$4:I$3003=A31)*(MONTH(뱅샐입력!A$4:A$3003)=5)*(YEAR(뱅샐입력!A$4:A$3003)=설정!C3)*(뱅샐입력!C$4:C$3003="지출")*ABS(뱅샐입력!G$4:G$3003))),0)</f>
        <v/>
      </c>
      <c r="H31" s="100">
        <f>IFERROR(IF(A31="","",SUMPRODUCT((뱅샐입력!I$4:I$3003=A31)*(MONTH(뱅샐입력!A$4:A$3003)=6)*(YEAR(뱅샐입력!A$4:A$3003)=설정!C3)*(뱅샐입력!C$4:C$3003="지출")*ABS(뱅샐입력!G$4:G$3003))),0)</f>
        <v/>
      </c>
      <c r="I31" s="100">
        <f>IFERROR(IF(A31="","",SUMPRODUCT((뱅샐입력!I$4:I$3003=A31)*(MONTH(뱅샐입력!A$4:A$3003)=7)*(YEAR(뱅샐입력!A$4:A$3003)=설정!C3)*(뱅샐입력!C$4:C$3003="지출")*ABS(뱅샐입력!G$4:G$3003))),0)</f>
        <v/>
      </c>
      <c r="J31" s="100">
        <f>IFERROR(IF(A31="","",SUMPRODUCT((뱅샐입력!I$4:I$3003=A31)*(MONTH(뱅샐입력!A$4:A$3003)=8)*(YEAR(뱅샐입력!A$4:A$3003)=설정!C3)*(뱅샐입력!C$4:C$3003="지출")*ABS(뱅샐입력!G$4:G$3003))),0)</f>
        <v/>
      </c>
      <c r="K31" s="100">
        <f>IFERROR(IF(A31="","",SUMPRODUCT((뱅샐입력!I$4:I$3003=A31)*(MONTH(뱅샐입력!A$4:A$3003)=9)*(YEAR(뱅샐입력!A$4:A$3003)=설정!C3)*(뱅샐입력!C$4:C$3003="지출")*ABS(뱅샐입력!G$4:G$3003))),0)</f>
        <v/>
      </c>
      <c r="L31" s="100">
        <f>IFERROR(IF(A31="","",SUMPRODUCT((뱅샐입력!I$4:I$3003=A31)*(MONTH(뱅샐입력!A$4:A$3003)=10)*(YEAR(뱅샐입력!A$4:A$3003)=설정!C3)*(뱅샐입력!C$4:C$3003="지출")*ABS(뱅샐입력!G$4:G$3003))),0)</f>
        <v/>
      </c>
      <c r="M31" s="100">
        <f>IFERROR(IF(A31="","",SUMPRODUCT((뱅샐입력!I$4:I$3003=A31)*(MONTH(뱅샐입력!A$4:A$3003)=11)*(YEAR(뱅샐입력!A$4:A$3003)=설정!C3)*(뱅샐입력!C$4:C$3003="지출")*ABS(뱅샐입력!G$4:G$3003))),0)</f>
        <v/>
      </c>
      <c r="N31" s="100">
        <f>IFERROR(IF(A31="","",SUMPRODUCT((뱅샐입력!I$4:I$3003=A31)*(MONTH(뱅샐입력!A$4:A$3003)=12)*(YEAR(뱅샐입력!A$4:A$3003)=설정!C3)*(뱅샐입력!C$4:C$3003="지출")*ABS(뱅샐입력!G$4:G$3003))),0)</f>
        <v/>
      </c>
    </row>
    <row r="32" ht="20" customHeight="1">
      <c r="A32" s="101" t="n"/>
      <c r="B32" s="49">
        <f>IFERROR(IF(A32="","",SUMPRODUCT((뱅샐입력!I$4:I$3003=A32)*(YEAR(뱅샐입력!A$4:A$3003)=설정!C3)*(뱅샐입력!C$4:C$3003="지출")*ABS(뱅샐입력!G$4:G$3003))),0)</f>
        <v/>
      </c>
      <c r="C32" s="49">
        <f>IFERROR(IF(A32="","",SUMPRODUCT((뱅샐입력!I$4:I$3003=A32)*(MONTH(뱅샐입력!A$4:A$3003)=1)*(YEAR(뱅샐입력!A$4:A$3003)=설정!C3)*(뱅샐입력!C$4:C$3003="지출")*ABS(뱅샐입력!G$4:G$3003))),0)</f>
        <v/>
      </c>
      <c r="D32" s="49">
        <f>IFERROR(IF(A32="","",SUMPRODUCT((뱅샐입력!I$4:I$3003=A32)*(MONTH(뱅샐입력!A$4:A$3003)=2)*(YEAR(뱅샐입력!A$4:A$3003)=설정!C3)*(뱅샐입력!C$4:C$3003="지출")*ABS(뱅샐입력!G$4:G$3003))),0)</f>
        <v/>
      </c>
      <c r="E32" s="49">
        <f>IFERROR(IF(A32="","",SUMPRODUCT((뱅샐입력!I$4:I$3003=A32)*(MONTH(뱅샐입력!A$4:A$3003)=3)*(YEAR(뱅샐입력!A$4:A$3003)=설정!C3)*(뱅샐입력!C$4:C$3003="지출")*ABS(뱅샐입력!G$4:G$3003))),0)</f>
        <v/>
      </c>
      <c r="F32" s="49">
        <f>IFERROR(IF(A32="","",SUMPRODUCT((뱅샐입력!I$4:I$3003=A32)*(MONTH(뱅샐입력!A$4:A$3003)=4)*(YEAR(뱅샐입력!A$4:A$3003)=설정!C3)*(뱅샐입력!C$4:C$3003="지출")*ABS(뱅샐입력!G$4:G$3003))),0)</f>
        <v/>
      </c>
      <c r="G32" s="49">
        <f>IFERROR(IF(A32="","",SUMPRODUCT((뱅샐입력!I$4:I$3003=A32)*(MONTH(뱅샐입력!A$4:A$3003)=5)*(YEAR(뱅샐입력!A$4:A$3003)=설정!C3)*(뱅샐입력!C$4:C$3003="지출")*ABS(뱅샐입력!G$4:G$3003))),0)</f>
        <v/>
      </c>
      <c r="H32" s="49">
        <f>IFERROR(IF(A32="","",SUMPRODUCT((뱅샐입력!I$4:I$3003=A32)*(MONTH(뱅샐입력!A$4:A$3003)=6)*(YEAR(뱅샐입력!A$4:A$3003)=설정!C3)*(뱅샐입력!C$4:C$3003="지출")*ABS(뱅샐입력!G$4:G$3003))),0)</f>
        <v/>
      </c>
      <c r="I32" s="49">
        <f>IFERROR(IF(A32="","",SUMPRODUCT((뱅샐입력!I$4:I$3003=A32)*(MONTH(뱅샐입력!A$4:A$3003)=7)*(YEAR(뱅샐입력!A$4:A$3003)=설정!C3)*(뱅샐입력!C$4:C$3003="지출")*ABS(뱅샐입력!G$4:G$3003))),0)</f>
        <v/>
      </c>
      <c r="J32" s="49">
        <f>IFERROR(IF(A32="","",SUMPRODUCT((뱅샐입력!I$4:I$3003=A32)*(MONTH(뱅샐입력!A$4:A$3003)=8)*(YEAR(뱅샐입력!A$4:A$3003)=설정!C3)*(뱅샐입력!C$4:C$3003="지출")*ABS(뱅샐입력!G$4:G$3003))),0)</f>
        <v/>
      </c>
      <c r="K32" s="49">
        <f>IFERROR(IF(A32="","",SUMPRODUCT((뱅샐입력!I$4:I$3003=A32)*(MONTH(뱅샐입력!A$4:A$3003)=9)*(YEAR(뱅샐입력!A$4:A$3003)=설정!C3)*(뱅샐입력!C$4:C$3003="지출")*ABS(뱅샐입력!G$4:G$3003))),0)</f>
        <v/>
      </c>
      <c r="L32" s="49">
        <f>IFERROR(IF(A32="","",SUMPRODUCT((뱅샐입력!I$4:I$3003=A32)*(MONTH(뱅샐입력!A$4:A$3003)=10)*(YEAR(뱅샐입력!A$4:A$3003)=설정!C3)*(뱅샐입력!C$4:C$3003="지출")*ABS(뱅샐입력!G$4:G$3003))),0)</f>
        <v/>
      </c>
      <c r="M32" s="49">
        <f>IFERROR(IF(A32="","",SUMPRODUCT((뱅샐입력!I$4:I$3003=A32)*(MONTH(뱅샐입력!A$4:A$3003)=11)*(YEAR(뱅샐입력!A$4:A$3003)=설정!C3)*(뱅샐입력!C$4:C$3003="지출")*ABS(뱅샐입력!G$4:G$3003))),0)</f>
        <v/>
      </c>
      <c r="N32" s="49">
        <f>IFERROR(IF(A32="","",SUMPRODUCT((뱅샐입력!I$4:I$3003=A32)*(MONTH(뱅샐입력!A$4:A$3003)=12)*(YEAR(뱅샐입력!A$4:A$3003)=설정!C3)*(뱅샐입력!C$4:C$3003="지출")*ABS(뱅샐입력!G$4:G$3003))),0)</f>
        <v/>
      </c>
    </row>
    <row r="33" ht="20" customHeight="1">
      <c r="A33" s="99" t="n"/>
      <c r="B33" s="100">
        <f>IFERROR(IF(A33="","",SUMPRODUCT((뱅샐입력!I$4:I$3003=A33)*(YEAR(뱅샐입력!A$4:A$3003)=설정!C3)*(뱅샐입력!C$4:C$3003="지출")*ABS(뱅샐입력!G$4:G$3003))),0)</f>
        <v/>
      </c>
      <c r="C33" s="100">
        <f>IFERROR(IF(A33="","",SUMPRODUCT((뱅샐입력!I$4:I$3003=A33)*(MONTH(뱅샐입력!A$4:A$3003)=1)*(YEAR(뱅샐입력!A$4:A$3003)=설정!C3)*(뱅샐입력!C$4:C$3003="지출")*ABS(뱅샐입력!G$4:G$3003))),0)</f>
        <v/>
      </c>
      <c r="D33" s="100">
        <f>IFERROR(IF(A33="","",SUMPRODUCT((뱅샐입력!I$4:I$3003=A33)*(MONTH(뱅샐입력!A$4:A$3003)=2)*(YEAR(뱅샐입력!A$4:A$3003)=설정!C3)*(뱅샐입력!C$4:C$3003="지출")*ABS(뱅샐입력!G$4:G$3003))),0)</f>
        <v/>
      </c>
      <c r="E33" s="100">
        <f>IFERROR(IF(A33="","",SUMPRODUCT((뱅샐입력!I$4:I$3003=A33)*(MONTH(뱅샐입력!A$4:A$3003)=3)*(YEAR(뱅샐입력!A$4:A$3003)=설정!C3)*(뱅샐입력!C$4:C$3003="지출")*ABS(뱅샐입력!G$4:G$3003))),0)</f>
        <v/>
      </c>
      <c r="F33" s="100">
        <f>IFERROR(IF(A33="","",SUMPRODUCT((뱅샐입력!I$4:I$3003=A33)*(MONTH(뱅샐입력!A$4:A$3003)=4)*(YEAR(뱅샐입력!A$4:A$3003)=설정!C3)*(뱅샐입력!C$4:C$3003="지출")*ABS(뱅샐입력!G$4:G$3003))),0)</f>
        <v/>
      </c>
      <c r="G33" s="100">
        <f>IFERROR(IF(A33="","",SUMPRODUCT((뱅샐입력!I$4:I$3003=A33)*(MONTH(뱅샐입력!A$4:A$3003)=5)*(YEAR(뱅샐입력!A$4:A$3003)=설정!C3)*(뱅샐입력!C$4:C$3003="지출")*ABS(뱅샐입력!G$4:G$3003))),0)</f>
        <v/>
      </c>
      <c r="H33" s="100">
        <f>IFERROR(IF(A33="","",SUMPRODUCT((뱅샐입력!I$4:I$3003=A33)*(MONTH(뱅샐입력!A$4:A$3003)=6)*(YEAR(뱅샐입력!A$4:A$3003)=설정!C3)*(뱅샐입력!C$4:C$3003="지출")*ABS(뱅샐입력!G$4:G$3003))),0)</f>
        <v/>
      </c>
      <c r="I33" s="100">
        <f>IFERROR(IF(A33="","",SUMPRODUCT((뱅샐입력!I$4:I$3003=A33)*(MONTH(뱅샐입력!A$4:A$3003)=7)*(YEAR(뱅샐입력!A$4:A$3003)=설정!C3)*(뱅샐입력!C$4:C$3003="지출")*ABS(뱅샐입력!G$4:G$3003))),0)</f>
        <v/>
      </c>
      <c r="J33" s="100">
        <f>IFERROR(IF(A33="","",SUMPRODUCT((뱅샐입력!I$4:I$3003=A33)*(MONTH(뱅샐입력!A$4:A$3003)=8)*(YEAR(뱅샐입력!A$4:A$3003)=설정!C3)*(뱅샐입력!C$4:C$3003="지출")*ABS(뱅샐입력!G$4:G$3003))),0)</f>
        <v/>
      </c>
      <c r="K33" s="100">
        <f>IFERROR(IF(A33="","",SUMPRODUCT((뱅샐입력!I$4:I$3003=A33)*(MONTH(뱅샐입력!A$4:A$3003)=9)*(YEAR(뱅샐입력!A$4:A$3003)=설정!C3)*(뱅샐입력!C$4:C$3003="지출")*ABS(뱅샐입력!G$4:G$3003))),0)</f>
        <v/>
      </c>
      <c r="L33" s="100">
        <f>IFERROR(IF(A33="","",SUMPRODUCT((뱅샐입력!I$4:I$3003=A33)*(MONTH(뱅샐입력!A$4:A$3003)=10)*(YEAR(뱅샐입력!A$4:A$3003)=설정!C3)*(뱅샐입력!C$4:C$3003="지출")*ABS(뱅샐입력!G$4:G$3003))),0)</f>
        <v/>
      </c>
      <c r="M33" s="100">
        <f>IFERROR(IF(A33="","",SUMPRODUCT((뱅샐입력!I$4:I$3003=A33)*(MONTH(뱅샐입력!A$4:A$3003)=11)*(YEAR(뱅샐입력!A$4:A$3003)=설정!C3)*(뱅샐입력!C$4:C$3003="지출")*ABS(뱅샐입력!G$4:G$3003))),0)</f>
        <v/>
      </c>
      <c r="N33" s="100">
        <f>IFERROR(IF(A33="","",SUMPRODUCT((뱅샐입력!I$4:I$3003=A33)*(MONTH(뱅샐입력!A$4:A$3003)=12)*(YEAR(뱅샐입력!A$4:A$3003)=설정!C3)*(뱅샐입력!C$4:C$3003="지출")*ABS(뱅샐입력!G$4:G$3003))),0)</f>
        <v/>
      </c>
    </row>
    <row r="34" ht="20" customHeight="1">
      <c r="A34" s="101" t="n"/>
      <c r="B34" s="49">
        <f>IFERROR(IF(A34="","",SUMPRODUCT((뱅샐입력!I$4:I$3003=A34)*(YEAR(뱅샐입력!A$4:A$3003)=설정!C3)*(뱅샐입력!C$4:C$3003="지출")*ABS(뱅샐입력!G$4:G$3003))),0)</f>
        <v/>
      </c>
      <c r="C34" s="49">
        <f>IFERROR(IF(A34="","",SUMPRODUCT((뱅샐입력!I$4:I$3003=A34)*(MONTH(뱅샐입력!A$4:A$3003)=1)*(YEAR(뱅샐입력!A$4:A$3003)=설정!C3)*(뱅샐입력!C$4:C$3003="지출")*ABS(뱅샐입력!G$4:G$3003))),0)</f>
        <v/>
      </c>
      <c r="D34" s="49">
        <f>IFERROR(IF(A34="","",SUMPRODUCT((뱅샐입력!I$4:I$3003=A34)*(MONTH(뱅샐입력!A$4:A$3003)=2)*(YEAR(뱅샐입력!A$4:A$3003)=설정!C3)*(뱅샐입력!C$4:C$3003="지출")*ABS(뱅샐입력!G$4:G$3003))),0)</f>
        <v/>
      </c>
      <c r="E34" s="49">
        <f>IFERROR(IF(A34="","",SUMPRODUCT((뱅샐입력!I$4:I$3003=A34)*(MONTH(뱅샐입력!A$4:A$3003)=3)*(YEAR(뱅샐입력!A$4:A$3003)=설정!C3)*(뱅샐입력!C$4:C$3003="지출")*ABS(뱅샐입력!G$4:G$3003))),0)</f>
        <v/>
      </c>
      <c r="F34" s="49">
        <f>IFERROR(IF(A34="","",SUMPRODUCT((뱅샐입력!I$4:I$3003=A34)*(MONTH(뱅샐입력!A$4:A$3003)=4)*(YEAR(뱅샐입력!A$4:A$3003)=설정!C3)*(뱅샐입력!C$4:C$3003="지출")*ABS(뱅샐입력!G$4:G$3003))),0)</f>
        <v/>
      </c>
      <c r="G34" s="49">
        <f>IFERROR(IF(A34="","",SUMPRODUCT((뱅샐입력!I$4:I$3003=A34)*(MONTH(뱅샐입력!A$4:A$3003)=5)*(YEAR(뱅샐입력!A$4:A$3003)=설정!C3)*(뱅샐입력!C$4:C$3003="지출")*ABS(뱅샐입력!G$4:G$3003))),0)</f>
        <v/>
      </c>
      <c r="H34" s="49">
        <f>IFERROR(IF(A34="","",SUMPRODUCT((뱅샐입력!I$4:I$3003=A34)*(MONTH(뱅샐입력!A$4:A$3003)=6)*(YEAR(뱅샐입력!A$4:A$3003)=설정!C3)*(뱅샐입력!C$4:C$3003="지출")*ABS(뱅샐입력!G$4:G$3003))),0)</f>
        <v/>
      </c>
      <c r="I34" s="49">
        <f>IFERROR(IF(A34="","",SUMPRODUCT((뱅샐입력!I$4:I$3003=A34)*(MONTH(뱅샐입력!A$4:A$3003)=7)*(YEAR(뱅샐입력!A$4:A$3003)=설정!C3)*(뱅샐입력!C$4:C$3003="지출")*ABS(뱅샐입력!G$4:G$3003))),0)</f>
        <v/>
      </c>
      <c r="J34" s="49">
        <f>IFERROR(IF(A34="","",SUMPRODUCT((뱅샐입력!I$4:I$3003=A34)*(MONTH(뱅샐입력!A$4:A$3003)=8)*(YEAR(뱅샐입력!A$4:A$3003)=설정!C3)*(뱅샐입력!C$4:C$3003="지출")*ABS(뱅샐입력!G$4:G$3003))),0)</f>
        <v/>
      </c>
      <c r="K34" s="49">
        <f>IFERROR(IF(A34="","",SUMPRODUCT((뱅샐입력!I$4:I$3003=A34)*(MONTH(뱅샐입력!A$4:A$3003)=9)*(YEAR(뱅샐입력!A$4:A$3003)=설정!C3)*(뱅샐입력!C$4:C$3003="지출")*ABS(뱅샐입력!G$4:G$3003))),0)</f>
        <v/>
      </c>
      <c r="L34" s="49">
        <f>IFERROR(IF(A34="","",SUMPRODUCT((뱅샐입력!I$4:I$3003=A34)*(MONTH(뱅샐입력!A$4:A$3003)=10)*(YEAR(뱅샐입력!A$4:A$3003)=설정!C3)*(뱅샐입력!C$4:C$3003="지출")*ABS(뱅샐입력!G$4:G$3003))),0)</f>
        <v/>
      </c>
      <c r="M34" s="49">
        <f>IFERROR(IF(A34="","",SUMPRODUCT((뱅샐입력!I$4:I$3003=A34)*(MONTH(뱅샐입력!A$4:A$3003)=11)*(YEAR(뱅샐입력!A$4:A$3003)=설정!C3)*(뱅샐입력!C$4:C$3003="지출")*ABS(뱅샐입력!G$4:G$3003))),0)</f>
        <v/>
      </c>
      <c r="N34" s="49">
        <f>IFERROR(IF(A34="","",SUMPRODUCT((뱅샐입력!I$4:I$3003=A34)*(MONTH(뱅샐입력!A$4:A$3003)=12)*(YEAR(뱅샐입력!A$4:A$3003)=설정!C3)*(뱅샐입력!C$4:C$3003="지출")*ABS(뱅샐입력!G$4:G$3003))),0)</f>
        <v/>
      </c>
    </row>
    <row r="35" ht="22" customHeight="1">
      <c r="A35" s="51" t="inlineStr">
        <is>
          <t>합계</t>
        </is>
      </c>
      <c r="B35" s="52">
        <f>SUM(B5:B34)</f>
        <v/>
      </c>
      <c r="C35" s="52">
        <f>SUM(C5:C34)</f>
        <v/>
      </c>
      <c r="D35" s="52">
        <f>SUM(D5:D34)</f>
        <v/>
      </c>
      <c r="E35" s="52">
        <f>SUM(E5:E34)</f>
        <v/>
      </c>
      <c r="F35" s="52">
        <f>SUM(F5:F34)</f>
        <v/>
      </c>
      <c r="G35" s="52">
        <f>SUM(G5:G34)</f>
        <v/>
      </c>
      <c r="H35" s="52">
        <f>SUM(H5:H34)</f>
        <v/>
      </c>
      <c r="I35" s="52">
        <f>SUM(I5:I34)</f>
        <v/>
      </c>
      <c r="J35" s="52">
        <f>SUM(J5:J34)</f>
        <v/>
      </c>
      <c r="K35" s="52">
        <f>SUM(K5:K34)</f>
        <v/>
      </c>
      <c r="L35" s="52">
        <f>SUM(L5:L34)</f>
        <v/>
      </c>
      <c r="M35" s="52">
        <f>SUM(M5:M34)</f>
        <v/>
      </c>
      <c r="N35" s="52">
        <f>SUM(N5:N34)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P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4" customWidth="1" min="17" max="17"/>
  </cols>
  <sheetData>
    <row r="1" ht="30" customHeight="1">
      <c r="B1" s="34">
        <f>설정!C3&amp;"년 카테고리별 지출 분석"</f>
        <v/>
      </c>
    </row>
    <row r="2" ht="14" customHeight="1">
      <c r="B2" s="35" t="inlineStr">
        <is>
          <t>※ 뱅샐입력 데이터 기준 자동 집계. 연간 예산 대비 실제 지출을 분석합니다.</t>
        </is>
      </c>
    </row>
    <row r="4" ht="24" customHeight="1">
      <c r="B4" s="102" t="inlineStr">
        <is>
          <t>① 카테고리별 연간 지출 요약</t>
        </is>
      </c>
      <c r="C4" s="10" t="n"/>
      <c r="D4" s="10" t="n"/>
      <c r="E4" s="10" t="n"/>
      <c r="F4" s="10" t="n"/>
      <c r="G4" s="11" t="n"/>
    </row>
    <row r="5" ht="22" customHeight="1">
      <c r="B5" s="27" t="inlineStr">
        <is>
          <t>대분류</t>
        </is>
      </c>
      <c r="C5" s="27" t="inlineStr">
        <is>
          <t>중분류</t>
        </is>
      </c>
      <c r="D5" s="43" t="inlineStr">
        <is>
          <t>연간예산</t>
        </is>
      </c>
      <c r="E5" s="44" t="inlineStr">
        <is>
          <t>연간실제지출</t>
        </is>
      </c>
      <c r="F5" s="45" t="inlineStr">
        <is>
          <t>차액</t>
        </is>
      </c>
      <c r="G5" s="45" t="inlineStr">
        <is>
          <t>달성율</t>
        </is>
      </c>
    </row>
    <row r="6" ht="20" customHeight="1">
      <c r="B6" s="46" t="inlineStr">
        <is>
          <t>고정비</t>
        </is>
      </c>
      <c r="C6" s="46" t="inlineStr">
        <is>
          <t>교통비</t>
        </is>
      </c>
      <c r="D6" s="47">
        <f>IFERROR(SUMIFS(수입&amp;예산!H$15:H$50,수입&amp;예산!B$15:B$50,B6,수입&amp;예산!C$15:C$50,C6)*10000*12,0)</f>
        <v/>
      </c>
      <c r="E6" s="47">
        <f>SUMPRODUCT((YEAR(뱅샐입력!A$4:A$3003)=설정!C3)*(뱅샐입력!C$4:C$3003="지출")*(뱅샐입력!D$4:D$3003=B6)*ABS(뱅샐입력!G$4:G$3003))</f>
        <v/>
      </c>
      <c r="F6" s="47">
        <f>D6-E6</f>
        <v/>
      </c>
      <c r="G6" s="48">
        <f>IFERROR(E6/D6,0)</f>
        <v/>
      </c>
    </row>
    <row r="7" ht="20" customHeight="1">
      <c r="B7" s="32" t="inlineStr">
        <is>
          <t>고정비</t>
        </is>
      </c>
      <c r="C7" s="32" t="inlineStr">
        <is>
          <t>휴대폰/인터넷</t>
        </is>
      </c>
      <c r="D7" s="49">
        <f>IFERROR(SUMIFS(수입&amp;예산!H$15:H$50,수입&amp;예산!B$15:B$50,B7,수입&amp;예산!C$15:C$50,C7)*10000*12,0)</f>
        <v/>
      </c>
      <c r="E7" s="49">
        <f>SUMPRODUCT((YEAR(뱅샐입력!A$4:A$3003)=설정!C3)*(뱅샐입력!C$4:C$3003="지출")*(뱅샐입력!D$4:D$3003=B7)*ABS(뱅샐입력!G$4:G$3003))</f>
        <v/>
      </c>
      <c r="F7" s="49">
        <f>D7-E7</f>
        <v/>
      </c>
      <c r="G7" s="50">
        <f>IFERROR(E7/D7,0)</f>
        <v/>
      </c>
    </row>
    <row r="8" ht="20" customHeight="1">
      <c r="B8" s="46" t="inlineStr">
        <is>
          <t>고정비</t>
        </is>
      </c>
      <c r="C8" s="46" t="inlineStr">
        <is>
          <t>보험/연금</t>
        </is>
      </c>
      <c r="D8" s="47">
        <f>IFERROR(SUMIFS(수입&amp;예산!H$15:H$50,수입&amp;예산!B$15:B$50,B8,수입&amp;예산!C$15:C$50,C8)*10000*12,0)</f>
        <v/>
      </c>
      <c r="E8" s="47">
        <f>SUMPRODUCT((YEAR(뱅샐입력!A$4:A$3003)=설정!C3)*(뱅샐입력!C$4:C$3003="지출")*(뱅샐입력!D$4:D$3003=B8)*ABS(뱅샐입력!G$4:G$3003))</f>
        <v/>
      </c>
      <c r="F8" s="47">
        <f>D8-E8</f>
        <v/>
      </c>
      <c r="G8" s="48">
        <f>IFERROR(E8/D8,0)</f>
        <v/>
      </c>
    </row>
    <row r="9" ht="20" customHeight="1">
      <c r="B9" s="32" t="inlineStr">
        <is>
          <t>고정비</t>
        </is>
      </c>
      <c r="C9" s="32" t="inlineStr">
        <is>
          <t>부모님</t>
        </is>
      </c>
      <c r="D9" s="49">
        <f>IFERROR(SUMIFS(수입&amp;예산!H$15:H$50,수입&amp;예산!B$15:B$50,B9,수입&amp;예산!C$15:C$50,C9)*10000*12,0)</f>
        <v/>
      </c>
      <c r="E9" s="49">
        <f>SUMPRODUCT((YEAR(뱅샐입력!A$4:A$3003)=설정!C3)*(뱅샐입력!C$4:C$3003="지출")*(뱅샐입력!D$4:D$3003=B9)*ABS(뱅샐입력!G$4:G$3003))</f>
        <v/>
      </c>
      <c r="F9" s="49">
        <f>D9-E9</f>
        <v/>
      </c>
      <c r="G9" s="50">
        <f>IFERROR(E9/D9,0)</f>
        <v/>
      </c>
    </row>
    <row r="10" ht="20" customHeight="1">
      <c r="B10" s="46" t="inlineStr">
        <is>
          <t>고정비</t>
        </is>
      </c>
      <c r="C10" s="46" t="inlineStr">
        <is>
          <t>기흥모임</t>
        </is>
      </c>
      <c r="D10" s="47">
        <f>IFERROR(SUMIFS(수입&amp;예산!H$15:H$50,수입&amp;예산!B$15:B$50,B10,수입&amp;예산!C$15:C$50,C10)*10000*12,0)</f>
        <v/>
      </c>
      <c r="E10" s="47">
        <f>SUMPRODUCT((YEAR(뱅샐입력!A$4:A$3003)=설정!C3)*(뱅샐입력!C$4:C$3003="지출")*(뱅샐입력!D$4:D$3003=B10)*ABS(뱅샐입력!G$4:G$3003))</f>
        <v/>
      </c>
      <c r="F10" s="47">
        <f>D10-E10</f>
        <v/>
      </c>
      <c r="G10" s="48">
        <f>IFERROR(E10/D10,0)</f>
        <v/>
      </c>
    </row>
    <row r="11" ht="20" customHeight="1">
      <c r="B11" s="32" t="inlineStr">
        <is>
          <t>고정비</t>
        </is>
      </c>
      <c r="C11" s="32" t="inlineStr">
        <is>
          <t>구독형서비스</t>
        </is>
      </c>
      <c r="D11" s="49">
        <f>IFERROR(SUMIFS(수입&amp;예산!H$15:H$50,수입&amp;예산!B$15:B$50,B11,수입&amp;예산!C$15:C$50,C11)*10000*12,0)</f>
        <v/>
      </c>
      <c r="E11" s="49">
        <f>SUMPRODUCT((YEAR(뱅샐입력!A$4:A$3003)=설정!C3)*(뱅샐입력!C$4:C$3003="지출")*(뱅샐입력!D$4:D$3003=B11)*ABS(뱅샐입력!G$4:G$3003))</f>
        <v/>
      </c>
      <c r="F11" s="49">
        <f>D11-E11</f>
        <v/>
      </c>
      <c r="G11" s="50">
        <f>IFERROR(E11/D11,0)</f>
        <v/>
      </c>
    </row>
    <row r="12" ht="20" customHeight="1">
      <c r="B12" s="46" t="inlineStr">
        <is>
          <t>고정비</t>
        </is>
      </c>
      <c r="C12" s="46" t="inlineStr">
        <is>
          <t>용돈</t>
        </is>
      </c>
      <c r="D12" s="47">
        <f>IFERROR(SUMIFS(수입&amp;예산!H$15:H$50,수입&amp;예산!B$15:B$50,B12,수입&amp;예산!C$15:C$50,C12)*10000*12,0)</f>
        <v/>
      </c>
      <c r="E12" s="47">
        <f>SUMPRODUCT((YEAR(뱅샐입력!A$4:A$3003)=설정!C3)*(뱅샐입력!C$4:C$3003="지출")*(뱅샐입력!D$4:D$3003=B12)*ABS(뱅샐입력!G$4:G$3003))</f>
        <v/>
      </c>
      <c r="F12" s="47">
        <f>D12-E12</f>
        <v/>
      </c>
      <c r="G12" s="48">
        <f>IFERROR(E12/D12,0)</f>
        <v/>
      </c>
    </row>
    <row r="13" ht="20" customHeight="1">
      <c r="B13" s="32" t="inlineStr">
        <is>
          <t>고정비</t>
        </is>
      </c>
      <c r="C13" s="32" t="inlineStr">
        <is>
          <t>아파트관리비</t>
        </is>
      </c>
      <c r="D13" s="49">
        <f>IFERROR(SUMIFS(수입&amp;예산!H$15:H$50,수입&amp;예산!B$15:B$50,B13,수입&amp;예산!C$15:C$50,C13)*10000*12,0)</f>
        <v/>
      </c>
      <c r="E13" s="49">
        <f>SUMPRODUCT((YEAR(뱅샐입력!A$4:A$3003)=설정!C3)*(뱅샐입력!C$4:C$3003="지출")*(뱅샐입력!D$4:D$3003=B13)*ABS(뱅샐입력!G$4:G$3003))</f>
        <v/>
      </c>
      <c r="F13" s="49">
        <f>D13-E13</f>
        <v/>
      </c>
      <c r="G13" s="50">
        <f>IFERROR(E13/D13,0)</f>
        <v/>
      </c>
    </row>
    <row r="14" ht="20" customHeight="1">
      <c r="B14" s="46" t="inlineStr">
        <is>
          <t>생활비</t>
        </is>
      </c>
      <c r="C14" s="46" t="inlineStr">
        <is>
          <t>생활비</t>
        </is>
      </c>
      <c r="D14" s="47">
        <f>IFERROR(SUMIFS(수입&amp;예산!H$15:H$50,수입&amp;예산!B$15:B$50,B14,수입&amp;예산!C$15:C$50,C14)*10000*12,0)</f>
        <v/>
      </c>
      <c r="E14" s="47">
        <f>SUMPRODUCT((YEAR(뱅샐입력!A$4:A$3003)=설정!C3)*(뱅샐입력!C$4:C$3003="지출")*(뱅샐입력!D$4:D$3003=B14)*ABS(뱅샐입력!G$4:G$3003))</f>
        <v/>
      </c>
      <c r="F14" s="47">
        <f>D14-E14</f>
        <v/>
      </c>
      <c r="G14" s="48">
        <f>IFERROR(E14/D14,0)</f>
        <v/>
      </c>
    </row>
    <row r="15" ht="20" customHeight="1">
      <c r="B15" s="32" t="inlineStr">
        <is>
          <t>의료/건강</t>
        </is>
      </c>
      <c r="C15" s="32" t="inlineStr">
        <is>
          <t>의료/건강</t>
        </is>
      </c>
      <c r="D15" s="49">
        <f>IFERROR(SUMIFS(수입&amp;예산!H$15:H$50,수입&amp;예산!B$15:B$50,B15,수입&amp;예산!C$15:C$50,C15)*10000*12,0)</f>
        <v/>
      </c>
      <c r="E15" s="49">
        <f>SUMPRODUCT((YEAR(뱅샐입력!A$4:A$3003)=설정!C3)*(뱅샐입력!C$4:C$3003="지출")*(뱅샐입력!D$4:D$3003=B15)*ABS(뱅샐입력!G$4:G$3003))</f>
        <v/>
      </c>
      <c r="F15" s="49">
        <f>D15-E15</f>
        <v/>
      </c>
      <c r="G15" s="50">
        <f>IFERROR(E15/D15,0)</f>
        <v/>
      </c>
    </row>
    <row r="16" ht="20" customHeight="1">
      <c r="B16" s="46" t="inlineStr">
        <is>
          <t>모임</t>
        </is>
      </c>
      <c r="C16" s="46" t="inlineStr">
        <is>
          <t>모임</t>
        </is>
      </c>
      <c r="D16" s="47">
        <f>IFERROR(SUMIFS(수입&amp;예산!H$15:H$50,수입&amp;예산!B$15:B$50,B16,수입&amp;예산!C$15:C$50,C16)*10000*12,0)</f>
        <v/>
      </c>
      <c r="E16" s="47">
        <f>SUMPRODUCT((YEAR(뱅샐입력!A$4:A$3003)=설정!C3)*(뱅샐입력!C$4:C$3003="지출")*(뱅샐입력!D$4:D$3003=B16)*ABS(뱅샐입력!G$4:G$3003))</f>
        <v/>
      </c>
      <c r="F16" s="47">
        <f>D16-E16</f>
        <v/>
      </c>
      <c r="G16" s="48">
        <f>IFERROR(E16/D16,0)</f>
        <v/>
      </c>
    </row>
    <row r="17" ht="20" customHeight="1">
      <c r="B17" s="32" t="inlineStr">
        <is>
          <t>Tiss</t>
        </is>
      </c>
      <c r="C17" s="32" t="inlineStr">
        <is>
          <t>개인</t>
        </is>
      </c>
      <c r="D17" s="49">
        <f>IFERROR(SUMIFS(수입&amp;예산!H$15:H$50,수입&amp;예산!B$15:B$50,B17,수입&amp;예산!C$15:C$50,C17)*10000*12,0)</f>
        <v/>
      </c>
      <c r="E17" s="49">
        <f>SUMPRODUCT((YEAR(뱅샐입력!A$4:A$3003)=설정!C3)*(뱅샐입력!C$4:C$3003="지출")*(뱅샐입력!D$4:D$3003=B17)*ABS(뱅샐입력!G$4:G$3003))</f>
        <v/>
      </c>
      <c r="F17" s="49">
        <f>D17-E17</f>
        <v/>
      </c>
      <c r="G17" s="50">
        <f>IFERROR(E17/D17,0)</f>
        <v/>
      </c>
    </row>
    <row r="18" ht="20" customHeight="1">
      <c r="B18" s="46" t="inlineStr">
        <is>
          <t>JM</t>
        </is>
      </c>
      <c r="C18" s="46" t="inlineStr">
        <is>
          <t>개인</t>
        </is>
      </c>
      <c r="D18" s="47">
        <f>IFERROR(SUMIFS(수입&amp;예산!H$15:H$50,수입&amp;예산!B$15:B$50,B18,수입&amp;예산!C$15:C$50,C18)*10000*12,0)</f>
        <v/>
      </c>
      <c r="E18" s="47">
        <f>SUMPRODUCT((YEAR(뱅샐입력!A$4:A$3003)=설정!C3)*(뱅샐입력!C$4:C$3003="지출")*(뱅샐입력!D$4:D$3003=B18)*ABS(뱅샐입력!G$4:G$3003))</f>
        <v/>
      </c>
      <c r="F18" s="47">
        <f>D18-E18</f>
        <v/>
      </c>
      <c r="G18" s="48">
        <f>IFERROR(E18/D18,0)</f>
        <v/>
      </c>
    </row>
    <row r="19" ht="20" customHeight="1">
      <c r="B19" s="32" t="inlineStr">
        <is>
          <t>세금</t>
        </is>
      </c>
      <c r="C19" s="32" t="inlineStr">
        <is>
          <t>재산세(주택)</t>
        </is>
      </c>
      <c r="D19" s="49">
        <f>IFERROR(SUMIFS(수입&amp;예산!H$15:H$50,수입&amp;예산!B$15:B$50,B19,수입&amp;예산!C$15:C$50,C19)*10000*12,0)</f>
        <v/>
      </c>
      <c r="E19" s="49">
        <f>SUMPRODUCT((YEAR(뱅샐입력!A$4:A$3003)=설정!C3)*(뱅샐입력!C$4:C$3003="지출")*(뱅샐입력!D$4:D$3003=B19)*ABS(뱅샐입력!G$4:G$3003))</f>
        <v/>
      </c>
      <c r="F19" s="49">
        <f>D19-E19</f>
        <v/>
      </c>
      <c r="G19" s="50">
        <f>IFERROR(E19/D19,0)</f>
        <v/>
      </c>
    </row>
    <row r="20" ht="20" customHeight="1">
      <c r="B20" s="46" t="inlineStr">
        <is>
          <t>세금</t>
        </is>
      </c>
      <c r="C20" s="46" t="inlineStr">
        <is>
          <t>종합소득세</t>
        </is>
      </c>
      <c r="D20" s="47">
        <f>IFERROR(SUMIFS(수입&amp;예산!H$15:H$50,수입&amp;예산!B$15:B$50,B20,수입&amp;예산!C$15:C$50,C20)*10000*12,0)</f>
        <v/>
      </c>
      <c r="E20" s="47">
        <f>SUMPRODUCT((YEAR(뱅샐입력!A$4:A$3003)=설정!C3)*(뱅샐입력!C$4:C$3003="지출")*(뱅샐입력!D$4:D$3003=B20)*ABS(뱅샐입력!G$4:G$3003))</f>
        <v/>
      </c>
      <c r="F20" s="47">
        <f>D20-E20</f>
        <v/>
      </c>
      <c r="G20" s="48">
        <f>IFERROR(E20/D20,0)</f>
        <v/>
      </c>
    </row>
    <row r="21" ht="20" customHeight="1">
      <c r="B21" s="32" t="inlineStr">
        <is>
          <t>대출상환</t>
        </is>
      </c>
      <c r="C21" s="32" t="inlineStr">
        <is>
          <t>디딤돌대출</t>
        </is>
      </c>
      <c r="D21" s="49">
        <f>IFERROR(SUMIFS(수입&amp;예산!H$15:H$50,수입&amp;예산!B$15:B$50,B21,수입&amp;예산!C$15:C$50,C21)*10000*12,0)</f>
        <v/>
      </c>
      <c r="E21" s="49">
        <f>SUMPRODUCT((YEAR(뱅샐입력!A$4:A$3003)=설정!C3)*(뱅샐입력!C$4:C$3003="지출")*(뱅샐입력!D$4:D$3003=B21)*ABS(뱅샐입력!G$4:G$3003))</f>
        <v/>
      </c>
      <c r="F21" s="49">
        <f>D21-E21</f>
        <v/>
      </c>
      <c r="G21" s="50">
        <f>IFERROR(E21/D21,0)</f>
        <v/>
      </c>
    </row>
    <row r="22" ht="20" customHeight="1">
      <c r="B22" s="46" t="inlineStr">
        <is>
          <t>부동산</t>
        </is>
      </c>
      <c r="C22" s="46" t="inlineStr">
        <is>
          <t>부동산</t>
        </is>
      </c>
      <c r="D22" s="47">
        <f>IFERROR(SUMIFS(수입&amp;예산!H$15:H$50,수입&amp;예산!B$15:B$50,B22,수입&amp;예산!C$15:C$50,C22)*10000*12,0)</f>
        <v/>
      </c>
      <c r="E22" s="47">
        <f>SUMPRODUCT((YEAR(뱅샐입력!A$4:A$3003)=설정!C3)*(뱅샐입력!C$4:C$3003="지출")*(뱅샐입력!D$4:D$3003=B22)*ABS(뱅샐입력!G$4:G$3003))</f>
        <v/>
      </c>
      <c r="F22" s="47">
        <f>D22-E22</f>
        <v/>
      </c>
      <c r="G22" s="48">
        <f>IFERROR(E22/D22,0)</f>
        <v/>
      </c>
    </row>
    <row r="23" ht="20" customHeight="1">
      <c r="B23" s="32" t="inlineStr">
        <is>
          <t>기타</t>
        </is>
      </c>
      <c r="C23" s="32" t="inlineStr">
        <is>
          <t>기타</t>
        </is>
      </c>
      <c r="D23" s="49">
        <f>IFERROR(SUMIFS(수입&amp;예산!H$15:H$50,수입&amp;예산!B$15:B$50,B23,수입&amp;예산!C$15:C$50,C23)*10000*12,0)</f>
        <v/>
      </c>
      <c r="E23" s="49">
        <f>SUMPRODUCT((YEAR(뱅샐입력!A$4:A$3003)=설정!C3)*(뱅샐입력!C$4:C$3003="지출")*(뱅샐입력!D$4:D$3003=B23)*ABS(뱅샐입력!G$4:G$3003))</f>
        <v/>
      </c>
      <c r="F23" s="49">
        <f>D23-E23</f>
        <v/>
      </c>
      <c r="G23" s="50">
        <f>IFERROR(E23/D23,0)</f>
        <v/>
      </c>
    </row>
    <row r="24" ht="22" customHeight="1">
      <c r="B24" s="51" t="inlineStr">
        <is>
          <t>합계</t>
        </is>
      </c>
      <c r="C24" s="11" t="n"/>
      <c r="D24" s="52">
        <f>SUM(D6:D23)</f>
        <v/>
      </c>
      <c r="E24" s="52">
        <f>SUM(E6:E23)</f>
        <v/>
      </c>
      <c r="F24" s="52">
        <f>SUM(F6:F23)</f>
        <v/>
      </c>
      <c r="G24" s="53">
        <f>IFERROR(E24/D24,0)</f>
        <v/>
      </c>
    </row>
    <row r="46" ht="24" customHeight="1">
      <c r="B46" s="102" t="inlineStr">
        <is>
          <t>② 월별 카테고리 지출 히트맵  (진할수록 지출 많음)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4" customHeight="1">
      <c r="B47" s="35" t="inlineStr">
        <is>
          <t>※ 조건부 서식으로 색상 강도를 표시합니다. 흰색=0원, 진한 빨강=해당 월 최대 지출.</t>
        </is>
      </c>
    </row>
    <row r="48" ht="22" customHeight="1">
      <c r="B48" s="27" t="inlineStr">
        <is>
          <t>대분류</t>
        </is>
      </c>
      <c r="C48" s="27" t="inlineStr">
        <is>
          <t>중분류</t>
        </is>
      </c>
      <c r="D48" s="43" t="inlineStr">
        <is>
          <t>1월</t>
        </is>
      </c>
      <c r="E48" s="43" t="inlineStr">
        <is>
          <t>2월</t>
        </is>
      </c>
      <c r="F48" s="43" t="inlineStr">
        <is>
          <t>3월</t>
        </is>
      </c>
      <c r="G48" s="43" t="inlineStr">
        <is>
          <t>4월</t>
        </is>
      </c>
      <c r="H48" s="43" t="inlineStr">
        <is>
          <t>5월</t>
        </is>
      </c>
      <c r="I48" s="43" t="inlineStr">
        <is>
          <t>6월</t>
        </is>
      </c>
      <c r="J48" s="43" t="inlineStr">
        <is>
          <t>7월</t>
        </is>
      </c>
      <c r="K48" s="43" t="inlineStr">
        <is>
          <t>8월</t>
        </is>
      </c>
      <c r="L48" s="43" t="inlineStr">
        <is>
          <t>9월</t>
        </is>
      </c>
      <c r="M48" s="43" t="inlineStr">
        <is>
          <t>10월</t>
        </is>
      </c>
      <c r="N48" s="43" t="inlineStr">
        <is>
          <t>11월</t>
        </is>
      </c>
      <c r="O48" s="43" t="inlineStr">
        <is>
          <t>12월</t>
        </is>
      </c>
      <c r="P48" s="44" t="inlineStr">
        <is>
          <t>연간합계</t>
        </is>
      </c>
    </row>
    <row r="49" ht="20" customHeight="1">
      <c r="B49" s="46" t="inlineStr">
        <is>
          <t>고정비</t>
        </is>
      </c>
      <c r="C49" s="46" t="inlineStr">
        <is>
          <t>교통비</t>
        </is>
      </c>
      <c r="D49" s="103">
        <f>SUMPRODUCT((MONTH(뱅샐입력!A$4:A$3003)=1)*(YEAR(뱅샐입력!A$4:A$3003)=설정!C3)*(뱅샐입력!C$4:C$3003="지출")*(뱅샐입력!D$4:D$3003=B49)*ABS(뱅샐입력!G$4:G$3003))</f>
        <v/>
      </c>
      <c r="E49" s="103">
        <f>SUMPRODUCT((MONTH(뱅샐입력!A$4:A$3003)=2)*(YEAR(뱅샐입력!A$4:A$3003)=설정!C3)*(뱅샐입력!C$4:C$3003="지출")*(뱅샐입력!D$4:D$3003=B49)*ABS(뱅샐입력!G$4:G$3003))</f>
        <v/>
      </c>
      <c r="F49" s="103">
        <f>SUMPRODUCT((MONTH(뱅샐입력!A$4:A$3003)=3)*(YEAR(뱅샐입력!A$4:A$3003)=설정!C3)*(뱅샐입력!C$4:C$3003="지출")*(뱅샐입력!D$4:D$3003=B49)*ABS(뱅샐입력!G$4:G$3003))</f>
        <v/>
      </c>
      <c r="G49" s="103">
        <f>SUMPRODUCT((MONTH(뱅샐입력!A$4:A$3003)=4)*(YEAR(뱅샐입력!A$4:A$3003)=설정!C3)*(뱅샐입력!C$4:C$3003="지출")*(뱅샐입력!D$4:D$3003=B49)*ABS(뱅샐입력!G$4:G$3003))</f>
        <v/>
      </c>
      <c r="H49" s="103">
        <f>SUMPRODUCT((MONTH(뱅샐입력!A$4:A$3003)=5)*(YEAR(뱅샐입력!A$4:A$3003)=설정!C3)*(뱅샐입력!C$4:C$3003="지출")*(뱅샐입력!D$4:D$3003=B49)*ABS(뱅샐입력!G$4:G$3003))</f>
        <v/>
      </c>
      <c r="I49" s="103">
        <f>SUMPRODUCT((MONTH(뱅샐입력!A$4:A$3003)=6)*(YEAR(뱅샐입력!A$4:A$3003)=설정!C3)*(뱅샐입력!C$4:C$3003="지출")*(뱅샐입력!D$4:D$3003=B49)*ABS(뱅샐입력!G$4:G$3003))</f>
        <v/>
      </c>
      <c r="J49" s="103">
        <f>SUMPRODUCT((MONTH(뱅샐입력!A$4:A$3003)=7)*(YEAR(뱅샐입력!A$4:A$3003)=설정!C3)*(뱅샐입력!C$4:C$3003="지출")*(뱅샐입력!D$4:D$3003=B49)*ABS(뱅샐입력!G$4:G$3003))</f>
        <v/>
      </c>
      <c r="K49" s="103">
        <f>SUMPRODUCT((MONTH(뱅샐입력!A$4:A$3003)=8)*(YEAR(뱅샐입력!A$4:A$3003)=설정!C3)*(뱅샐입력!C$4:C$3003="지출")*(뱅샐입력!D$4:D$3003=B49)*ABS(뱅샐입력!G$4:G$3003))</f>
        <v/>
      </c>
      <c r="L49" s="103">
        <f>SUMPRODUCT((MONTH(뱅샐입력!A$4:A$3003)=9)*(YEAR(뱅샐입력!A$4:A$3003)=설정!C3)*(뱅샐입력!C$4:C$3003="지출")*(뱅샐입력!D$4:D$3003=B49)*ABS(뱅샐입력!G$4:G$3003))</f>
        <v/>
      </c>
      <c r="M49" s="103">
        <f>SUMPRODUCT((MONTH(뱅샐입력!A$4:A$3003)=10)*(YEAR(뱅샐입력!A$4:A$3003)=설정!C3)*(뱅샐입력!C$4:C$3003="지출")*(뱅샐입력!D$4:D$3003=B49)*ABS(뱅샐입력!G$4:G$3003))</f>
        <v/>
      </c>
      <c r="N49" s="103">
        <f>SUMPRODUCT((MONTH(뱅샐입력!A$4:A$3003)=11)*(YEAR(뱅샐입력!A$4:A$3003)=설정!C3)*(뱅샐입력!C$4:C$3003="지출")*(뱅샐입력!D$4:D$3003=B49)*ABS(뱅샐입력!G$4:G$3003))</f>
        <v/>
      </c>
      <c r="O49" s="103">
        <f>SUMPRODUCT((MONTH(뱅샐입력!A$4:A$3003)=12)*(YEAR(뱅샐입력!A$4:A$3003)=설정!C3)*(뱅샐입력!C$4:C$3003="지출")*(뱅샐입력!D$4:D$3003=B49)*ABS(뱅샐입력!G$4:G$3003))</f>
        <v/>
      </c>
      <c r="P49" s="104">
        <f>SUM(D49:O49)</f>
        <v/>
      </c>
    </row>
    <row r="50" ht="20" customHeight="1">
      <c r="B50" s="32" t="inlineStr">
        <is>
          <t>고정비</t>
        </is>
      </c>
      <c r="C50" s="32" t="inlineStr">
        <is>
          <t>휴대폰/인터넷</t>
        </is>
      </c>
      <c r="D50" s="103">
        <f>SUMPRODUCT((MONTH(뱅샐입력!A$4:A$3003)=1)*(YEAR(뱅샐입력!A$4:A$3003)=설정!C3)*(뱅샐입력!C$4:C$3003="지출")*(뱅샐입력!D$4:D$3003=B50)*ABS(뱅샐입력!G$4:G$3003))</f>
        <v/>
      </c>
      <c r="E50" s="103">
        <f>SUMPRODUCT((MONTH(뱅샐입력!A$4:A$3003)=2)*(YEAR(뱅샐입력!A$4:A$3003)=설정!C3)*(뱅샐입력!C$4:C$3003="지출")*(뱅샐입력!D$4:D$3003=B50)*ABS(뱅샐입력!G$4:G$3003))</f>
        <v/>
      </c>
      <c r="F50" s="103">
        <f>SUMPRODUCT((MONTH(뱅샐입력!A$4:A$3003)=3)*(YEAR(뱅샐입력!A$4:A$3003)=설정!C3)*(뱅샐입력!C$4:C$3003="지출")*(뱅샐입력!D$4:D$3003=B50)*ABS(뱅샐입력!G$4:G$3003))</f>
        <v/>
      </c>
      <c r="G50" s="103">
        <f>SUMPRODUCT((MONTH(뱅샐입력!A$4:A$3003)=4)*(YEAR(뱅샐입력!A$4:A$3003)=설정!C3)*(뱅샐입력!C$4:C$3003="지출")*(뱅샐입력!D$4:D$3003=B50)*ABS(뱅샐입력!G$4:G$3003))</f>
        <v/>
      </c>
      <c r="H50" s="103">
        <f>SUMPRODUCT((MONTH(뱅샐입력!A$4:A$3003)=5)*(YEAR(뱅샐입력!A$4:A$3003)=설정!C3)*(뱅샐입력!C$4:C$3003="지출")*(뱅샐입력!D$4:D$3003=B50)*ABS(뱅샐입력!G$4:G$3003))</f>
        <v/>
      </c>
      <c r="I50" s="103">
        <f>SUMPRODUCT((MONTH(뱅샐입력!A$4:A$3003)=6)*(YEAR(뱅샐입력!A$4:A$3003)=설정!C3)*(뱅샐입력!C$4:C$3003="지출")*(뱅샐입력!D$4:D$3003=B50)*ABS(뱅샐입력!G$4:G$3003))</f>
        <v/>
      </c>
      <c r="J50" s="103">
        <f>SUMPRODUCT((MONTH(뱅샐입력!A$4:A$3003)=7)*(YEAR(뱅샐입력!A$4:A$3003)=설정!C3)*(뱅샐입력!C$4:C$3003="지출")*(뱅샐입력!D$4:D$3003=B50)*ABS(뱅샐입력!G$4:G$3003))</f>
        <v/>
      </c>
      <c r="K50" s="103">
        <f>SUMPRODUCT((MONTH(뱅샐입력!A$4:A$3003)=8)*(YEAR(뱅샐입력!A$4:A$3003)=설정!C3)*(뱅샐입력!C$4:C$3003="지출")*(뱅샐입력!D$4:D$3003=B50)*ABS(뱅샐입력!G$4:G$3003))</f>
        <v/>
      </c>
      <c r="L50" s="103">
        <f>SUMPRODUCT((MONTH(뱅샐입력!A$4:A$3003)=9)*(YEAR(뱅샐입력!A$4:A$3003)=설정!C3)*(뱅샐입력!C$4:C$3003="지출")*(뱅샐입력!D$4:D$3003=B50)*ABS(뱅샐입력!G$4:G$3003))</f>
        <v/>
      </c>
      <c r="M50" s="103">
        <f>SUMPRODUCT((MONTH(뱅샐입력!A$4:A$3003)=10)*(YEAR(뱅샐입력!A$4:A$3003)=설정!C3)*(뱅샐입력!C$4:C$3003="지출")*(뱅샐입력!D$4:D$3003=B50)*ABS(뱅샐입력!G$4:G$3003))</f>
        <v/>
      </c>
      <c r="N50" s="103">
        <f>SUMPRODUCT((MONTH(뱅샐입력!A$4:A$3003)=11)*(YEAR(뱅샐입력!A$4:A$3003)=설정!C3)*(뱅샐입력!C$4:C$3003="지출")*(뱅샐입력!D$4:D$3003=B50)*ABS(뱅샐입력!G$4:G$3003))</f>
        <v/>
      </c>
      <c r="O50" s="103">
        <f>SUMPRODUCT((MONTH(뱅샐입력!A$4:A$3003)=12)*(YEAR(뱅샐입력!A$4:A$3003)=설정!C3)*(뱅샐입력!C$4:C$3003="지출")*(뱅샐입력!D$4:D$3003=B50)*ABS(뱅샐입력!G$4:G$3003))</f>
        <v/>
      </c>
      <c r="P50" s="104">
        <f>SUM(D50:O50)</f>
        <v/>
      </c>
    </row>
    <row r="51" ht="20" customHeight="1">
      <c r="B51" s="46" t="inlineStr">
        <is>
          <t>고정비</t>
        </is>
      </c>
      <c r="C51" s="46" t="inlineStr">
        <is>
          <t>보험/연금</t>
        </is>
      </c>
      <c r="D51" s="103">
        <f>SUMPRODUCT((MONTH(뱅샐입력!A$4:A$3003)=1)*(YEAR(뱅샐입력!A$4:A$3003)=설정!C3)*(뱅샐입력!C$4:C$3003="지출")*(뱅샐입력!D$4:D$3003=B51)*ABS(뱅샐입력!G$4:G$3003))</f>
        <v/>
      </c>
      <c r="E51" s="103">
        <f>SUMPRODUCT((MONTH(뱅샐입력!A$4:A$3003)=2)*(YEAR(뱅샐입력!A$4:A$3003)=설정!C3)*(뱅샐입력!C$4:C$3003="지출")*(뱅샐입력!D$4:D$3003=B51)*ABS(뱅샐입력!G$4:G$3003))</f>
        <v/>
      </c>
      <c r="F51" s="103">
        <f>SUMPRODUCT((MONTH(뱅샐입력!A$4:A$3003)=3)*(YEAR(뱅샐입력!A$4:A$3003)=설정!C3)*(뱅샐입력!C$4:C$3003="지출")*(뱅샐입력!D$4:D$3003=B51)*ABS(뱅샐입력!G$4:G$3003))</f>
        <v/>
      </c>
      <c r="G51" s="103">
        <f>SUMPRODUCT((MONTH(뱅샐입력!A$4:A$3003)=4)*(YEAR(뱅샐입력!A$4:A$3003)=설정!C3)*(뱅샐입력!C$4:C$3003="지출")*(뱅샐입력!D$4:D$3003=B51)*ABS(뱅샐입력!G$4:G$3003))</f>
        <v/>
      </c>
      <c r="H51" s="103">
        <f>SUMPRODUCT((MONTH(뱅샐입력!A$4:A$3003)=5)*(YEAR(뱅샐입력!A$4:A$3003)=설정!C3)*(뱅샐입력!C$4:C$3003="지출")*(뱅샐입력!D$4:D$3003=B51)*ABS(뱅샐입력!G$4:G$3003))</f>
        <v/>
      </c>
      <c r="I51" s="103">
        <f>SUMPRODUCT((MONTH(뱅샐입력!A$4:A$3003)=6)*(YEAR(뱅샐입력!A$4:A$3003)=설정!C3)*(뱅샐입력!C$4:C$3003="지출")*(뱅샐입력!D$4:D$3003=B51)*ABS(뱅샐입력!G$4:G$3003))</f>
        <v/>
      </c>
      <c r="J51" s="103">
        <f>SUMPRODUCT((MONTH(뱅샐입력!A$4:A$3003)=7)*(YEAR(뱅샐입력!A$4:A$3003)=설정!C3)*(뱅샐입력!C$4:C$3003="지출")*(뱅샐입력!D$4:D$3003=B51)*ABS(뱅샐입력!G$4:G$3003))</f>
        <v/>
      </c>
      <c r="K51" s="103">
        <f>SUMPRODUCT((MONTH(뱅샐입력!A$4:A$3003)=8)*(YEAR(뱅샐입력!A$4:A$3003)=설정!C3)*(뱅샐입력!C$4:C$3003="지출")*(뱅샐입력!D$4:D$3003=B51)*ABS(뱅샐입력!G$4:G$3003))</f>
        <v/>
      </c>
      <c r="L51" s="103">
        <f>SUMPRODUCT((MONTH(뱅샐입력!A$4:A$3003)=9)*(YEAR(뱅샐입력!A$4:A$3003)=설정!C3)*(뱅샐입력!C$4:C$3003="지출")*(뱅샐입력!D$4:D$3003=B51)*ABS(뱅샐입력!G$4:G$3003))</f>
        <v/>
      </c>
      <c r="M51" s="103">
        <f>SUMPRODUCT((MONTH(뱅샐입력!A$4:A$3003)=10)*(YEAR(뱅샐입력!A$4:A$3003)=설정!C3)*(뱅샐입력!C$4:C$3003="지출")*(뱅샐입력!D$4:D$3003=B51)*ABS(뱅샐입력!G$4:G$3003))</f>
        <v/>
      </c>
      <c r="N51" s="103">
        <f>SUMPRODUCT((MONTH(뱅샐입력!A$4:A$3003)=11)*(YEAR(뱅샐입력!A$4:A$3003)=설정!C3)*(뱅샐입력!C$4:C$3003="지출")*(뱅샐입력!D$4:D$3003=B51)*ABS(뱅샐입력!G$4:G$3003))</f>
        <v/>
      </c>
      <c r="O51" s="103">
        <f>SUMPRODUCT((MONTH(뱅샐입력!A$4:A$3003)=12)*(YEAR(뱅샐입력!A$4:A$3003)=설정!C3)*(뱅샐입력!C$4:C$3003="지출")*(뱅샐입력!D$4:D$3003=B51)*ABS(뱅샐입력!G$4:G$3003))</f>
        <v/>
      </c>
      <c r="P51" s="104">
        <f>SUM(D51:O51)</f>
        <v/>
      </c>
    </row>
    <row r="52" ht="20" customHeight="1">
      <c r="B52" s="32" t="inlineStr">
        <is>
          <t>고정비</t>
        </is>
      </c>
      <c r="C52" s="32" t="inlineStr">
        <is>
          <t>부모님</t>
        </is>
      </c>
      <c r="D52" s="103">
        <f>SUMPRODUCT((MONTH(뱅샐입력!A$4:A$3003)=1)*(YEAR(뱅샐입력!A$4:A$3003)=설정!C3)*(뱅샐입력!C$4:C$3003="지출")*(뱅샐입력!D$4:D$3003=B52)*ABS(뱅샐입력!G$4:G$3003))</f>
        <v/>
      </c>
      <c r="E52" s="103">
        <f>SUMPRODUCT((MONTH(뱅샐입력!A$4:A$3003)=2)*(YEAR(뱅샐입력!A$4:A$3003)=설정!C3)*(뱅샐입력!C$4:C$3003="지출")*(뱅샐입력!D$4:D$3003=B52)*ABS(뱅샐입력!G$4:G$3003))</f>
        <v/>
      </c>
      <c r="F52" s="103">
        <f>SUMPRODUCT((MONTH(뱅샐입력!A$4:A$3003)=3)*(YEAR(뱅샐입력!A$4:A$3003)=설정!C3)*(뱅샐입력!C$4:C$3003="지출")*(뱅샐입력!D$4:D$3003=B52)*ABS(뱅샐입력!G$4:G$3003))</f>
        <v/>
      </c>
      <c r="G52" s="103">
        <f>SUMPRODUCT((MONTH(뱅샐입력!A$4:A$3003)=4)*(YEAR(뱅샐입력!A$4:A$3003)=설정!C3)*(뱅샐입력!C$4:C$3003="지출")*(뱅샐입력!D$4:D$3003=B52)*ABS(뱅샐입력!G$4:G$3003))</f>
        <v/>
      </c>
      <c r="H52" s="103">
        <f>SUMPRODUCT((MONTH(뱅샐입력!A$4:A$3003)=5)*(YEAR(뱅샐입력!A$4:A$3003)=설정!C3)*(뱅샐입력!C$4:C$3003="지출")*(뱅샐입력!D$4:D$3003=B52)*ABS(뱅샐입력!G$4:G$3003))</f>
        <v/>
      </c>
      <c r="I52" s="103">
        <f>SUMPRODUCT((MONTH(뱅샐입력!A$4:A$3003)=6)*(YEAR(뱅샐입력!A$4:A$3003)=설정!C3)*(뱅샐입력!C$4:C$3003="지출")*(뱅샐입력!D$4:D$3003=B52)*ABS(뱅샐입력!G$4:G$3003))</f>
        <v/>
      </c>
      <c r="J52" s="103">
        <f>SUMPRODUCT((MONTH(뱅샐입력!A$4:A$3003)=7)*(YEAR(뱅샐입력!A$4:A$3003)=설정!C3)*(뱅샐입력!C$4:C$3003="지출")*(뱅샐입력!D$4:D$3003=B52)*ABS(뱅샐입력!G$4:G$3003))</f>
        <v/>
      </c>
      <c r="K52" s="103">
        <f>SUMPRODUCT((MONTH(뱅샐입력!A$4:A$3003)=8)*(YEAR(뱅샐입력!A$4:A$3003)=설정!C3)*(뱅샐입력!C$4:C$3003="지출")*(뱅샐입력!D$4:D$3003=B52)*ABS(뱅샐입력!G$4:G$3003))</f>
        <v/>
      </c>
      <c r="L52" s="103">
        <f>SUMPRODUCT((MONTH(뱅샐입력!A$4:A$3003)=9)*(YEAR(뱅샐입력!A$4:A$3003)=설정!C3)*(뱅샐입력!C$4:C$3003="지출")*(뱅샐입력!D$4:D$3003=B52)*ABS(뱅샐입력!G$4:G$3003))</f>
        <v/>
      </c>
      <c r="M52" s="103">
        <f>SUMPRODUCT((MONTH(뱅샐입력!A$4:A$3003)=10)*(YEAR(뱅샐입력!A$4:A$3003)=설정!C3)*(뱅샐입력!C$4:C$3003="지출")*(뱅샐입력!D$4:D$3003=B52)*ABS(뱅샐입력!G$4:G$3003))</f>
        <v/>
      </c>
      <c r="N52" s="103">
        <f>SUMPRODUCT((MONTH(뱅샐입력!A$4:A$3003)=11)*(YEAR(뱅샐입력!A$4:A$3003)=설정!C3)*(뱅샐입력!C$4:C$3003="지출")*(뱅샐입력!D$4:D$3003=B52)*ABS(뱅샐입력!G$4:G$3003))</f>
        <v/>
      </c>
      <c r="O52" s="103">
        <f>SUMPRODUCT((MONTH(뱅샐입력!A$4:A$3003)=12)*(YEAR(뱅샐입력!A$4:A$3003)=설정!C3)*(뱅샐입력!C$4:C$3003="지출")*(뱅샐입력!D$4:D$3003=B52)*ABS(뱅샐입력!G$4:G$3003))</f>
        <v/>
      </c>
      <c r="P52" s="104">
        <f>SUM(D52:O52)</f>
        <v/>
      </c>
    </row>
    <row r="53" ht="20" customHeight="1">
      <c r="B53" s="46" t="inlineStr">
        <is>
          <t>고정비</t>
        </is>
      </c>
      <c r="C53" s="46" t="inlineStr">
        <is>
          <t>기흥모임</t>
        </is>
      </c>
      <c r="D53" s="103">
        <f>SUMPRODUCT((MONTH(뱅샐입력!A$4:A$3003)=1)*(YEAR(뱅샐입력!A$4:A$3003)=설정!C3)*(뱅샐입력!C$4:C$3003="지출")*(뱅샐입력!D$4:D$3003=B53)*ABS(뱅샐입력!G$4:G$3003))</f>
        <v/>
      </c>
      <c r="E53" s="103">
        <f>SUMPRODUCT((MONTH(뱅샐입력!A$4:A$3003)=2)*(YEAR(뱅샐입력!A$4:A$3003)=설정!C3)*(뱅샐입력!C$4:C$3003="지출")*(뱅샐입력!D$4:D$3003=B53)*ABS(뱅샐입력!G$4:G$3003))</f>
        <v/>
      </c>
      <c r="F53" s="103">
        <f>SUMPRODUCT((MONTH(뱅샐입력!A$4:A$3003)=3)*(YEAR(뱅샐입력!A$4:A$3003)=설정!C3)*(뱅샐입력!C$4:C$3003="지출")*(뱅샐입력!D$4:D$3003=B53)*ABS(뱅샐입력!G$4:G$3003))</f>
        <v/>
      </c>
      <c r="G53" s="103">
        <f>SUMPRODUCT((MONTH(뱅샐입력!A$4:A$3003)=4)*(YEAR(뱅샐입력!A$4:A$3003)=설정!C3)*(뱅샐입력!C$4:C$3003="지출")*(뱅샐입력!D$4:D$3003=B53)*ABS(뱅샐입력!G$4:G$3003))</f>
        <v/>
      </c>
      <c r="H53" s="103">
        <f>SUMPRODUCT((MONTH(뱅샐입력!A$4:A$3003)=5)*(YEAR(뱅샐입력!A$4:A$3003)=설정!C3)*(뱅샐입력!C$4:C$3003="지출")*(뱅샐입력!D$4:D$3003=B53)*ABS(뱅샐입력!G$4:G$3003))</f>
        <v/>
      </c>
      <c r="I53" s="103">
        <f>SUMPRODUCT((MONTH(뱅샐입력!A$4:A$3003)=6)*(YEAR(뱅샐입력!A$4:A$3003)=설정!C3)*(뱅샐입력!C$4:C$3003="지출")*(뱅샐입력!D$4:D$3003=B53)*ABS(뱅샐입력!G$4:G$3003))</f>
        <v/>
      </c>
      <c r="J53" s="103">
        <f>SUMPRODUCT((MONTH(뱅샐입력!A$4:A$3003)=7)*(YEAR(뱅샐입력!A$4:A$3003)=설정!C3)*(뱅샐입력!C$4:C$3003="지출")*(뱅샐입력!D$4:D$3003=B53)*ABS(뱅샐입력!G$4:G$3003))</f>
        <v/>
      </c>
      <c r="K53" s="103">
        <f>SUMPRODUCT((MONTH(뱅샐입력!A$4:A$3003)=8)*(YEAR(뱅샐입력!A$4:A$3003)=설정!C3)*(뱅샐입력!C$4:C$3003="지출")*(뱅샐입력!D$4:D$3003=B53)*ABS(뱅샐입력!G$4:G$3003))</f>
        <v/>
      </c>
      <c r="L53" s="103">
        <f>SUMPRODUCT((MONTH(뱅샐입력!A$4:A$3003)=9)*(YEAR(뱅샐입력!A$4:A$3003)=설정!C3)*(뱅샐입력!C$4:C$3003="지출")*(뱅샐입력!D$4:D$3003=B53)*ABS(뱅샐입력!G$4:G$3003))</f>
        <v/>
      </c>
      <c r="M53" s="103">
        <f>SUMPRODUCT((MONTH(뱅샐입력!A$4:A$3003)=10)*(YEAR(뱅샐입력!A$4:A$3003)=설정!C3)*(뱅샐입력!C$4:C$3003="지출")*(뱅샐입력!D$4:D$3003=B53)*ABS(뱅샐입력!G$4:G$3003))</f>
        <v/>
      </c>
      <c r="N53" s="103">
        <f>SUMPRODUCT((MONTH(뱅샐입력!A$4:A$3003)=11)*(YEAR(뱅샐입력!A$4:A$3003)=설정!C3)*(뱅샐입력!C$4:C$3003="지출")*(뱅샐입력!D$4:D$3003=B53)*ABS(뱅샐입력!G$4:G$3003))</f>
        <v/>
      </c>
      <c r="O53" s="103">
        <f>SUMPRODUCT((MONTH(뱅샐입력!A$4:A$3003)=12)*(YEAR(뱅샐입력!A$4:A$3003)=설정!C3)*(뱅샐입력!C$4:C$3003="지출")*(뱅샐입력!D$4:D$3003=B53)*ABS(뱅샐입력!G$4:G$3003))</f>
        <v/>
      </c>
      <c r="P53" s="104">
        <f>SUM(D53:O53)</f>
        <v/>
      </c>
    </row>
    <row r="54" ht="20" customHeight="1">
      <c r="B54" s="32" t="inlineStr">
        <is>
          <t>고정비</t>
        </is>
      </c>
      <c r="C54" s="32" t="inlineStr">
        <is>
          <t>구독형서비스</t>
        </is>
      </c>
      <c r="D54" s="103">
        <f>SUMPRODUCT((MONTH(뱅샐입력!A$4:A$3003)=1)*(YEAR(뱅샐입력!A$4:A$3003)=설정!C3)*(뱅샐입력!C$4:C$3003="지출")*(뱅샐입력!D$4:D$3003=B54)*ABS(뱅샐입력!G$4:G$3003))</f>
        <v/>
      </c>
      <c r="E54" s="103">
        <f>SUMPRODUCT((MONTH(뱅샐입력!A$4:A$3003)=2)*(YEAR(뱅샐입력!A$4:A$3003)=설정!C3)*(뱅샐입력!C$4:C$3003="지출")*(뱅샐입력!D$4:D$3003=B54)*ABS(뱅샐입력!G$4:G$3003))</f>
        <v/>
      </c>
      <c r="F54" s="103">
        <f>SUMPRODUCT((MONTH(뱅샐입력!A$4:A$3003)=3)*(YEAR(뱅샐입력!A$4:A$3003)=설정!C3)*(뱅샐입력!C$4:C$3003="지출")*(뱅샐입력!D$4:D$3003=B54)*ABS(뱅샐입력!G$4:G$3003))</f>
        <v/>
      </c>
      <c r="G54" s="103">
        <f>SUMPRODUCT((MONTH(뱅샐입력!A$4:A$3003)=4)*(YEAR(뱅샐입력!A$4:A$3003)=설정!C3)*(뱅샐입력!C$4:C$3003="지출")*(뱅샐입력!D$4:D$3003=B54)*ABS(뱅샐입력!G$4:G$3003))</f>
        <v/>
      </c>
      <c r="H54" s="103">
        <f>SUMPRODUCT((MONTH(뱅샐입력!A$4:A$3003)=5)*(YEAR(뱅샐입력!A$4:A$3003)=설정!C3)*(뱅샐입력!C$4:C$3003="지출")*(뱅샐입력!D$4:D$3003=B54)*ABS(뱅샐입력!G$4:G$3003))</f>
        <v/>
      </c>
      <c r="I54" s="103">
        <f>SUMPRODUCT((MONTH(뱅샐입력!A$4:A$3003)=6)*(YEAR(뱅샐입력!A$4:A$3003)=설정!C3)*(뱅샐입력!C$4:C$3003="지출")*(뱅샐입력!D$4:D$3003=B54)*ABS(뱅샐입력!G$4:G$3003))</f>
        <v/>
      </c>
      <c r="J54" s="103">
        <f>SUMPRODUCT((MONTH(뱅샐입력!A$4:A$3003)=7)*(YEAR(뱅샐입력!A$4:A$3003)=설정!C3)*(뱅샐입력!C$4:C$3003="지출")*(뱅샐입력!D$4:D$3003=B54)*ABS(뱅샐입력!G$4:G$3003))</f>
        <v/>
      </c>
      <c r="K54" s="103">
        <f>SUMPRODUCT((MONTH(뱅샐입력!A$4:A$3003)=8)*(YEAR(뱅샐입력!A$4:A$3003)=설정!C3)*(뱅샐입력!C$4:C$3003="지출")*(뱅샐입력!D$4:D$3003=B54)*ABS(뱅샐입력!G$4:G$3003))</f>
        <v/>
      </c>
      <c r="L54" s="103">
        <f>SUMPRODUCT((MONTH(뱅샐입력!A$4:A$3003)=9)*(YEAR(뱅샐입력!A$4:A$3003)=설정!C3)*(뱅샐입력!C$4:C$3003="지출")*(뱅샐입력!D$4:D$3003=B54)*ABS(뱅샐입력!G$4:G$3003))</f>
        <v/>
      </c>
      <c r="M54" s="103">
        <f>SUMPRODUCT((MONTH(뱅샐입력!A$4:A$3003)=10)*(YEAR(뱅샐입력!A$4:A$3003)=설정!C3)*(뱅샐입력!C$4:C$3003="지출")*(뱅샐입력!D$4:D$3003=B54)*ABS(뱅샐입력!G$4:G$3003))</f>
        <v/>
      </c>
      <c r="N54" s="103">
        <f>SUMPRODUCT((MONTH(뱅샐입력!A$4:A$3003)=11)*(YEAR(뱅샐입력!A$4:A$3003)=설정!C3)*(뱅샐입력!C$4:C$3003="지출")*(뱅샐입력!D$4:D$3003=B54)*ABS(뱅샐입력!G$4:G$3003))</f>
        <v/>
      </c>
      <c r="O54" s="103">
        <f>SUMPRODUCT((MONTH(뱅샐입력!A$4:A$3003)=12)*(YEAR(뱅샐입력!A$4:A$3003)=설정!C3)*(뱅샐입력!C$4:C$3003="지출")*(뱅샐입력!D$4:D$3003=B54)*ABS(뱅샐입력!G$4:G$3003))</f>
        <v/>
      </c>
      <c r="P54" s="104">
        <f>SUM(D54:O54)</f>
        <v/>
      </c>
    </row>
    <row r="55" ht="20" customHeight="1">
      <c r="B55" s="46" t="inlineStr">
        <is>
          <t>고정비</t>
        </is>
      </c>
      <c r="C55" s="46" t="inlineStr">
        <is>
          <t>용돈</t>
        </is>
      </c>
      <c r="D55" s="103">
        <f>SUMPRODUCT((MONTH(뱅샐입력!A$4:A$3003)=1)*(YEAR(뱅샐입력!A$4:A$3003)=설정!C3)*(뱅샐입력!C$4:C$3003="지출")*(뱅샐입력!D$4:D$3003=B55)*ABS(뱅샐입력!G$4:G$3003))</f>
        <v/>
      </c>
      <c r="E55" s="103">
        <f>SUMPRODUCT((MONTH(뱅샐입력!A$4:A$3003)=2)*(YEAR(뱅샐입력!A$4:A$3003)=설정!C3)*(뱅샐입력!C$4:C$3003="지출")*(뱅샐입력!D$4:D$3003=B55)*ABS(뱅샐입력!G$4:G$3003))</f>
        <v/>
      </c>
      <c r="F55" s="103">
        <f>SUMPRODUCT((MONTH(뱅샐입력!A$4:A$3003)=3)*(YEAR(뱅샐입력!A$4:A$3003)=설정!C3)*(뱅샐입력!C$4:C$3003="지출")*(뱅샐입력!D$4:D$3003=B55)*ABS(뱅샐입력!G$4:G$3003))</f>
        <v/>
      </c>
      <c r="G55" s="103">
        <f>SUMPRODUCT((MONTH(뱅샐입력!A$4:A$3003)=4)*(YEAR(뱅샐입력!A$4:A$3003)=설정!C3)*(뱅샐입력!C$4:C$3003="지출")*(뱅샐입력!D$4:D$3003=B55)*ABS(뱅샐입력!G$4:G$3003))</f>
        <v/>
      </c>
      <c r="H55" s="103">
        <f>SUMPRODUCT((MONTH(뱅샐입력!A$4:A$3003)=5)*(YEAR(뱅샐입력!A$4:A$3003)=설정!C3)*(뱅샐입력!C$4:C$3003="지출")*(뱅샐입력!D$4:D$3003=B55)*ABS(뱅샐입력!G$4:G$3003))</f>
        <v/>
      </c>
      <c r="I55" s="103">
        <f>SUMPRODUCT((MONTH(뱅샐입력!A$4:A$3003)=6)*(YEAR(뱅샐입력!A$4:A$3003)=설정!C3)*(뱅샐입력!C$4:C$3003="지출")*(뱅샐입력!D$4:D$3003=B55)*ABS(뱅샐입력!G$4:G$3003))</f>
        <v/>
      </c>
      <c r="J55" s="103">
        <f>SUMPRODUCT((MONTH(뱅샐입력!A$4:A$3003)=7)*(YEAR(뱅샐입력!A$4:A$3003)=설정!C3)*(뱅샐입력!C$4:C$3003="지출")*(뱅샐입력!D$4:D$3003=B55)*ABS(뱅샐입력!G$4:G$3003))</f>
        <v/>
      </c>
      <c r="K55" s="103">
        <f>SUMPRODUCT((MONTH(뱅샐입력!A$4:A$3003)=8)*(YEAR(뱅샐입력!A$4:A$3003)=설정!C3)*(뱅샐입력!C$4:C$3003="지출")*(뱅샐입력!D$4:D$3003=B55)*ABS(뱅샐입력!G$4:G$3003))</f>
        <v/>
      </c>
      <c r="L55" s="103">
        <f>SUMPRODUCT((MONTH(뱅샐입력!A$4:A$3003)=9)*(YEAR(뱅샐입력!A$4:A$3003)=설정!C3)*(뱅샐입력!C$4:C$3003="지출")*(뱅샐입력!D$4:D$3003=B55)*ABS(뱅샐입력!G$4:G$3003))</f>
        <v/>
      </c>
      <c r="M55" s="103">
        <f>SUMPRODUCT((MONTH(뱅샐입력!A$4:A$3003)=10)*(YEAR(뱅샐입력!A$4:A$3003)=설정!C3)*(뱅샐입력!C$4:C$3003="지출")*(뱅샐입력!D$4:D$3003=B55)*ABS(뱅샐입력!G$4:G$3003))</f>
        <v/>
      </c>
      <c r="N55" s="103">
        <f>SUMPRODUCT((MONTH(뱅샐입력!A$4:A$3003)=11)*(YEAR(뱅샐입력!A$4:A$3003)=설정!C3)*(뱅샐입력!C$4:C$3003="지출")*(뱅샐입력!D$4:D$3003=B55)*ABS(뱅샐입력!G$4:G$3003))</f>
        <v/>
      </c>
      <c r="O55" s="103">
        <f>SUMPRODUCT((MONTH(뱅샐입력!A$4:A$3003)=12)*(YEAR(뱅샐입력!A$4:A$3003)=설정!C3)*(뱅샐입력!C$4:C$3003="지출")*(뱅샐입력!D$4:D$3003=B55)*ABS(뱅샐입력!G$4:G$3003))</f>
        <v/>
      </c>
      <c r="P55" s="104">
        <f>SUM(D55:O55)</f>
        <v/>
      </c>
    </row>
    <row r="56" ht="20" customHeight="1">
      <c r="B56" s="32" t="inlineStr">
        <is>
          <t>고정비</t>
        </is>
      </c>
      <c r="C56" s="32" t="inlineStr">
        <is>
          <t>아파트관리비</t>
        </is>
      </c>
      <c r="D56" s="103">
        <f>SUMPRODUCT((MONTH(뱅샐입력!A$4:A$3003)=1)*(YEAR(뱅샐입력!A$4:A$3003)=설정!C3)*(뱅샐입력!C$4:C$3003="지출")*(뱅샐입력!D$4:D$3003=B56)*ABS(뱅샐입력!G$4:G$3003))</f>
        <v/>
      </c>
      <c r="E56" s="103">
        <f>SUMPRODUCT((MONTH(뱅샐입력!A$4:A$3003)=2)*(YEAR(뱅샐입력!A$4:A$3003)=설정!C3)*(뱅샐입력!C$4:C$3003="지출")*(뱅샐입력!D$4:D$3003=B56)*ABS(뱅샐입력!G$4:G$3003))</f>
        <v/>
      </c>
      <c r="F56" s="103">
        <f>SUMPRODUCT((MONTH(뱅샐입력!A$4:A$3003)=3)*(YEAR(뱅샐입력!A$4:A$3003)=설정!C3)*(뱅샐입력!C$4:C$3003="지출")*(뱅샐입력!D$4:D$3003=B56)*ABS(뱅샐입력!G$4:G$3003))</f>
        <v/>
      </c>
      <c r="G56" s="103">
        <f>SUMPRODUCT((MONTH(뱅샐입력!A$4:A$3003)=4)*(YEAR(뱅샐입력!A$4:A$3003)=설정!C3)*(뱅샐입력!C$4:C$3003="지출")*(뱅샐입력!D$4:D$3003=B56)*ABS(뱅샐입력!G$4:G$3003))</f>
        <v/>
      </c>
      <c r="H56" s="103">
        <f>SUMPRODUCT((MONTH(뱅샐입력!A$4:A$3003)=5)*(YEAR(뱅샐입력!A$4:A$3003)=설정!C3)*(뱅샐입력!C$4:C$3003="지출")*(뱅샐입력!D$4:D$3003=B56)*ABS(뱅샐입력!G$4:G$3003))</f>
        <v/>
      </c>
      <c r="I56" s="103">
        <f>SUMPRODUCT((MONTH(뱅샐입력!A$4:A$3003)=6)*(YEAR(뱅샐입력!A$4:A$3003)=설정!C3)*(뱅샐입력!C$4:C$3003="지출")*(뱅샐입력!D$4:D$3003=B56)*ABS(뱅샐입력!G$4:G$3003))</f>
        <v/>
      </c>
      <c r="J56" s="103">
        <f>SUMPRODUCT((MONTH(뱅샐입력!A$4:A$3003)=7)*(YEAR(뱅샐입력!A$4:A$3003)=설정!C3)*(뱅샐입력!C$4:C$3003="지출")*(뱅샐입력!D$4:D$3003=B56)*ABS(뱅샐입력!G$4:G$3003))</f>
        <v/>
      </c>
      <c r="K56" s="103">
        <f>SUMPRODUCT((MONTH(뱅샐입력!A$4:A$3003)=8)*(YEAR(뱅샐입력!A$4:A$3003)=설정!C3)*(뱅샐입력!C$4:C$3003="지출")*(뱅샐입력!D$4:D$3003=B56)*ABS(뱅샐입력!G$4:G$3003))</f>
        <v/>
      </c>
      <c r="L56" s="103">
        <f>SUMPRODUCT((MONTH(뱅샐입력!A$4:A$3003)=9)*(YEAR(뱅샐입력!A$4:A$3003)=설정!C3)*(뱅샐입력!C$4:C$3003="지출")*(뱅샐입력!D$4:D$3003=B56)*ABS(뱅샐입력!G$4:G$3003))</f>
        <v/>
      </c>
      <c r="M56" s="103">
        <f>SUMPRODUCT((MONTH(뱅샐입력!A$4:A$3003)=10)*(YEAR(뱅샐입력!A$4:A$3003)=설정!C3)*(뱅샐입력!C$4:C$3003="지출")*(뱅샐입력!D$4:D$3003=B56)*ABS(뱅샐입력!G$4:G$3003))</f>
        <v/>
      </c>
      <c r="N56" s="103">
        <f>SUMPRODUCT((MONTH(뱅샐입력!A$4:A$3003)=11)*(YEAR(뱅샐입력!A$4:A$3003)=설정!C3)*(뱅샐입력!C$4:C$3003="지출")*(뱅샐입력!D$4:D$3003=B56)*ABS(뱅샐입력!G$4:G$3003))</f>
        <v/>
      </c>
      <c r="O56" s="103">
        <f>SUMPRODUCT((MONTH(뱅샐입력!A$4:A$3003)=12)*(YEAR(뱅샐입력!A$4:A$3003)=설정!C3)*(뱅샐입력!C$4:C$3003="지출")*(뱅샐입력!D$4:D$3003=B56)*ABS(뱅샐입력!G$4:G$3003))</f>
        <v/>
      </c>
      <c r="P56" s="104">
        <f>SUM(D56:O56)</f>
        <v/>
      </c>
    </row>
    <row r="57" ht="20" customHeight="1">
      <c r="B57" s="46" t="inlineStr">
        <is>
          <t>생활비</t>
        </is>
      </c>
      <c r="C57" s="46" t="inlineStr">
        <is>
          <t>생활비</t>
        </is>
      </c>
      <c r="D57" s="103">
        <f>SUMPRODUCT((MONTH(뱅샐입력!A$4:A$3003)=1)*(YEAR(뱅샐입력!A$4:A$3003)=설정!C3)*(뱅샐입력!C$4:C$3003="지출")*(뱅샐입력!D$4:D$3003=B57)*ABS(뱅샐입력!G$4:G$3003))</f>
        <v/>
      </c>
      <c r="E57" s="103">
        <f>SUMPRODUCT((MONTH(뱅샐입력!A$4:A$3003)=2)*(YEAR(뱅샐입력!A$4:A$3003)=설정!C3)*(뱅샐입력!C$4:C$3003="지출")*(뱅샐입력!D$4:D$3003=B57)*ABS(뱅샐입력!G$4:G$3003))</f>
        <v/>
      </c>
      <c r="F57" s="103">
        <f>SUMPRODUCT((MONTH(뱅샐입력!A$4:A$3003)=3)*(YEAR(뱅샐입력!A$4:A$3003)=설정!C3)*(뱅샐입력!C$4:C$3003="지출")*(뱅샐입력!D$4:D$3003=B57)*ABS(뱅샐입력!G$4:G$3003))</f>
        <v/>
      </c>
      <c r="G57" s="103">
        <f>SUMPRODUCT((MONTH(뱅샐입력!A$4:A$3003)=4)*(YEAR(뱅샐입력!A$4:A$3003)=설정!C3)*(뱅샐입력!C$4:C$3003="지출")*(뱅샐입력!D$4:D$3003=B57)*ABS(뱅샐입력!G$4:G$3003))</f>
        <v/>
      </c>
      <c r="H57" s="103">
        <f>SUMPRODUCT((MONTH(뱅샐입력!A$4:A$3003)=5)*(YEAR(뱅샐입력!A$4:A$3003)=설정!C3)*(뱅샐입력!C$4:C$3003="지출")*(뱅샐입력!D$4:D$3003=B57)*ABS(뱅샐입력!G$4:G$3003))</f>
        <v/>
      </c>
      <c r="I57" s="103">
        <f>SUMPRODUCT((MONTH(뱅샐입력!A$4:A$3003)=6)*(YEAR(뱅샐입력!A$4:A$3003)=설정!C3)*(뱅샐입력!C$4:C$3003="지출")*(뱅샐입력!D$4:D$3003=B57)*ABS(뱅샐입력!G$4:G$3003))</f>
        <v/>
      </c>
      <c r="J57" s="103">
        <f>SUMPRODUCT((MONTH(뱅샐입력!A$4:A$3003)=7)*(YEAR(뱅샐입력!A$4:A$3003)=설정!C3)*(뱅샐입력!C$4:C$3003="지출")*(뱅샐입력!D$4:D$3003=B57)*ABS(뱅샐입력!G$4:G$3003))</f>
        <v/>
      </c>
      <c r="K57" s="103">
        <f>SUMPRODUCT((MONTH(뱅샐입력!A$4:A$3003)=8)*(YEAR(뱅샐입력!A$4:A$3003)=설정!C3)*(뱅샐입력!C$4:C$3003="지출")*(뱅샐입력!D$4:D$3003=B57)*ABS(뱅샐입력!G$4:G$3003))</f>
        <v/>
      </c>
      <c r="L57" s="103">
        <f>SUMPRODUCT((MONTH(뱅샐입력!A$4:A$3003)=9)*(YEAR(뱅샐입력!A$4:A$3003)=설정!C3)*(뱅샐입력!C$4:C$3003="지출")*(뱅샐입력!D$4:D$3003=B57)*ABS(뱅샐입력!G$4:G$3003))</f>
        <v/>
      </c>
      <c r="M57" s="103">
        <f>SUMPRODUCT((MONTH(뱅샐입력!A$4:A$3003)=10)*(YEAR(뱅샐입력!A$4:A$3003)=설정!C3)*(뱅샐입력!C$4:C$3003="지출")*(뱅샐입력!D$4:D$3003=B57)*ABS(뱅샐입력!G$4:G$3003))</f>
        <v/>
      </c>
      <c r="N57" s="103">
        <f>SUMPRODUCT((MONTH(뱅샐입력!A$4:A$3003)=11)*(YEAR(뱅샐입력!A$4:A$3003)=설정!C3)*(뱅샐입력!C$4:C$3003="지출")*(뱅샐입력!D$4:D$3003=B57)*ABS(뱅샐입력!G$4:G$3003))</f>
        <v/>
      </c>
      <c r="O57" s="103">
        <f>SUMPRODUCT((MONTH(뱅샐입력!A$4:A$3003)=12)*(YEAR(뱅샐입력!A$4:A$3003)=설정!C3)*(뱅샐입력!C$4:C$3003="지출")*(뱅샐입력!D$4:D$3003=B57)*ABS(뱅샐입력!G$4:G$3003))</f>
        <v/>
      </c>
      <c r="P57" s="104">
        <f>SUM(D57:O57)</f>
        <v/>
      </c>
    </row>
    <row r="58" ht="20" customHeight="1">
      <c r="B58" s="32" t="inlineStr">
        <is>
          <t>의료/건강</t>
        </is>
      </c>
      <c r="C58" s="32" t="inlineStr">
        <is>
          <t>의료/건강</t>
        </is>
      </c>
      <c r="D58" s="103">
        <f>SUMPRODUCT((MONTH(뱅샐입력!A$4:A$3003)=1)*(YEAR(뱅샐입력!A$4:A$3003)=설정!C3)*(뱅샐입력!C$4:C$3003="지출")*(뱅샐입력!D$4:D$3003=B58)*ABS(뱅샐입력!G$4:G$3003))</f>
        <v/>
      </c>
      <c r="E58" s="103">
        <f>SUMPRODUCT((MONTH(뱅샐입력!A$4:A$3003)=2)*(YEAR(뱅샐입력!A$4:A$3003)=설정!C3)*(뱅샐입력!C$4:C$3003="지출")*(뱅샐입력!D$4:D$3003=B58)*ABS(뱅샐입력!G$4:G$3003))</f>
        <v/>
      </c>
      <c r="F58" s="103">
        <f>SUMPRODUCT((MONTH(뱅샐입력!A$4:A$3003)=3)*(YEAR(뱅샐입력!A$4:A$3003)=설정!C3)*(뱅샐입력!C$4:C$3003="지출")*(뱅샐입력!D$4:D$3003=B58)*ABS(뱅샐입력!G$4:G$3003))</f>
        <v/>
      </c>
      <c r="G58" s="103">
        <f>SUMPRODUCT((MONTH(뱅샐입력!A$4:A$3003)=4)*(YEAR(뱅샐입력!A$4:A$3003)=설정!C3)*(뱅샐입력!C$4:C$3003="지출")*(뱅샐입력!D$4:D$3003=B58)*ABS(뱅샐입력!G$4:G$3003))</f>
        <v/>
      </c>
      <c r="H58" s="103">
        <f>SUMPRODUCT((MONTH(뱅샐입력!A$4:A$3003)=5)*(YEAR(뱅샐입력!A$4:A$3003)=설정!C3)*(뱅샐입력!C$4:C$3003="지출")*(뱅샐입력!D$4:D$3003=B58)*ABS(뱅샐입력!G$4:G$3003))</f>
        <v/>
      </c>
      <c r="I58" s="103">
        <f>SUMPRODUCT((MONTH(뱅샐입력!A$4:A$3003)=6)*(YEAR(뱅샐입력!A$4:A$3003)=설정!C3)*(뱅샐입력!C$4:C$3003="지출")*(뱅샐입력!D$4:D$3003=B58)*ABS(뱅샐입력!G$4:G$3003))</f>
        <v/>
      </c>
      <c r="J58" s="103">
        <f>SUMPRODUCT((MONTH(뱅샐입력!A$4:A$3003)=7)*(YEAR(뱅샐입력!A$4:A$3003)=설정!C3)*(뱅샐입력!C$4:C$3003="지출")*(뱅샐입력!D$4:D$3003=B58)*ABS(뱅샐입력!G$4:G$3003))</f>
        <v/>
      </c>
      <c r="K58" s="103">
        <f>SUMPRODUCT((MONTH(뱅샐입력!A$4:A$3003)=8)*(YEAR(뱅샐입력!A$4:A$3003)=설정!C3)*(뱅샐입력!C$4:C$3003="지출")*(뱅샐입력!D$4:D$3003=B58)*ABS(뱅샐입력!G$4:G$3003))</f>
        <v/>
      </c>
      <c r="L58" s="103">
        <f>SUMPRODUCT((MONTH(뱅샐입력!A$4:A$3003)=9)*(YEAR(뱅샐입력!A$4:A$3003)=설정!C3)*(뱅샐입력!C$4:C$3003="지출")*(뱅샐입력!D$4:D$3003=B58)*ABS(뱅샐입력!G$4:G$3003))</f>
        <v/>
      </c>
      <c r="M58" s="103">
        <f>SUMPRODUCT((MONTH(뱅샐입력!A$4:A$3003)=10)*(YEAR(뱅샐입력!A$4:A$3003)=설정!C3)*(뱅샐입력!C$4:C$3003="지출")*(뱅샐입력!D$4:D$3003=B58)*ABS(뱅샐입력!G$4:G$3003))</f>
        <v/>
      </c>
      <c r="N58" s="103">
        <f>SUMPRODUCT((MONTH(뱅샐입력!A$4:A$3003)=11)*(YEAR(뱅샐입력!A$4:A$3003)=설정!C3)*(뱅샐입력!C$4:C$3003="지출")*(뱅샐입력!D$4:D$3003=B58)*ABS(뱅샐입력!G$4:G$3003))</f>
        <v/>
      </c>
      <c r="O58" s="103">
        <f>SUMPRODUCT((MONTH(뱅샐입력!A$4:A$3003)=12)*(YEAR(뱅샐입력!A$4:A$3003)=설정!C3)*(뱅샐입력!C$4:C$3003="지출")*(뱅샐입력!D$4:D$3003=B58)*ABS(뱅샐입력!G$4:G$3003))</f>
        <v/>
      </c>
      <c r="P58" s="104">
        <f>SUM(D58:O58)</f>
        <v/>
      </c>
    </row>
    <row r="59" ht="20" customHeight="1">
      <c r="B59" s="46" t="inlineStr">
        <is>
          <t>모임</t>
        </is>
      </c>
      <c r="C59" s="46" t="inlineStr">
        <is>
          <t>모임</t>
        </is>
      </c>
      <c r="D59" s="103">
        <f>SUMPRODUCT((MONTH(뱅샐입력!A$4:A$3003)=1)*(YEAR(뱅샐입력!A$4:A$3003)=설정!C3)*(뱅샐입력!C$4:C$3003="지출")*(뱅샐입력!D$4:D$3003=B59)*ABS(뱅샐입력!G$4:G$3003))</f>
        <v/>
      </c>
      <c r="E59" s="103">
        <f>SUMPRODUCT((MONTH(뱅샐입력!A$4:A$3003)=2)*(YEAR(뱅샐입력!A$4:A$3003)=설정!C3)*(뱅샐입력!C$4:C$3003="지출")*(뱅샐입력!D$4:D$3003=B59)*ABS(뱅샐입력!G$4:G$3003))</f>
        <v/>
      </c>
      <c r="F59" s="103">
        <f>SUMPRODUCT((MONTH(뱅샐입력!A$4:A$3003)=3)*(YEAR(뱅샐입력!A$4:A$3003)=설정!C3)*(뱅샐입력!C$4:C$3003="지출")*(뱅샐입력!D$4:D$3003=B59)*ABS(뱅샐입력!G$4:G$3003))</f>
        <v/>
      </c>
      <c r="G59" s="103">
        <f>SUMPRODUCT((MONTH(뱅샐입력!A$4:A$3003)=4)*(YEAR(뱅샐입력!A$4:A$3003)=설정!C3)*(뱅샐입력!C$4:C$3003="지출")*(뱅샐입력!D$4:D$3003=B59)*ABS(뱅샐입력!G$4:G$3003))</f>
        <v/>
      </c>
      <c r="H59" s="103">
        <f>SUMPRODUCT((MONTH(뱅샐입력!A$4:A$3003)=5)*(YEAR(뱅샐입력!A$4:A$3003)=설정!C3)*(뱅샐입력!C$4:C$3003="지출")*(뱅샐입력!D$4:D$3003=B59)*ABS(뱅샐입력!G$4:G$3003))</f>
        <v/>
      </c>
      <c r="I59" s="103">
        <f>SUMPRODUCT((MONTH(뱅샐입력!A$4:A$3003)=6)*(YEAR(뱅샐입력!A$4:A$3003)=설정!C3)*(뱅샐입력!C$4:C$3003="지출")*(뱅샐입력!D$4:D$3003=B59)*ABS(뱅샐입력!G$4:G$3003))</f>
        <v/>
      </c>
      <c r="J59" s="103">
        <f>SUMPRODUCT((MONTH(뱅샐입력!A$4:A$3003)=7)*(YEAR(뱅샐입력!A$4:A$3003)=설정!C3)*(뱅샐입력!C$4:C$3003="지출")*(뱅샐입력!D$4:D$3003=B59)*ABS(뱅샐입력!G$4:G$3003))</f>
        <v/>
      </c>
      <c r="K59" s="103">
        <f>SUMPRODUCT((MONTH(뱅샐입력!A$4:A$3003)=8)*(YEAR(뱅샐입력!A$4:A$3003)=설정!C3)*(뱅샐입력!C$4:C$3003="지출")*(뱅샐입력!D$4:D$3003=B59)*ABS(뱅샐입력!G$4:G$3003))</f>
        <v/>
      </c>
      <c r="L59" s="103">
        <f>SUMPRODUCT((MONTH(뱅샐입력!A$4:A$3003)=9)*(YEAR(뱅샐입력!A$4:A$3003)=설정!C3)*(뱅샐입력!C$4:C$3003="지출")*(뱅샐입력!D$4:D$3003=B59)*ABS(뱅샐입력!G$4:G$3003))</f>
        <v/>
      </c>
      <c r="M59" s="103">
        <f>SUMPRODUCT((MONTH(뱅샐입력!A$4:A$3003)=10)*(YEAR(뱅샐입력!A$4:A$3003)=설정!C3)*(뱅샐입력!C$4:C$3003="지출")*(뱅샐입력!D$4:D$3003=B59)*ABS(뱅샐입력!G$4:G$3003))</f>
        <v/>
      </c>
      <c r="N59" s="103">
        <f>SUMPRODUCT((MONTH(뱅샐입력!A$4:A$3003)=11)*(YEAR(뱅샐입력!A$4:A$3003)=설정!C3)*(뱅샐입력!C$4:C$3003="지출")*(뱅샐입력!D$4:D$3003=B59)*ABS(뱅샐입력!G$4:G$3003))</f>
        <v/>
      </c>
      <c r="O59" s="103">
        <f>SUMPRODUCT((MONTH(뱅샐입력!A$4:A$3003)=12)*(YEAR(뱅샐입력!A$4:A$3003)=설정!C3)*(뱅샐입력!C$4:C$3003="지출")*(뱅샐입력!D$4:D$3003=B59)*ABS(뱅샐입력!G$4:G$3003))</f>
        <v/>
      </c>
      <c r="P59" s="104">
        <f>SUM(D59:O59)</f>
        <v/>
      </c>
    </row>
    <row r="60" ht="20" customHeight="1">
      <c r="B60" s="32" t="inlineStr">
        <is>
          <t>Tiss</t>
        </is>
      </c>
      <c r="C60" s="32" t="inlineStr">
        <is>
          <t>개인</t>
        </is>
      </c>
      <c r="D60" s="103">
        <f>SUMPRODUCT((MONTH(뱅샐입력!A$4:A$3003)=1)*(YEAR(뱅샐입력!A$4:A$3003)=설정!C3)*(뱅샐입력!C$4:C$3003="지출")*(뱅샐입력!D$4:D$3003=B60)*ABS(뱅샐입력!G$4:G$3003))</f>
        <v/>
      </c>
      <c r="E60" s="103">
        <f>SUMPRODUCT((MONTH(뱅샐입력!A$4:A$3003)=2)*(YEAR(뱅샐입력!A$4:A$3003)=설정!C3)*(뱅샐입력!C$4:C$3003="지출")*(뱅샐입력!D$4:D$3003=B60)*ABS(뱅샐입력!G$4:G$3003))</f>
        <v/>
      </c>
      <c r="F60" s="103">
        <f>SUMPRODUCT((MONTH(뱅샐입력!A$4:A$3003)=3)*(YEAR(뱅샐입력!A$4:A$3003)=설정!C3)*(뱅샐입력!C$4:C$3003="지출")*(뱅샐입력!D$4:D$3003=B60)*ABS(뱅샐입력!G$4:G$3003))</f>
        <v/>
      </c>
      <c r="G60" s="103">
        <f>SUMPRODUCT((MONTH(뱅샐입력!A$4:A$3003)=4)*(YEAR(뱅샐입력!A$4:A$3003)=설정!C3)*(뱅샐입력!C$4:C$3003="지출")*(뱅샐입력!D$4:D$3003=B60)*ABS(뱅샐입력!G$4:G$3003))</f>
        <v/>
      </c>
      <c r="H60" s="103">
        <f>SUMPRODUCT((MONTH(뱅샐입력!A$4:A$3003)=5)*(YEAR(뱅샐입력!A$4:A$3003)=설정!C3)*(뱅샐입력!C$4:C$3003="지출")*(뱅샐입력!D$4:D$3003=B60)*ABS(뱅샐입력!G$4:G$3003))</f>
        <v/>
      </c>
      <c r="I60" s="103">
        <f>SUMPRODUCT((MONTH(뱅샐입력!A$4:A$3003)=6)*(YEAR(뱅샐입력!A$4:A$3003)=설정!C3)*(뱅샐입력!C$4:C$3003="지출")*(뱅샐입력!D$4:D$3003=B60)*ABS(뱅샐입력!G$4:G$3003))</f>
        <v/>
      </c>
      <c r="J60" s="103">
        <f>SUMPRODUCT((MONTH(뱅샐입력!A$4:A$3003)=7)*(YEAR(뱅샐입력!A$4:A$3003)=설정!C3)*(뱅샐입력!C$4:C$3003="지출")*(뱅샐입력!D$4:D$3003=B60)*ABS(뱅샐입력!G$4:G$3003))</f>
        <v/>
      </c>
      <c r="K60" s="103">
        <f>SUMPRODUCT((MONTH(뱅샐입력!A$4:A$3003)=8)*(YEAR(뱅샐입력!A$4:A$3003)=설정!C3)*(뱅샐입력!C$4:C$3003="지출")*(뱅샐입력!D$4:D$3003=B60)*ABS(뱅샐입력!G$4:G$3003))</f>
        <v/>
      </c>
      <c r="L60" s="103">
        <f>SUMPRODUCT((MONTH(뱅샐입력!A$4:A$3003)=9)*(YEAR(뱅샐입력!A$4:A$3003)=설정!C3)*(뱅샐입력!C$4:C$3003="지출")*(뱅샐입력!D$4:D$3003=B60)*ABS(뱅샐입력!G$4:G$3003))</f>
        <v/>
      </c>
      <c r="M60" s="103">
        <f>SUMPRODUCT((MONTH(뱅샐입력!A$4:A$3003)=10)*(YEAR(뱅샐입력!A$4:A$3003)=설정!C3)*(뱅샐입력!C$4:C$3003="지출")*(뱅샐입력!D$4:D$3003=B60)*ABS(뱅샐입력!G$4:G$3003))</f>
        <v/>
      </c>
      <c r="N60" s="103">
        <f>SUMPRODUCT((MONTH(뱅샐입력!A$4:A$3003)=11)*(YEAR(뱅샐입력!A$4:A$3003)=설정!C3)*(뱅샐입력!C$4:C$3003="지출")*(뱅샐입력!D$4:D$3003=B60)*ABS(뱅샐입력!G$4:G$3003))</f>
        <v/>
      </c>
      <c r="O60" s="103">
        <f>SUMPRODUCT((MONTH(뱅샐입력!A$4:A$3003)=12)*(YEAR(뱅샐입력!A$4:A$3003)=설정!C3)*(뱅샐입력!C$4:C$3003="지출")*(뱅샐입력!D$4:D$3003=B60)*ABS(뱅샐입력!G$4:G$3003))</f>
        <v/>
      </c>
      <c r="P60" s="104">
        <f>SUM(D60:O60)</f>
        <v/>
      </c>
    </row>
    <row r="61" ht="20" customHeight="1">
      <c r="B61" s="46" t="inlineStr">
        <is>
          <t>JM</t>
        </is>
      </c>
      <c r="C61" s="46" t="inlineStr">
        <is>
          <t>개인</t>
        </is>
      </c>
      <c r="D61" s="103">
        <f>SUMPRODUCT((MONTH(뱅샐입력!A$4:A$3003)=1)*(YEAR(뱅샐입력!A$4:A$3003)=설정!C3)*(뱅샐입력!C$4:C$3003="지출")*(뱅샐입력!D$4:D$3003=B61)*ABS(뱅샐입력!G$4:G$3003))</f>
        <v/>
      </c>
      <c r="E61" s="103">
        <f>SUMPRODUCT((MONTH(뱅샐입력!A$4:A$3003)=2)*(YEAR(뱅샐입력!A$4:A$3003)=설정!C3)*(뱅샐입력!C$4:C$3003="지출")*(뱅샐입력!D$4:D$3003=B61)*ABS(뱅샐입력!G$4:G$3003))</f>
        <v/>
      </c>
      <c r="F61" s="103">
        <f>SUMPRODUCT((MONTH(뱅샐입력!A$4:A$3003)=3)*(YEAR(뱅샐입력!A$4:A$3003)=설정!C3)*(뱅샐입력!C$4:C$3003="지출")*(뱅샐입력!D$4:D$3003=B61)*ABS(뱅샐입력!G$4:G$3003))</f>
        <v/>
      </c>
      <c r="G61" s="103">
        <f>SUMPRODUCT((MONTH(뱅샐입력!A$4:A$3003)=4)*(YEAR(뱅샐입력!A$4:A$3003)=설정!C3)*(뱅샐입력!C$4:C$3003="지출")*(뱅샐입력!D$4:D$3003=B61)*ABS(뱅샐입력!G$4:G$3003))</f>
        <v/>
      </c>
      <c r="H61" s="103">
        <f>SUMPRODUCT((MONTH(뱅샐입력!A$4:A$3003)=5)*(YEAR(뱅샐입력!A$4:A$3003)=설정!C3)*(뱅샐입력!C$4:C$3003="지출")*(뱅샐입력!D$4:D$3003=B61)*ABS(뱅샐입력!G$4:G$3003))</f>
        <v/>
      </c>
      <c r="I61" s="103">
        <f>SUMPRODUCT((MONTH(뱅샐입력!A$4:A$3003)=6)*(YEAR(뱅샐입력!A$4:A$3003)=설정!C3)*(뱅샐입력!C$4:C$3003="지출")*(뱅샐입력!D$4:D$3003=B61)*ABS(뱅샐입력!G$4:G$3003))</f>
        <v/>
      </c>
      <c r="J61" s="103">
        <f>SUMPRODUCT((MONTH(뱅샐입력!A$4:A$3003)=7)*(YEAR(뱅샐입력!A$4:A$3003)=설정!C3)*(뱅샐입력!C$4:C$3003="지출")*(뱅샐입력!D$4:D$3003=B61)*ABS(뱅샐입력!G$4:G$3003))</f>
        <v/>
      </c>
      <c r="K61" s="103">
        <f>SUMPRODUCT((MONTH(뱅샐입력!A$4:A$3003)=8)*(YEAR(뱅샐입력!A$4:A$3003)=설정!C3)*(뱅샐입력!C$4:C$3003="지출")*(뱅샐입력!D$4:D$3003=B61)*ABS(뱅샐입력!G$4:G$3003))</f>
        <v/>
      </c>
      <c r="L61" s="103">
        <f>SUMPRODUCT((MONTH(뱅샐입력!A$4:A$3003)=9)*(YEAR(뱅샐입력!A$4:A$3003)=설정!C3)*(뱅샐입력!C$4:C$3003="지출")*(뱅샐입력!D$4:D$3003=B61)*ABS(뱅샐입력!G$4:G$3003))</f>
        <v/>
      </c>
      <c r="M61" s="103">
        <f>SUMPRODUCT((MONTH(뱅샐입력!A$4:A$3003)=10)*(YEAR(뱅샐입력!A$4:A$3003)=설정!C3)*(뱅샐입력!C$4:C$3003="지출")*(뱅샐입력!D$4:D$3003=B61)*ABS(뱅샐입력!G$4:G$3003))</f>
        <v/>
      </c>
      <c r="N61" s="103">
        <f>SUMPRODUCT((MONTH(뱅샐입력!A$4:A$3003)=11)*(YEAR(뱅샐입력!A$4:A$3003)=설정!C3)*(뱅샐입력!C$4:C$3003="지출")*(뱅샐입력!D$4:D$3003=B61)*ABS(뱅샐입력!G$4:G$3003))</f>
        <v/>
      </c>
      <c r="O61" s="103">
        <f>SUMPRODUCT((MONTH(뱅샐입력!A$4:A$3003)=12)*(YEAR(뱅샐입력!A$4:A$3003)=설정!C3)*(뱅샐입력!C$4:C$3003="지출")*(뱅샐입력!D$4:D$3003=B61)*ABS(뱅샐입력!G$4:G$3003))</f>
        <v/>
      </c>
      <c r="P61" s="104">
        <f>SUM(D61:O61)</f>
        <v/>
      </c>
    </row>
    <row r="62" ht="20" customHeight="1">
      <c r="B62" s="32" t="inlineStr">
        <is>
          <t>세금</t>
        </is>
      </c>
      <c r="C62" s="32" t="inlineStr">
        <is>
          <t>재산세(주택)</t>
        </is>
      </c>
      <c r="D62" s="103">
        <f>SUMPRODUCT((MONTH(뱅샐입력!A$4:A$3003)=1)*(YEAR(뱅샐입력!A$4:A$3003)=설정!C3)*(뱅샐입력!C$4:C$3003="지출")*(뱅샐입력!D$4:D$3003=B62)*ABS(뱅샐입력!G$4:G$3003))</f>
        <v/>
      </c>
      <c r="E62" s="103">
        <f>SUMPRODUCT((MONTH(뱅샐입력!A$4:A$3003)=2)*(YEAR(뱅샐입력!A$4:A$3003)=설정!C3)*(뱅샐입력!C$4:C$3003="지출")*(뱅샐입력!D$4:D$3003=B62)*ABS(뱅샐입력!G$4:G$3003))</f>
        <v/>
      </c>
      <c r="F62" s="103">
        <f>SUMPRODUCT((MONTH(뱅샐입력!A$4:A$3003)=3)*(YEAR(뱅샐입력!A$4:A$3003)=설정!C3)*(뱅샐입력!C$4:C$3003="지출")*(뱅샐입력!D$4:D$3003=B62)*ABS(뱅샐입력!G$4:G$3003))</f>
        <v/>
      </c>
      <c r="G62" s="103">
        <f>SUMPRODUCT((MONTH(뱅샐입력!A$4:A$3003)=4)*(YEAR(뱅샐입력!A$4:A$3003)=설정!C3)*(뱅샐입력!C$4:C$3003="지출")*(뱅샐입력!D$4:D$3003=B62)*ABS(뱅샐입력!G$4:G$3003))</f>
        <v/>
      </c>
      <c r="H62" s="103">
        <f>SUMPRODUCT((MONTH(뱅샐입력!A$4:A$3003)=5)*(YEAR(뱅샐입력!A$4:A$3003)=설정!C3)*(뱅샐입력!C$4:C$3003="지출")*(뱅샐입력!D$4:D$3003=B62)*ABS(뱅샐입력!G$4:G$3003))</f>
        <v/>
      </c>
      <c r="I62" s="103">
        <f>SUMPRODUCT((MONTH(뱅샐입력!A$4:A$3003)=6)*(YEAR(뱅샐입력!A$4:A$3003)=설정!C3)*(뱅샐입력!C$4:C$3003="지출")*(뱅샐입력!D$4:D$3003=B62)*ABS(뱅샐입력!G$4:G$3003))</f>
        <v/>
      </c>
      <c r="J62" s="103">
        <f>SUMPRODUCT((MONTH(뱅샐입력!A$4:A$3003)=7)*(YEAR(뱅샐입력!A$4:A$3003)=설정!C3)*(뱅샐입력!C$4:C$3003="지출")*(뱅샐입력!D$4:D$3003=B62)*ABS(뱅샐입력!G$4:G$3003))</f>
        <v/>
      </c>
      <c r="K62" s="103">
        <f>SUMPRODUCT((MONTH(뱅샐입력!A$4:A$3003)=8)*(YEAR(뱅샐입력!A$4:A$3003)=설정!C3)*(뱅샐입력!C$4:C$3003="지출")*(뱅샐입력!D$4:D$3003=B62)*ABS(뱅샐입력!G$4:G$3003))</f>
        <v/>
      </c>
      <c r="L62" s="103">
        <f>SUMPRODUCT((MONTH(뱅샐입력!A$4:A$3003)=9)*(YEAR(뱅샐입력!A$4:A$3003)=설정!C3)*(뱅샐입력!C$4:C$3003="지출")*(뱅샐입력!D$4:D$3003=B62)*ABS(뱅샐입력!G$4:G$3003))</f>
        <v/>
      </c>
      <c r="M62" s="103">
        <f>SUMPRODUCT((MONTH(뱅샐입력!A$4:A$3003)=10)*(YEAR(뱅샐입력!A$4:A$3003)=설정!C3)*(뱅샐입력!C$4:C$3003="지출")*(뱅샐입력!D$4:D$3003=B62)*ABS(뱅샐입력!G$4:G$3003))</f>
        <v/>
      </c>
      <c r="N62" s="103">
        <f>SUMPRODUCT((MONTH(뱅샐입력!A$4:A$3003)=11)*(YEAR(뱅샐입력!A$4:A$3003)=설정!C3)*(뱅샐입력!C$4:C$3003="지출")*(뱅샐입력!D$4:D$3003=B62)*ABS(뱅샐입력!G$4:G$3003))</f>
        <v/>
      </c>
      <c r="O62" s="103">
        <f>SUMPRODUCT((MONTH(뱅샐입력!A$4:A$3003)=12)*(YEAR(뱅샐입력!A$4:A$3003)=설정!C3)*(뱅샐입력!C$4:C$3003="지출")*(뱅샐입력!D$4:D$3003=B62)*ABS(뱅샐입력!G$4:G$3003))</f>
        <v/>
      </c>
      <c r="P62" s="104">
        <f>SUM(D62:O62)</f>
        <v/>
      </c>
    </row>
    <row r="63" ht="20" customHeight="1">
      <c r="B63" s="46" t="inlineStr">
        <is>
          <t>세금</t>
        </is>
      </c>
      <c r="C63" s="46" t="inlineStr">
        <is>
          <t>종합소득세</t>
        </is>
      </c>
      <c r="D63" s="103">
        <f>SUMPRODUCT((MONTH(뱅샐입력!A$4:A$3003)=1)*(YEAR(뱅샐입력!A$4:A$3003)=설정!C3)*(뱅샐입력!C$4:C$3003="지출")*(뱅샐입력!D$4:D$3003=B63)*ABS(뱅샐입력!G$4:G$3003))</f>
        <v/>
      </c>
      <c r="E63" s="103">
        <f>SUMPRODUCT((MONTH(뱅샐입력!A$4:A$3003)=2)*(YEAR(뱅샐입력!A$4:A$3003)=설정!C3)*(뱅샐입력!C$4:C$3003="지출")*(뱅샐입력!D$4:D$3003=B63)*ABS(뱅샐입력!G$4:G$3003))</f>
        <v/>
      </c>
      <c r="F63" s="103">
        <f>SUMPRODUCT((MONTH(뱅샐입력!A$4:A$3003)=3)*(YEAR(뱅샐입력!A$4:A$3003)=설정!C3)*(뱅샐입력!C$4:C$3003="지출")*(뱅샐입력!D$4:D$3003=B63)*ABS(뱅샐입력!G$4:G$3003))</f>
        <v/>
      </c>
      <c r="G63" s="103">
        <f>SUMPRODUCT((MONTH(뱅샐입력!A$4:A$3003)=4)*(YEAR(뱅샐입력!A$4:A$3003)=설정!C3)*(뱅샐입력!C$4:C$3003="지출")*(뱅샐입력!D$4:D$3003=B63)*ABS(뱅샐입력!G$4:G$3003))</f>
        <v/>
      </c>
      <c r="H63" s="103">
        <f>SUMPRODUCT((MONTH(뱅샐입력!A$4:A$3003)=5)*(YEAR(뱅샐입력!A$4:A$3003)=설정!C3)*(뱅샐입력!C$4:C$3003="지출")*(뱅샐입력!D$4:D$3003=B63)*ABS(뱅샐입력!G$4:G$3003))</f>
        <v/>
      </c>
      <c r="I63" s="103">
        <f>SUMPRODUCT((MONTH(뱅샐입력!A$4:A$3003)=6)*(YEAR(뱅샐입력!A$4:A$3003)=설정!C3)*(뱅샐입력!C$4:C$3003="지출")*(뱅샐입력!D$4:D$3003=B63)*ABS(뱅샐입력!G$4:G$3003))</f>
        <v/>
      </c>
      <c r="J63" s="103">
        <f>SUMPRODUCT((MONTH(뱅샐입력!A$4:A$3003)=7)*(YEAR(뱅샐입력!A$4:A$3003)=설정!C3)*(뱅샐입력!C$4:C$3003="지출")*(뱅샐입력!D$4:D$3003=B63)*ABS(뱅샐입력!G$4:G$3003))</f>
        <v/>
      </c>
      <c r="K63" s="103">
        <f>SUMPRODUCT((MONTH(뱅샐입력!A$4:A$3003)=8)*(YEAR(뱅샐입력!A$4:A$3003)=설정!C3)*(뱅샐입력!C$4:C$3003="지출")*(뱅샐입력!D$4:D$3003=B63)*ABS(뱅샐입력!G$4:G$3003))</f>
        <v/>
      </c>
      <c r="L63" s="103">
        <f>SUMPRODUCT((MONTH(뱅샐입력!A$4:A$3003)=9)*(YEAR(뱅샐입력!A$4:A$3003)=설정!C3)*(뱅샐입력!C$4:C$3003="지출")*(뱅샐입력!D$4:D$3003=B63)*ABS(뱅샐입력!G$4:G$3003))</f>
        <v/>
      </c>
      <c r="M63" s="103">
        <f>SUMPRODUCT((MONTH(뱅샐입력!A$4:A$3003)=10)*(YEAR(뱅샐입력!A$4:A$3003)=설정!C3)*(뱅샐입력!C$4:C$3003="지출")*(뱅샐입력!D$4:D$3003=B63)*ABS(뱅샐입력!G$4:G$3003))</f>
        <v/>
      </c>
      <c r="N63" s="103">
        <f>SUMPRODUCT((MONTH(뱅샐입력!A$4:A$3003)=11)*(YEAR(뱅샐입력!A$4:A$3003)=설정!C3)*(뱅샐입력!C$4:C$3003="지출")*(뱅샐입력!D$4:D$3003=B63)*ABS(뱅샐입력!G$4:G$3003))</f>
        <v/>
      </c>
      <c r="O63" s="103">
        <f>SUMPRODUCT((MONTH(뱅샐입력!A$4:A$3003)=12)*(YEAR(뱅샐입력!A$4:A$3003)=설정!C3)*(뱅샐입력!C$4:C$3003="지출")*(뱅샐입력!D$4:D$3003=B63)*ABS(뱅샐입력!G$4:G$3003))</f>
        <v/>
      </c>
      <c r="P63" s="104">
        <f>SUM(D63:O63)</f>
        <v/>
      </c>
    </row>
    <row r="64" ht="20" customHeight="1">
      <c r="B64" s="32" t="inlineStr">
        <is>
          <t>대출상환</t>
        </is>
      </c>
      <c r="C64" s="32" t="inlineStr">
        <is>
          <t>디딤돌대출</t>
        </is>
      </c>
      <c r="D64" s="103">
        <f>SUMPRODUCT((MONTH(뱅샐입력!A$4:A$3003)=1)*(YEAR(뱅샐입력!A$4:A$3003)=설정!C3)*(뱅샐입력!C$4:C$3003="지출")*(뱅샐입력!D$4:D$3003=B64)*ABS(뱅샐입력!G$4:G$3003))</f>
        <v/>
      </c>
      <c r="E64" s="103">
        <f>SUMPRODUCT((MONTH(뱅샐입력!A$4:A$3003)=2)*(YEAR(뱅샐입력!A$4:A$3003)=설정!C3)*(뱅샐입력!C$4:C$3003="지출")*(뱅샐입력!D$4:D$3003=B64)*ABS(뱅샐입력!G$4:G$3003))</f>
        <v/>
      </c>
      <c r="F64" s="103">
        <f>SUMPRODUCT((MONTH(뱅샐입력!A$4:A$3003)=3)*(YEAR(뱅샐입력!A$4:A$3003)=설정!C3)*(뱅샐입력!C$4:C$3003="지출")*(뱅샐입력!D$4:D$3003=B64)*ABS(뱅샐입력!G$4:G$3003))</f>
        <v/>
      </c>
      <c r="G64" s="103">
        <f>SUMPRODUCT((MONTH(뱅샐입력!A$4:A$3003)=4)*(YEAR(뱅샐입력!A$4:A$3003)=설정!C3)*(뱅샐입력!C$4:C$3003="지출")*(뱅샐입력!D$4:D$3003=B64)*ABS(뱅샐입력!G$4:G$3003))</f>
        <v/>
      </c>
      <c r="H64" s="103">
        <f>SUMPRODUCT((MONTH(뱅샐입력!A$4:A$3003)=5)*(YEAR(뱅샐입력!A$4:A$3003)=설정!C3)*(뱅샐입력!C$4:C$3003="지출")*(뱅샐입력!D$4:D$3003=B64)*ABS(뱅샐입력!G$4:G$3003))</f>
        <v/>
      </c>
      <c r="I64" s="103">
        <f>SUMPRODUCT((MONTH(뱅샐입력!A$4:A$3003)=6)*(YEAR(뱅샐입력!A$4:A$3003)=설정!C3)*(뱅샐입력!C$4:C$3003="지출")*(뱅샐입력!D$4:D$3003=B64)*ABS(뱅샐입력!G$4:G$3003))</f>
        <v/>
      </c>
      <c r="J64" s="103">
        <f>SUMPRODUCT((MONTH(뱅샐입력!A$4:A$3003)=7)*(YEAR(뱅샐입력!A$4:A$3003)=설정!C3)*(뱅샐입력!C$4:C$3003="지출")*(뱅샐입력!D$4:D$3003=B64)*ABS(뱅샐입력!G$4:G$3003))</f>
        <v/>
      </c>
      <c r="K64" s="103">
        <f>SUMPRODUCT((MONTH(뱅샐입력!A$4:A$3003)=8)*(YEAR(뱅샐입력!A$4:A$3003)=설정!C3)*(뱅샐입력!C$4:C$3003="지출")*(뱅샐입력!D$4:D$3003=B64)*ABS(뱅샐입력!G$4:G$3003))</f>
        <v/>
      </c>
      <c r="L64" s="103">
        <f>SUMPRODUCT((MONTH(뱅샐입력!A$4:A$3003)=9)*(YEAR(뱅샐입력!A$4:A$3003)=설정!C3)*(뱅샐입력!C$4:C$3003="지출")*(뱅샐입력!D$4:D$3003=B64)*ABS(뱅샐입력!G$4:G$3003))</f>
        <v/>
      </c>
      <c r="M64" s="103">
        <f>SUMPRODUCT((MONTH(뱅샐입력!A$4:A$3003)=10)*(YEAR(뱅샐입력!A$4:A$3003)=설정!C3)*(뱅샐입력!C$4:C$3003="지출")*(뱅샐입력!D$4:D$3003=B64)*ABS(뱅샐입력!G$4:G$3003))</f>
        <v/>
      </c>
      <c r="N64" s="103">
        <f>SUMPRODUCT((MONTH(뱅샐입력!A$4:A$3003)=11)*(YEAR(뱅샐입력!A$4:A$3003)=설정!C3)*(뱅샐입력!C$4:C$3003="지출")*(뱅샐입력!D$4:D$3003=B64)*ABS(뱅샐입력!G$4:G$3003))</f>
        <v/>
      </c>
      <c r="O64" s="103">
        <f>SUMPRODUCT((MONTH(뱅샐입력!A$4:A$3003)=12)*(YEAR(뱅샐입력!A$4:A$3003)=설정!C3)*(뱅샐입력!C$4:C$3003="지출")*(뱅샐입력!D$4:D$3003=B64)*ABS(뱅샐입력!G$4:G$3003))</f>
        <v/>
      </c>
      <c r="P64" s="104">
        <f>SUM(D64:O64)</f>
        <v/>
      </c>
    </row>
    <row r="65" ht="20" customHeight="1">
      <c r="B65" s="46" t="inlineStr">
        <is>
          <t>부동산</t>
        </is>
      </c>
      <c r="C65" s="46" t="inlineStr">
        <is>
          <t>부동산</t>
        </is>
      </c>
      <c r="D65" s="103">
        <f>SUMPRODUCT((MONTH(뱅샐입력!A$4:A$3003)=1)*(YEAR(뱅샐입력!A$4:A$3003)=설정!C3)*(뱅샐입력!C$4:C$3003="지출")*(뱅샐입력!D$4:D$3003=B65)*ABS(뱅샐입력!G$4:G$3003))</f>
        <v/>
      </c>
      <c r="E65" s="103">
        <f>SUMPRODUCT((MONTH(뱅샐입력!A$4:A$3003)=2)*(YEAR(뱅샐입력!A$4:A$3003)=설정!C3)*(뱅샐입력!C$4:C$3003="지출")*(뱅샐입력!D$4:D$3003=B65)*ABS(뱅샐입력!G$4:G$3003))</f>
        <v/>
      </c>
      <c r="F65" s="103">
        <f>SUMPRODUCT((MONTH(뱅샐입력!A$4:A$3003)=3)*(YEAR(뱅샐입력!A$4:A$3003)=설정!C3)*(뱅샐입력!C$4:C$3003="지출")*(뱅샐입력!D$4:D$3003=B65)*ABS(뱅샐입력!G$4:G$3003))</f>
        <v/>
      </c>
      <c r="G65" s="103">
        <f>SUMPRODUCT((MONTH(뱅샐입력!A$4:A$3003)=4)*(YEAR(뱅샐입력!A$4:A$3003)=설정!C3)*(뱅샐입력!C$4:C$3003="지출")*(뱅샐입력!D$4:D$3003=B65)*ABS(뱅샐입력!G$4:G$3003))</f>
        <v/>
      </c>
      <c r="H65" s="103">
        <f>SUMPRODUCT((MONTH(뱅샐입력!A$4:A$3003)=5)*(YEAR(뱅샐입력!A$4:A$3003)=설정!C3)*(뱅샐입력!C$4:C$3003="지출")*(뱅샐입력!D$4:D$3003=B65)*ABS(뱅샐입력!G$4:G$3003))</f>
        <v/>
      </c>
      <c r="I65" s="103">
        <f>SUMPRODUCT((MONTH(뱅샐입력!A$4:A$3003)=6)*(YEAR(뱅샐입력!A$4:A$3003)=설정!C3)*(뱅샐입력!C$4:C$3003="지출")*(뱅샐입력!D$4:D$3003=B65)*ABS(뱅샐입력!G$4:G$3003))</f>
        <v/>
      </c>
      <c r="J65" s="103">
        <f>SUMPRODUCT((MONTH(뱅샐입력!A$4:A$3003)=7)*(YEAR(뱅샐입력!A$4:A$3003)=설정!C3)*(뱅샐입력!C$4:C$3003="지출")*(뱅샐입력!D$4:D$3003=B65)*ABS(뱅샐입력!G$4:G$3003))</f>
        <v/>
      </c>
      <c r="K65" s="103">
        <f>SUMPRODUCT((MONTH(뱅샐입력!A$4:A$3003)=8)*(YEAR(뱅샐입력!A$4:A$3003)=설정!C3)*(뱅샐입력!C$4:C$3003="지출")*(뱅샐입력!D$4:D$3003=B65)*ABS(뱅샐입력!G$4:G$3003))</f>
        <v/>
      </c>
      <c r="L65" s="103">
        <f>SUMPRODUCT((MONTH(뱅샐입력!A$4:A$3003)=9)*(YEAR(뱅샐입력!A$4:A$3003)=설정!C3)*(뱅샐입력!C$4:C$3003="지출")*(뱅샐입력!D$4:D$3003=B65)*ABS(뱅샐입력!G$4:G$3003))</f>
        <v/>
      </c>
      <c r="M65" s="103">
        <f>SUMPRODUCT((MONTH(뱅샐입력!A$4:A$3003)=10)*(YEAR(뱅샐입력!A$4:A$3003)=설정!C3)*(뱅샐입력!C$4:C$3003="지출")*(뱅샐입력!D$4:D$3003=B65)*ABS(뱅샐입력!G$4:G$3003))</f>
        <v/>
      </c>
      <c r="N65" s="103">
        <f>SUMPRODUCT((MONTH(뱅샐입력!A$4:A$3003)=11)*(YEAR(뱅샐입력!A$4:A$3003)=설정!C3)*(뱅샐입력!C$4:C$3003="지출")*(뱅샐입력!D$4:D$3003=B65)*ABS(뱅샐입력!G$4:G$3003))</f>
        <v/>
      </c>
      <c r="O65" s="103">
        <f>SUMPRODUCT((MONTH(뱅샐입력!A$4:A$3003)=12)*(YEAR(뱅샐입력!A$4:A$3003)=설정!C3)*(뱅샐입력!C$4:C$3003="지출")*(뱅샐입력!D$4:D$3003=B65)*ABS(뱅샐입력!G$4:G$3003))</f>
        <v/>
      </c>
      <c r="P65" s="104">
        <f>SUM(D65:O65)</f>
        <v/>
      </c>
    </row>
    <row r="66" ht="20" customHeight="1">
      <c r="B66" s="32" t="inlineStr">
        <is>
          <t>기타</t>
        </is>
      </c>
      <c r="C66" s="32" t="inlineStr">
        <is>
          <t>기타</t>
        </is>
      </c>
      <c r="D66" s="103">
        <f>SUMPRODUCT((MONTH(뱅샐입력!A$4:A$3003)=1)*(YEAR(뱅샐입력!A$4:A$3003)=설정!C3)*(뱅샐입력!C$4:C$3003="지출")*(뱅샐입력!D$4:D$3003=B66)*ABS(뱅샐입력!G$4:G$3003))</f>
        <v/>
      </c>
      <c r="E66" s="103">
        <f>SUMPRODUCT((MONTH(뱅샐입력!A$4:A$3003)=2)*(YEAR(뱅샐입력!A$4:A$3003)=설정!C3)*(뱅샐입력!C$4:C$3003="지출")*(뱅샐입력!D$4:D$3003=B66)*ABS(뱅샐입력!G$4:G$3003))</f>
        <v/>
      </c>
      <c r="F66" s="103">
        <f>SUMPRODUCT((MONTH(뱅샐입력!A$4:A$3003)=3)*(YEAR(뱅샐입력!A$4:A$3003)=설정!C3)*(뱅샐입력!C$4:C$3003="지출")*(뱅샐입력!D$4:D$3003=B66)*ABS(뱅샐입력!G$4:G$3003))</f>
        <v/>
      </c>
      <c r="G66" s="103">
        <f>SUMPRODUCT((MONTH(뱅샐입력!A$4:A$3003)=4)*(YEAR(뱅샐입력!A$4:A$3003)=설정!C3)*(뱅샐입력!C$4:C$3003="지출")*(뱅샐입력!D$4:D$3003=B66)*ABS(뱅샐입력!G$4:G$3003))</f>
        <v/>
      </c>
      <c r="H66" s="103">
        <f>SUMPRODUCT((MONTH(뱅샐입력!A$4:A$3003)=5)*(YEAR(뱅샐입력!A$4:A$3003)=설정!C3)*(뱅샐입력!C$4:C$3003="지출")*(뱅샐입력!D$4:D$3003=B66)*ABS(뱅샐입력!G$4:G$3003))</f>
        <v/>
      </c>
      <c r="I66" s="103">
        <f>SUMPRODUCT((MONTH(뱅샐입력!A$4:A$3003)=6)*(YEAR(뱅샐입력!A$4:A$3003)=설정!C3)*(뱅샐입력!C$4:C$3003="지출")*(뱅샐입력!D$4:D$3003=B66)*ABS(뱅샐입력!G$4:G$3003))</f>
        <v/>
      </c>
      <c r="J66" s="103">
        <f>SUMPRODUCT((MONTH(뱅샐입력!A$4:A$3003)=7)*(YEAR(뱅샐입력!A$4:A$3003)=설정!C3)*(뱅샐입력!C$4:C$3003="지출")*(뱅샐입력!D$4:D$3003=B66)*ABS(뱅샐입력!G$4:G$3003))</f>
        <v/>
      </c>
      <c r="K66" s="103">
        <f>SUMPRODUCT((MONTH(뱅샐입력!A$4:A$3003)=8)*(YEAR(뱅샐입력!A$4:A$3003)=설정!C3)*(뱅샐입력!C$4:C$3003="지출")*(뱅샐입력!D$4:D$3003=B66)*ABS(뱅샐입력!G$4:G$3003))</f>
        <v/>
      </c>
      <c r="L66" s="103">
        <f>SUMPRODUCT((MONTH(뱅샐입력!A$4:A$3003)=9)*(YEAR(뱅샐입력!A$4:A$3003)=설정!C3)*(뱅샐입력!C$4:C$3003="지출")*(뱅샐입력!D$4:D$3003=B66)*ABS(뱅샐입력!G$4:G$3003))</f>
        <v/>
      </c>
      <c r="M66" s="103">
        <f>SUMPRODUCT((MONTH(뱅샐입력!A$4:A$3003)=10)*(YEAR(뱅샐입력!A$4:A$3003)=설정!C3)*(뱅샐입력!C$4:C$3003="지출")*(뱅샐입력!D$4:D$3003=B66)*ABS(뱅샐입력!G$4:G$3003))</f>
        <v/>
      </c>
      <c r="N66" s="103">
        <f>SUMPRODUCT((MONTH(뱅샐입력!A$4:A$3003)=11)*(YEAR(뱅샐입력!A$4:A$3003)=설정!C3)*(뱅샐입력!C$4:C$3003="지출")*(뱅샐입력!D$4:D$3003=B66)*ABS(뱅샐입력!G$4:G$3003))</f>
        <v/>
      </c>
      <c r="O66" s="103">
        <f>SUMPRODUCT((MONTH(뱅샐입력!A$4:A$3003)=12)*(YEAR(뱅샐입력!A$4:A$3003)=설정!C3)*(뱅샐입력!C$4:C$3003="지출")*(뱅샐입력!D$4:D$3003=B66)*ABS(뱅샐입력!G$4:G$3003))</f>
        <v/>
      </c>
      <c r="P66" s="104">
        <f>SUM(D66:O66)</f>
        <v/>
      </c>
    </row>
    <row r="67" ht="22" customHeight="1">
      <c r="B67" s="51" t="inlineStr">
        <is>
          <t>합계</t>
        </is>
      </c>
      <c r="C67" s="11" t="n"/>
      <c r="D67" s="52">
        <f>SUM(D49:D66)</f>
        <v/>
      </c>
      <c r="E67" s="52">
        <f>SUM(E49:E66)</f>
        <v/>
      </c>
      <c r="F67" s="52">
        <f>SUM(F49:F66)</f>
        <v/>
      </c>
      <c r="G67" s="52">
        <f>SUM(G49:G66)</f>
        <v/>
      </c>
      <c r="H67" s="52">
        <f>SUM(H49:H66)</f>
        <v/>
      </c>
      <c r="I67" s="52">
        <f>SUM(I49:I66)</f>
        <v/>
      </c>
      <c r="J67" s="52">
        <f>SUM(J49:J66)</f>
        <v/>
      </c>
      <c r="K67" s="52">
        <f>SUM(K49:K66)</f>
        <v/>
      </c>
      <c r="L67" s="52">
        <f>SUM(L49:L66)</f>
        <v/>
      </c>
      <c r="M67" s="52">
        <f>SUM(M49:M66)</f>
        <v/>
      </c>
      <c r="N67" s="52">
        <f>SUM(N49:N66)</f>
        <v/>
      </c>
      <c r="O67" s="52">
        <f>SUM(O49:O66)</f>
        <v/>
      </c>
      <c r="P67" s="52">
        <f>SUM(P49:P66)</f>
        <v/>
      </c>
    </row>
  </sheetData>
  <mergeCells count="7">
    <mergeCell ref="B24:C24"/>
    <mergeCell ref="B47:P47"/>
    <mergeCell ref="B2:P2"/>
    <mergeCell ref="B67:C67"/>
    <mergeCell ref="B46:P46"/>
    <mergeCell ref="B4:G4"/>
    <mergeCell ref="B1:P1"/>
  </mergeCells>
  <conditionalFormatting sqref="D49:O66">
    <cfRule type="colorScale" priority="1">
      <colorScale>
        <cfvo type="num" val="0"/>
        <cfvo type="percentile" val="50"/>
        <cfvo type="percentile" val="100"/>
        <color rgb="FFFFFFFF"/>
        <color rgb="FFFFEB84"/>
        <color rgb="FFDC262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26"/>
  <sheetViews>
    <sheetView showGridLines="0" workbookViewId="0">
      <pane ySplit="66" topLeftCell="A6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8" customWidth="1" min="9" max="9"/>
    <col width="24" customWidth="1" min="10" max="10"/>
  </cols>
  <sheetData>
    <row r="1" ht="32" customHeight="1">
      <c r="A1" s="34" t="inlineStr">
        <is>
          <t>대출 상환 추적표</t>
        </is>
      </c>
    </row>
    <row r="2" ht="14" customHeight="1">
      <c r="A2" s="35" t="inlineStr">
        <is>
          <t>기흥역센트럴푸르지오 / 주택자금대출(디딤돌) / 2026-03-30 실행</t>
        </is>
      </c>
    </row>
    <row r="4" ht="24" customHeight="1">
      <c r="A4" s="102" t="inlineStr">
        <is>
          <t>기본 정보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1" t="n"/>
    </row>
    <row r="5" ht="22" customHeight="1">
      <c r="A5" s="105" t="inlineStr">
        <is>
          <t>대출금액</t>
        </is>
      </c>
      <c r="B5" s="11" t="n"/>
      <c r="C5" s="106" t="n">
        <v>480000000</v>
      </c>
      <c r="D5" s="11" t="n"/>
      <c r="E5" s="107" t="inlineStr">
        <is>
          <t>대출원금</t>
        </is>
      </c>
      <c r="F5" s="10" t="n"/>
      <c r="G5" s="10" t="n"/>
      <c r="H5" s="10" t="n"/>
      <c r="I5" s="10" t="n"/>
      <c r="J5" s="11" t="n"/>
    </row>
    <row r="6" ht="22" customHeight="1">
      <c r="A6" s="105" t="inlineStr">
        <is>
          <t>대출실행일</t>
        </is>
      </c>
      <c r="B6" s="11" t="n"/>
      <c r="C6" s="108" t="n">
        <v>46111</v>
      </c>
      <c r="D6" s="11" t="n"/>
      <c r="E6" s="107" t="inlineStr">
        <is>
          <t>첫 납입: 2026-04-30</t>
        </is>
      </c>
      <c r="F6" s="10" t="n"/>
      <c r="G6" s="10" t="n"/>
      <c r="H6" s="10" t="n"/>
      <c r="I6" s="10" t="n"/>
      <c r="J6" s="11" t="n"/>
    </row>
    <row r="7" ht="22" customHeight="1">
      <c r="A7" s="105" t="inlineStr">
        <is>
          <t>만기</t>
        </is>
      </c>
      <c r="B7" s="11" t="n"/>
      <c r="C7" s="109" t="inlineStr">
        <is>
          <t>30년 (360회)</t>
        </is>
      </c>
      <c r="D7" s="11" t="n"/>
      <c r="E7" s="107" t="inlineStr"/>
      <c r="F7" s="10" t="n"/>
      <c r="G7" s="10" t="n"/>
      <c r="H7" s="10" t="n"/>
      <c r="I7" s="10" t="n"/>
      <c r="J7" s="11" t="n"/>
    </row>
    <row r="8" ht="22" customHeight="1">
      <c r="A8" s="105" t="inlineStr">
        <is>
          <t>상환방법</t>
        </is>
      </c>
      <c r="B8" s="11" t="n"/>
      <c r="C8" s="109" t="inlineStr">
        <is>
          <t>원리금균등</t>
        </is>
      </c>
      <c r="D8" s="11" t="n"/>
      <c r="E8" s="107" t="inlineStr">
        <is>
          <t>고정납입액 (금리 변동 시 재계산)</t>
        </is>
      </c>
      <c r="F8" s="10" t="n"/>
      <c r="G8" s="10" t="n"/>
      <c r="H8" s="10" t="n"/>
      <c r="I8" s="10" t="n"/>
      <c r="J8" s="11" t="n"/>
    </row>
    <row r="9" ht="22" customHeight="1">
      <c r="A9" s="105" t="inlineStr">
        <is>
          <t>가산금리 (참고)</t>
        </is>
      </c>
      <c r="B9" s="11" t="n"/>
      <c r="C9" s="110" t="n">
        <v>0.016</v>
      </c>
      <c r="D9" s="11" t="n"/>
      <c r="E9" s="107" t="inlineStr">
        <is>
          <t>기준금리 현재 2.47% + 가산 1.60% = 4.07%</t>
        </is>
      </c>
      <c r="F9" s="10" t="n"/>
      <c r="G9" s="10" t="n"/>
      <c r="H9" s="10" t="n"/>
      <c r="I9" s="10" t="n"/>
      <c r="J9" s="11" t="n"/>
    </row>
    <row r="11" ht="24" customHeight="1">
      <c r="A11" s="102" t="inlineStr">
        <is>
          <t>금리 변동 이력  (변동 시 행 추가 — 날짜 오름차순 유지)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n"/>
    </row>
    <row r="12" ht="14" customHeight="1">
      <c r="A12" s="35" t="inlineStr">
        <is>
          <t>※ 총금리를 직접 입력하세요. 날짜는 오름차순 정렬 필수. 과거 회차는 소급 변경되지 않습니다.</t>
        </is>
      </c>
    </row>
    <row r="13" ht="22" customHeight="1">
      <c r="A13" s="27" t="inlineStr">
        <is>
          <t>변동일</t>
        </is>
      </c>
      <c r="B13" s="43" t="inlineStr">
        <is>
          <t>총금리 (%)</t>
        </is>
      </c>
      <c r="C13" s="27" t="inlineStr">
        <is>
          <t>비고 (기준금리·변동 사유 등)</t>
        </is>
      </c>
      <c r="D13" s="10" t="n"/>
      <c r="E13" s="10" t="n"/>
      <c r="F13" s="10" t="n"/>
      <c r="G13" s="10" t="n"/>
      <c r="H13" s="10" t="n"/>
      <c r="I13" s="10" t="n"/>
      <c r="J13" s="11" t="n"/>
    </row>
    <row r="14" ht="20" customHeight="1">
      <c r="A14" s="111" t="n">
        <v>46111</v>
      </c>
      <c r="B14" s="112" t="n">
        <v>0.0407</v>
      </c>
      <c r="C14" s="113" t="inlineStr">
        <is>
          <t>초기 설정 (기준 2.47% + 가산 1.60%)</t>
        </is>
      </c>
      <c r="D14" s="10" t="n"/>
      <c r="E14" s="10" t="n"/>
      <c r="F14" s="10" t="n"/>
      <c r="G14" s="10" t="n"/>
      <c r="H14" s="10" t="n"/>
      <c r="I14" s="10" t="n"/>
      <c r="J14" s="11" t="n"/>
    </row>
    <row r="15" ht="20" customHeight="1">
      <c r="A15" s="32" t="n"/>
      <c r="B15" s="114" t="n"/>
      <c r="C15" s="101" t="n"/>
      <c r="D15" s="10" t="n"/>
      <c r="E15" s="10" t="n"/>
      <c r="F15" s="10" t="n"/>
      <c r="G15" s="10" t="n"/>
      <c r="H15" s="10" t="n"/>
      <c r="I15" s="10" t="n"/>
      <c r="J15" s="11" t="n"/>
    </row>
    <row r="16" ht="20" customHeight="1">
      <c r="A16" s="46" t="n"/>
      <c r="B16" s="115" t="n"/>
      <c r="C16" s="116" t="n"/>
      <c r="D16" s="10" t="n"/>
      <c r="E16" s="10" t="n"/>
      <c r="F16" s="10" t="n"/>
      <c r="G16" s="10" t="n"/>
      <c r="H16" s="10" t="n"/>
      <c r="I16" s="10" t="n"/>
      <c r="J16" s="11" t="n"/>
    </row>
    <row r="17" ht="20" customHeight="1">
      <c r="A17" s="32" t="n"/>
      <c r="B17" s="114" t="n"/>
      <c r="C17" s="101" t="n"/>
      <c r="D17" s="10" t="n"/>
      <c r="E17" s="10" t="n"/>
      <c r="F17" s="10" t="n"/>
      <c r="G17" s="10" t="n"/>
      <c r="H17" s="10" t="n"/>
      <c r="I17" s="10" t="n"/>
      <c r="J17" s="11" t="n"/>
    </row>
    <row r="18" ht="20" customHeight="1">
      <c r="A18" s="46" t="n"/>
      <c r="B18" s="115" t="n"/>
      <c r="C18" s="116" t="n"/>
      <c r="D18" s="10" t="n"/>
      <c r="E18" s="10" t="n"/>
      <c r="F18" s="10" t="n"/>
      <c r="G18" s="10" t="n"/>
      <c r="H18" s="10" t="n"/>
      <c r="I18" s="10" t="n"/>
      <c r="J18" s="11" t="n"/>
    </row>
    <row r="19" ht="20" customHeight="1">
      <c r="A19" s="32" t="n"/>
      <c r="B19" s="114" t="n"/>
      <c r="C19" s="101" t="n"/>
      <c r="D19" s="10" t="n"/>
      <c r="E19" s="10" t="n"/>
      <c r="F19" s="10" t="n"/>
      <c r="G19" s="10" t="n"/>
      <c r="H19" s="10" t="n"/>
      <c r="I19" s="10" t="n"/>
      <c r="J19" s="11" t="n"/>
    </row>
    <row r="20" ht="20" customHeight="1">
      <c r="A20" s="46" t="n"/>
      <c r="B20" s="115" t="n"/>
      <c r="C20" s="116" t="n"/>
      <c r="D20" s="10" t="n"/>
      <c r="E20" s="10" t="n"/>
      <c r="F20" s="10" t="n"/>
      <c r="G20" s="10" t="n"/>
      <c r="H20" s="10" t="n"/>
      <c r="I20" s="10" t="n"/>
      <c r="J20" s="11" t="n"/>
    </row>
    <row r="21" ht="20" customHeight="1">
      <c r="A21" s="32" t="n"/>
      <c r="B21" s="114" t="n"/>
      <c r="C21" s="101" t="n"/>
      <c r="D21" s="10" t="n"/>
      <c r="E21" s="10" t="n"/>
      <c r="F21" s="10" t="n"/>
      <c r="G21" s="10" t="n"/>
      <c r="H21" s="10" t="n"/>
      <c r="I21" s="10" t="n"/>
      <c r="J21" s="11" t="n"/>
    </row>
    <row r="22" ht="20" customHeight="1">
      <c r="A22" s="46" t="n"/>
      <c r="B22" s="115" t="n"/>
      <c r="C22" s="116" t="n"/>
      <c r="D22" s="10" t="n"/>
      <c r="E22" s="10" t="n"/>
      <c r="F22" s="10" t="n"/>
      <c r="G22" s="10" t="n"/>
      <c r="H22" s="10" t="n"/>
      <c r="I22" s="10" t="n"/>
      <c r="J22" s="11" t="n"/>
    </row>
    <row r="23" ht="20" customHeight="1">
      <c r="A23" s="32" t="n"/>
      <c r="B23" s="114" t="n"/>
      <c r="C23" s="101" t="n"/>
      <c r="D23" s="10" t="n"/>
      <c r="E23" s="10" t="n"/>
      <c r="F23" s="10" t="n"/>
      <c r="G23" s="10" t="n"/>
      <c r="H23" s="10" t="n"/>
      <c r="I23" s="10" t="n"/>
      <c r="J23" s="11" t="n"/>
    </row>
    <row r="24" ht="20" customHeight="1">
      <c r="A24" s="46" t="n"/>
      <c r="B24" s="115" t="n"/>
      <c r="C24" s="116" t="n"/>
      <c r="D24" s="10" t="n"/>
      <c r="E24" s="10" t="n"/>
      <c r="F24" s="10" t="n"/>
      <c r="G24" s="10" t="n"/>
      <c r="H24" s="10" t="n"/>
      <c r="I24" s="10" t="n"/>
      <c r="J24" s="11" t="n"/>
    </row>
    <row r="25" ht="20" customHeight="1">
      <c r="A25" s="32" t="n"/>
      <c r="B25" s="114" t="n"/>
      <c r="C25" s="101" t="n"/>
      <c r="D25" s="10" t="n"/>
      <c r="E25" s="10" t="n"/>
      <c r="F25" s="10" t="n"/>
      <c r="G25" s="10" t="n"/>
      <c r="H25" s="10" t="n"/>
      <c r="I25" s="10" t="n"/>
      <c r="J25" s="11" t="n"/>
    </row>
    <row r="26" ht="20" customHeight="1">
      <c r="A26" s="46" t="n"/>
      <c r="B26" s="115" t="n"/>
      <c r="C26" s="116" t="n"/>
      <c r="D26" s="10" t="n"/>
      <c r="E26" s="10" t="n"/>
      <c r="F26" s="10" t="n"/>
      <c r="G26" s="10" t="n"/>
      <c r="H26" s="10" t="n"/>
      <c r="I26" s="10" t="n"/>
      <c r="J26" s="11" t="n"/>
    </row>
    <row r="27" ht="20" customHeight="1">
      <c r="A27" s="32" t="n"/>
      <c r="B27" s="114" t="n"/>
      <c r="C27" s="101" t="n"/>
      <c r="D27" s="10" t="n"/>
      <c r="E27" s="10" t="n"/>
      <c r="F27" s="10" t="n"/>
      <c r="G27" s="10" t="n"/>
      <c r="H27" s="10" t="n"/>
      <c r="I27" s="10" t="n"/>
      <c r="J27" s="11" t="n"/>
    </row>
    <row r="28" ht="20" customHeight="1">
      <c r="A28" s="46" t="n"/>
      <c r="B28" s="115" t="n"/>
      <c r="C28" s="116" t="n"/>
      <c r="D28" s="10" t="n"/>
      <c r="E28" s="10" t="n"/>
      <c r="F28" s="10" t="n"/>
      <c r="G28" s="10" t="n"/>
      <c r="H28" s="10" t="n"/>
      <c r="I28" s="10" t="n"/>
      <c r="J28" s="11" t="n"/>
    </row>
    <row r="29" ht="20" customHeight="1">
      <c r="A29" s="32" t="n"/>
      <c r="B29" s="114" t="n"/>
      <c r="C29" s="101" t="n"/>
      <c r="D29" s="10" t="n"/>
      <c r="E29" s="10" t="n"/>
      <c r="F29" s="10" t="n"/>
      <c r="G29" s="10" t="n"/>
      <c r="H29" s="10" t="n"/>
      <c r="I29" s="10" t="n"/>
      <c r="J29" s="11" t="n"/>
    </row>
    <row r="30" ht="20" customHeight="1">
      <c r="A30" s="46" t="n"/>
      <c r="B30" s="115" t="n"/>
      <c r="C30" s="116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A31" s="32" t="n"/>
      <c r="B31" s="114" t="n"/>
      <c r="C31" s="101" t="n"/>
      <c r="D31" s="10" t="n"/>
      <c r="E31" s="10" t="n"/>
      <c r="F31" s="10" t="n"/>
      <c r="G31" s="10" t="n"/>
      <c r="H31" s="10" t="n"/>
      <c r="I31" s="10" t="n"/>
      <c r="J31" s="11" t="n"/>
    </row>
    <row r="32" ht="20" customHeight="1">
      <c r="A32" s="46" t="n"/>
      <c r="B32" s="115" t="n"/>
      <c r="C32" s="116" t="n"/>
      <c r="D32" s="10" t="n"/>
      <c r="E32" s="10" t="n"/>
      <c r="F32" s="10" t="n"/>
      <c r="G32" s="10" t="n"/>
      <c r="H32" s="10" t="n"/>
      <c r="I32" s="10" t="n"/>
      <c r="J32" s="11" t="n"/>
    </row>
    <row r="33" ht="20" customHeight="1">
      <c r="A33" s="32" t="n"/>
      <c r="B33" s="114" t="n"/>
      <c r="C33" s="101" t="n"/>
      <c r="D33" s="10" t="n"/>
      <c r="E33" s="10" t="n"/>
      <c r="F33" s="10" t="n"/>
      <c r="G33" s="10" t="n"/>
      <c r="H33" s="10" t="n"/>
      <c r="I33" s="10" t="n"/>
      <c r="J33" s="11" t="n"/>
    </row>
    <row r="34" ht="20" customHeight="1">
      <c r="A34" s="46" t="n"/>
      <c r="B34" s="115" t="n"/>
      <c r="C34" s="116" t="n"/>
      <c r="D34" s="10" t="n"/>
      <c r="E34" s="10" t="n"/>
      <c r="F34" s="10" t="n"/>
      <c r="G34" s="10" t="n"/>
      <c r="H34" s="10" t="n"/>
      <c r="I34" s="10" t="n"/>
      <c r="J34" s="11" t="n"/>
    </row>
    <row r="35" ht="20" customHeight="1">
      <c r="A35" s="32" t="n"/>
      <c r="B35" s="114" t="n"/>
      <c r="C35" s="101" t="n"/>
      <c r="D35" s="10" t="n"/>
      <c r="E35" s="10" t="n"/>
      <c r="F35" s="10" t="n"/>
      <c r="G35" s="10" t="n"/>
      <c r="H35" s="10" t="n"/>
      <c r="I35" s="10" t="n"/>
      <c r="J35" s="11" t="n"/>
    </row>
    <row r="36" ht="20" customHeight="1">
      <c r="A36" s="46" t="n"/>
      <c r="B36" s="115" t="n"/>
      <c r="C36" s="116" t="n"/>
      <c r="D36" s="10" t="n"/>
      <c r="E36" s="10" t="n"/>
      <c r="F36" s="10" t="n"/>
      <c r="G36" s="10" t="n"/>
      <c r="H36" s="10" t="n"/>
      <c r="I36" s="10" t="n"/>
      <c r="J36" s="11" t="n"/>
    </row>
    <row r="37" ht="20" customHeight="1">
      <c r="A37" s="32" t="n"/>
      <c r="B37" s="114" t="n"/>
      <c r="C37" s="101" t="n"/>
      <c r="D37" s="10" t="n"/>
      <c r="E37" s="10" t="n"/>
      <c r="F37" s="10" t="n"/>
      <c r="G37" s="10" t="n"/>
      <c r="H37" s="10" t="n"/>
      <c r="I37" s="10" t="n"/>
      <c r="J37" s="11" t="n"/>
    </row>
    <row r="38" ht="20" customHeight="1">
      <c r="A38" s="46" t="n"/>
      <c r="B38" s="115" t="n"/>
      <c r="C38" s="116" t="n"/>
      <c r="D38" s="10" t="n"/>
      <c r="E38" s="10" t="n"/>
      <c r="F38" s="10" t="n"/>
      <c r="G38" s="10" t="n"/>
      <c r="H38" s="10" t="n"/>
      <c r="I38" s="10" t="n"/>
      <c r="J38" s="11" t="n"/>
    </row>
    <row r="39" ht="20" customHeight="1">
      <c r="A39" s="32" t="n"/>
      <c r="B39" s="114" t="n"/>
      <c r="C39" s="101" t="n"/>
      <c r="D39" s="10" t="n"/>
      <c r="E39" s="10" t="n"/>
      <c r="F39" s="10" t="n"/>
      <c r="G39" s="10" t="n"/>
      <c r="H39" s="10" t="n"/>
      <c r="I39" s="10" t="n"/>
      <c r="J39" s="11" t="n"/>
    </row>
    <row r="40" ht="20" customHeight="1">
      <c r="A40" s="46" t="n"/>
      <c r="B40" s="115" t="n"/>
      <c r="C40" s="116" t="n"/>
      <c r="D40" s="10" t="n"/>
      <c r="E40" s="10" t="n"/>
      <c r="F40" s="10" t="n"/>
      <c r="G40" s="10" t="n"/>
      <c r="H40" s="10" t="n"/>
      <c r="I40" s="10" t="n"/>
      <c r="J40" s="11" t="n"/>
    </row>
    <row r="41" ht="20" customHeight="1">
      <c r="A41" s="32" t="n"/>
      <c r="B41" s="114" t="n"/>
      <c r="C41" s="101" t="n"/>
      <c r="D41" s="10" t="n"/>
      <c r="E41" s="10" t="n"/>
      <c r="F41" s="10" t="n"/>
      <c r="G41" s="10" t="n"/>
      <c r="H41" s="10" t="n"/>
      <c r="I41" s="10" t="n"/>
      <c r="J41" s="11" t="n"/>
    </row>
    <row r="42" ht="20" customHeight="1">
      <c r="A42" s="46" t="n"/>
      <c r="B42" s="115" t="n"/>
      <c r="C42" s="116" t="n"/>
      <c r="D42" s="10" t="n"/>
      <c r="E42" s="10" t="n"/>
      <c r="F42" s="10" t="n"/>
      <c r="G42" s="10" t="n"/>
      <c r="H42" s="10" t="n"/>
      <c r="I42" s="10" t="n"/>
      <c r="J42" s="11" t="n"/>
    </row>
    <row r="43" ht="20" customHeight="1">
      <c r="A43" s="32" t="n"/>
      <c r="B43" s="114" t="n"/>
      <c r="C43" s="101" t="n"/>
      <c r="D43" s="10" t="n"/>
      <c r="E43" s="10" t="n"/>
      <c r="F43" s="10" t="n"/>
      <c r="G43" s="10" t="n"/>
      <c r="H43" s="10" t="n"/>
      <c r="I43" s="10" t="n"/>
      <c r="J43" s="11" t="n"/>
    </row>
    <row r="44" ht="20" customHeight="1">
      <c r="A44" s="46" t="n"/>
      <c r="B44" s="115" t="n"/>
      <c r="C44" s="116" t="n"/>
      <c r="D44" s="10" t="n"/>
      <c r="E44" s="10" t="n"/>
      <c r="F44" s="10" t="n"/>
      <c r="G44" s="10" t="n"/>
      <c r="H44" s="10" t="n"/>
      <c r="I44" s="10" t="n"/>
      <c r="J44" s="11" t="n"/>
    </row>
    <row r="45" ht="20" customHeight="1">
      <c r="A45" s="32" t="n"/>
      <c r="B45" s="114" t="n"/>
      <c r="C45" s="101" t="n"/>
      <c r="D45" s="10" t="n"/>
      <c r="E45" s="10" t="n"/>
      <c r="F45" s="10" t="n"/>
      <c r="G45" s="10" t="n"/>
      <c r="H45" s="10" t="n"/>
      <c r="I45" s="10" t="n"/>
      <c r="J45" s="11" t="n"/>
    </row>
    <row r="46" ht="20" customHeight="1">
      <c r="A46" s="46" t="n"/>
      <c r="B46" s="115" t="n"/>
      <c r="C46" s="116" t="n"/>
      <c r="D46" s="10" t="n"/>
      <c r="E46" s="10" t="n"/>
      <c r="F46" s="10" t="n"/>
      <c r="G46" s="10" t="n"/>
      <c r="H46" s="10" t="n"/>
      <c r="I46" s="10" t="n"/>
      <c r="J46" s="11" t="n"/>
    </row>
    <row r="47" ht="20" customHeight="1">
      <c r="A47" s="32" t="n"/>
      <c r="B47" s="114" t="n"/>
      <c r="C47" s="101" t="n"/>
      <c r="D47" s="10" t="n"/>
      <c r="E47" s="10" t="n"/>
      <c r="F47" s="10" t="n"/>
      <c r="G47" s="10" t="n"/>
      <c r="H47" s="10" t="n"/>
      <c r="I47" s="10" t="n"/>
      <c r="J47" s="11" t="n"/>
    </row>
    <row r="48" ht="20" customHeight="1">
      <c r="A48" s="46" t="n"/>
      <c r="B48" s="115" t="n"/>
      <c r="C48" s="116" t="n"/>
      <c r="D48" s="10" t="n"/>
      <c r="E48" s="10" t="n"/>
      <c r="F48" s="10" t="n"/>
      <c r="G48" s="10" t="n"/>
      <c r="H48" s="10" t="n"/>
      <c r="I48" s="10" t="n"/>
      <c r="J48" s="11" t="n"/>
    </row>
    <row r="49" ht="20" customHeight="1">
      <c r="A49" s="32" t="n"/>
      <c r="B49" s="114" t="n"/>
      <c r="C49" s="101" t="n"/>
      <c r="D49" s="10" t="n"/>
      <c r="E49" s="10" t="n"/>
      <c r="F49" s="10" t="n"/>
      <c r="G49" s="10" t="n"/>
      <c r="H49" s="10" t="n"/>
      <c r="I49" s="10" t="n"/>
      <c r="J49" s="11" t="n"/>
    </row>
    <row r="50" ht="20" customHeight="1">
      <c r="A50" s="46" t="n"/>
      <c r="B50" s="115" t="n"/>
      <c r="C50" s="116" t="n"/>
      <c r="D50" s="10" t="n"/>
      <c r="E50" s="10" t="n"/>
      <c r="F50" s="10" t="n"/>
      <c r="G50" s="10" t="n"/>
      <c r="H50" s="10" t="n"/>
      <c r="I50" s="10" t="n"/>
      <c r="J50" s="11" t="n"/>
    </row>
    <row r="51" ht="20" customHeight="1">
      <c r="A51" s="32" t="n"/>
      <c r="B51" s="114" t="n"/>
      <c r="C51" s="101" t="n"/>
      <c r="D51" s="10" t="n"/>
      <c r="E51" s="10" t="n"/>
      <c r="F51" s="10" t="n"/>
      <c r="G51" s="10" t="n"/>
      <c r="H51" s="10" t="n"/>
      <c r="I51" s="10" t="n"/>
      <c r="J51" s="11" t="n"/>
    </row>
    <row r="52" ht="20" customHeight="1">
      <c r="A52" s="46" t="n"/>
      <c r="B52" s="115" t="n"/>
      <c r="C52" s="116" t="n"/>
      <c r="D52" s="10" t="n"/>
      <c r="E52" s="10" t="n"/>
      <c r="F52" s="10" t="n"/>
      <c r="G52" s="10" t="n"/>
      <c r="H52" s="10" t="n"/>
      <c r="I52" s="10" t="n"/>
      <c r="J52" s="11" t="n"/>
    </row>
    <row r="53" ht="20" customHeight="1">
      <c r="A53" s="32" t="n"/>
      <c r="B53" s="114" t="n"/>
      <c r="C53" s="101" t="n"/>
      <c r="D53" s="10" t="n"/>
      <c r="E53" s="10" t="n"/>
      <c r="F53" s="10" t="n"/>
      <c r="G53" s="10" t="n"/>
      <c r="H53" s="10" t="n"/>
      <c r="I53" s="10" t="n"/>
      <c r="J53" s="11" t="n"/>
    </row>
    <row r="55" ht="24" customHeight="1">
      <c r="A55" s="102" t="inlineStr">
        <is>
          <t>현재 상환 현황 요약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1" t="n"/>
    </row>
    <row r="56" ht="14" customHeight="1">
      <c r="A56" s="35" t="inlineStr">
        <is>
          <t>※ I열에 'O' 입력 시 납입 완료 처리. G열에 금액 입력 시 중도상환 반영.</t>
        </is>
      </c>
    </row>
    <row r="57" ht="26" customHeight="1">
      <c r="A57" s="27" t="inlineStr">
        <is>
          <t>납입 완료</t>
        </is>
      </c>
      <c r="B57" s="11" t="n"/>
      <c r="C57" s="117">
        <f>COUNTIF($I$67:$I$426,"O")</f>
        <v/>
      </c>
      <c r="D57" s="11" t="n"/>
      <c r="E57" s="43" t="inlineStr">
        <is>
          <t>남은 회차</t>
        </is>
      </c>
      <c r="F57" s="11" t="n"/>
      <c r="G57" s="118">
        <f>360-COUNTIF($I$67:$I$426,"O")</f>
        <v/>
      </c>
      <c r="H57" s="10" t="n"/>
      <c r="I57" s="10" t="n"/>
      <c r="J57" s="11" t="n"/>
    </row>
    <row r="58" ht="26" customHeight="1">
      <c r="A58" s="27" t="inlineStr">
        <is>
          <t>현재 잔여 원금</t>
        </is>
      </c>
      <c r="B58" s="11" t="n"/>
      <c r="C58" s="119">
        <f>IF(COUNTIF($I$67:$I$426,"O")=0,$C$5,OFFSET($H$67,COUNTIF($I$67:$I$426,"O")-1,0))</f>
        <v/>
      </c>
      <c r="D58" s="11" t="n"/>
      <c r="E58" s="43" t="inlineStr">
        <is>
          <t>총 이자 납부</t>
        </is>
      </c>
      <c r="F58" s="11" t="n"/>
      <c r="G58" s="120">
        <f>SUMPRODUCT(($I$67:$I$426="O")*$E$67:$E$426)</f>
        <v/>
      </c>
      <c r="H58" s="10" t="n"/>
      <c r="I58" s="10" t="n"/>
      <c r="J58" s="11" t="n"/>
    </row>
    <row r="59" ht="26" customHeight="1">
      <c r="A59" s="27" t="inlineStr">
        <is>
          <t>완료율</t>
        </is>
      </c>
      <c r="B59" s="11" t="n"/>
      <c r="C59" s="121">
        <f>COUNTIF($I$67:$I$426,"O")/360</f>
        <v/>
      </c>
      <c r="D59" s="11" t="n"/>
      <c r="E59" s="43" t="inlineStr">
        <is>
          <t>현재 적용 금리</t>
        </is>
      </c>
      <c r="F59" s="11" t="n"/>
      <c r="G59" s="122">
        <f>IFERROR(INDEX($B$14:$B$53,MATCH(MAXIFS($A$14:$A$53,$A$14:$A$53,"&lt;="&amp;TODAY()),$A$14:$A$53,0)),$B$14)</f>
        <v/>
      </c>
      <c r="H59" s="10" t="n"/>
      <c r="I59" s="10" t="n"/>
      <c r="J59" s="11" t="n"/>
    </row>
    <row r="60" ht="26" customHeight="1">
      <c r="A60" s="27" t="inlineStr">
        <is>
          <t>총 중도상환</t>
        </is>
      </c>
      <c r="B60" s="11" t="n"/>
      <c r="C60" s="119">
        <f>SUM($G$67:$G$426)</f>
        <v/>
      </c>
      <c r="D60" s="11" t="n"/>
      <c r="E60" s="43" t="inlineStr">
        <is>
          <t>완납 예정일</t>
        </is>
      </c>
      <c r="F60" s="11" t="n"/>
      <c r="G60" s="123">
        <f>IFERROR(INDEX($B$67:$B$426,MATCH("",$I$67:$I$426,0)),"완납")</f>
        <v/>
      </c>
      <c r="H60" s="10" t="n"/>
      <c r="I60" s="10" t="n"/>
      <c r="J60" s="11" t="n"/>
    </row>
    <row r="63" ht="24" customHeight="1">
      <c r="A63" s="102" t="inlineStr">
        <is>
          <t>월별 상환 스케줄  (360회)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1" t="n"/>
    </row>
    <row r="64" ht="14" customHeight="1">
      <c r="A64" s="35" t="inlineStr">
        <is>
          <t>※ C열(적용금리)은 금리 이력에서 자동 조회. G열에 중도상환 금액 직접 입력. I열에 'O' 입력 시 납입 완료.</t>
        </is>
      </c>
    </row>
    <row r="65" ht="4" customHeight="1"/>
    <row r="66" ht="22" customHeight="1">
      <c r="A66" s="27" t="inlineStr">
        <is>
          <t>회차</t>
        </is>
      </c>
      <c r="B66" s="27" t="inlineStr">
        <is>
          <t>납입일</t>
        </is>
      </c>
      <c r="C66" s="43" t="inlineStr">
        <is>
          <t>적용금리</t>
        </is>
      </c>
      <c r="D66" s="43" t="inlineStr">
        <is>
          <t>월납입액</t>
        </is>
      </c>
      <c r="E66" s="45" t="inlineStr">
        <is>
          <t>이자</t>
        </is>
      </c>
      <c r="F66" s="45" t="inlineStr">
        <is>
          <t>원금상환</t>
        </is>
      </c>
      <c r="G66" s="44" t="inlineStr">
        <is>
          <t>중도상환</t>
        </is>
      </c>
      <c r="H66" s="27" t="inlineStr">
        <is>
          <t>잔액</t>
        </is>
      </c>
      <c r="I66" s="45" t="inlineStr">
        <is>
          <t>납입</t>
        </is>
      </c>
      <c r="J66" s="80" t="inlineStr">
        <is>
          <t>비고</t>
        </is>
      </c>
    </row>
    <row r="67" ht="18" customHeight="1">
      <c r="A67" s="46" t="n">
        <v>1</v>
      </c>
      <c r="B67" s="124">
        <f>DATE(YEAR($C$6),MONTH($C$6)+A67,MIN(30,DAY(EOMONTH(DATE(YEAR($C$6),MONTH($C$6)+A67,1),0))))</f>
        <v/>
      </c>
      <c r="C67" s="115">
        <f>IFERROR(INDEX($B$14:$B$53,MATCH(MAXIFS($A$14:$A$53,$A$14:$A$53,"&lt;="&amp;B67),$A$14:$A$53,0)),$B$14)</f>
        <v/>
      </c>
      <c r="D67" s="47">
        <f>IFERROR(IF($C$5&lt;=0,0,ABS(PMT(C67/12,360,-$C$5))),0)</f>
        <v/>
      </c>
      <c r="E67" s="47">
        <f>IF($C$5&lt;=0,0,$C$5*C67/12)</f>
        <v/>
      </c>
      <c r="F67" s="47">
        <f>IF(D67=0,0,D67-E67)</f>
        <v/>
      </c>
      <c r="G67" s="49" t="n"/>
      <c r="H67" s="75">
        <f>MAX($C$5-F67-IFERROR(G67,0),0)</f>
        <v/>
      </c>
      <c r="I67" s="46" t="n"/>
      <c r="J67" s="116" t="n"/>
    </row>
    <row r="68" ht="18" customHeight="1">
      <c r="A68" s="32" t="n">
        <v>2</v>
      </c>
      <c r="B68" s="31">
        <f>DATE(YEAR($C$6),MONTH($C$6)+A68,MIN(30,DAY(EOMONTH(DATE(YEAR($C$6),MONTH($C$6)+A68,1),0))))</f>
        <v/>
      </c>
      <c r="C68" s="114">
        <f>IFERROR(INDEX($B$14:$B$53,MATCH(MAXIFS($A$14:$A$53,$A$14:$A$53,"&lt;="&amp;B68),$A$14:$A$53,0)),$B$14)</f>
        <v/>
      </c>
      <c r="D68" s="49">
        <f>IFERROR(IF(H67&lt;=0,0,ABS(PMT(C68/12,359,-H67))),0)</f>
        <v/>
      </c>
      <c r="E68" s="49">
        <f>IF(H67&lt;=0,0,H67*C68/12)</f>
        <v/>
      </c>
      <c r="F68" s="49">
        <f>IF(D68=0,0,D68-E68)</f>
        <v/>
      </c>
      <c r="G68" s="49" t="n"/>
      <c r="H68" s="125">
        <f>MAX(H67-F68-IFERROR(G68,0),0)</f>
        <v/>
      </c>
      <c r="I68" s="32" t="n"/>
      <c r="J68" s="101" t="n"/>
    </row>
    <row r="69" ht="18" customHeight="1">
      <c r="A69" s="46" t="n">
        <v>3</v>
      </c>
      <c r="B69" s="124">
        <f>DATE(YEAR($C$6),MONTH($C$6)+A69,MIN(30,DAY(EOMONTH(DATE(YEAR($C$6),MONTH($C$6)+A69,1),0))))</f>
        <v/>
      </c>
      <c r="C69" s="115">
        <f>IFERROR(INDEX($B$14:$B$53,MATCH(MAXIFS($A$14:$A$53,$A$14:$A$53,"&lt;="&amp;B69),$A$14:$A$53,0)),$B$14)</f>
        <v/>
      </c>
      <c r="D69" s="47">
        <f>IFERROR(IF(H68&lt;=0,0,ABS(PMT(C69/12,358,-H68))),0)</f>
        <v/>
      </c>
      <c r="E69" s="47">
        <f>IF(H68&lt;=0,0,H68*C69/12)</f>
        <v/>
      </c>
      <c r="F69" s="47">
        <f>IF(D69=0,0,D69-E69)</f>
        <v/>
      </c>
      <c r="G69" s="49" t="n"/>
      <c r="H69" s="75">
        <f>MAX(H68-F69-IFERROR(G69,0),0)</f>
        <v/>
      </c>
      <c r="I69" s="46" t="n"/>
      <c r="J69" s="116" t="n"/>
    </row>
    <row r="70" ht="18" customHeight="1">
      <c r="A70" s="32" t="n">
        <v>4</v>
      </c>
      <c r="B70" s="31">
        <f>DATE(YEAR($C$6),MONTH($C$6)+A70,MIN(30,DAY(EOMONTH(DATE(YEAR($C$6),MONTH($C$6)+A70,1),0))))</f>
        <v/>
      </c>
      <c r="C70" s="114">
        <f>IFERROR(INDEX($B$14:$B$53,MATCH(MAXIFS($A$14:$A$53,$A$14:$A$53,"&lt;="&amp;B70),$A$14:$A$53,0)),$B$14)</f>
        <v/>
      </c>
      <c r="D70" s="49">
        <f>IFERROR(IF(H69&lt;=0,0,ABS(PMT(C70/12,357,-H69))),0)</f>
        <v/>
      </c>
      <c r="E70" s="49">
        <f>IF(H69&lt;=0,0,H69*C70/12)</f>
        <v/>
      </c>
      <c r="F70" s="49">
        <f>IF(D70=0,0,D70-E70)</f>
        <v/>
      </c>
      <c r="G70" s="49" t="n"/>
      <c r="H70" s="125">
        <f>MAX(H69-F70-IFERROR(G70,0),0)</f>
        <v/>
      </c>
      <c r="I70" s="32" t="n"/>
      <c r="J70" s="101" t="n"/>
    </row>
    <row r="71" ht="18" customHeight="1">
      <c r="A71" s="46" t="n">
        <v>5</v>
      </c>
      <c r="B71" s="124">
        <f>DATE(YEAR($C$6),MONTH($C$6)+A71,MIN(30,DAY(EOMONTH(DATE(YEAR($C$6),MONTH($C$6)+A71,1),0))))</f>
        <v/>
      </c>
      <c r="C71" s="115">
        <f>IFERROR(INDEX($B$14:$B$53,MATCH(MAXIFS($A$14:$A$53,$A$14:$A$53,"&lt;="&amp;B71),$A$14:$A$53,0)),$B$14)</f>
        <v/>
      </c>
      <c r="D71" s="47">
        <f>IFERROR(IF(H70&lt;=0,0,ABS(PMT(C71/12,356,-H70))),0)</f>
        <v/>
      </c>
      <c r="E71" s="47">
        <f>IF(H70&lt;=0,0,H70*C71/12)</f>
        <v/>
      </c>
      <c r="F71" s="47">
        <f>IF(D71=0,0,D71-E71)</f>
        <v/>
      </c>
      <c r="G71" s="49" t="n"/>
      <c r="H71" s="75">
        <f>MAX(H70-F71-IFERROR(G71,0),0)</f>
        <v/>
      </c>
      <c r="I71" s="46" t="n"/>
      <c r="J71" s="116" t="n"/>
    </row>
    <row r="72" ht="18" customHeight="1">
      <c r="A72" s="32" t="n">
        <v>6</v>
      </c>
      <c r="B72" s="31">
        <f>DATE(YEAR($C$6),MONTH($C$6)+A72,MIN(30,DAY(EOMONTH(DATE(YEAR($C$6),MONTH($C$6)+A72,1),0))))</f>
        <v/>
      </c>
      <c r="C72" s="114">
        <f>IFERROR(INDEX($B$14:$B$53,MATCH(MAXIFS($A$14:$A$53,$A$14:$A$53,"&lt;="&amp;B72),$A$14:$A$53,0)),$B$14)</f>
        <v/>
      </c>
      <c r="D72" s="49">
        <f>IFERROR(IF(H71&lt;=0,0,ABS(PMT(C72/12,355,-H71))),0)</f>
        <v/>
      </c>
      <c r="E72" s="49">
        <f>IF(H71&lt;=0,0,H71*C72/12)</f>
        <v/>
      </c>
      <c r="F72" s="49">
        <f>IF(D72=0,0,D72-E72)</f>
        <v/>
      </c>
      <c r="G72" s="49" t="n"/>
      <c r="H72" s="125">
        <f>MAX(H71-F72-IFERROR(G72,0),0)</f>
        <v/>
      </c>
      <c r="I72" s="32" t="n"/>
      <c r="J72" s="101" t="n"/>
    </row>
    <row r="73" ht="18" customHeight="1">
      <c r="A73" s="46" t="n">
        <v>7</v>
      </c>
      <c r="B73" s="124">
        <f>DATE(YEAR($C$6),MONTH($C$6)+A73,MIN(30,DAY(EOMONTH(DATE(YEAR($C$6),MONTH($C$6)+A73,1),0))))</f>
        <v/>
      </c>
      <c r="C73" s="115">
        <f>IFERROR(INDEX($B$14:$B$53,MATCH(MAXIFS($A$14:$A$53,$A$14:$A$53,"&lt;="&amp;B73),$A$14:$A$53,0)),$B$14)</f>
        <v/>
      </c>
      <c r="D73" s="47">
        <f>IFERROR(IF(H72&lt;=0,0,ABS(PMT(C73/12,354,-H72))),0)</f>
        <v/>
      </c>
      <c r="E73" s="47">
        <f>IF(H72&lt;=0,0,H72*C73/12)</f>
        <v/>
      </c>
      <c r="F73" s="47">
        <f>IF(D73=0,0,D73-E73)</f>
        <v/>
      </c>
      <c r="G73" s="49" t="n"/>
      <c r="H73" s="75">
        <f>MAX(H72-F73-IFERROR(G73,0),0)</f>
        <v/>
      </c>
      <c r="I73" s="46" t="n"/>
      <c r="J73" s="116" t="n"/>
    </row>
    <row r="74" ht="18" customHeight="1">
      <c r="A74" s="32" t="n">
        <v>8</v>
      </c>
      <c r="B74" s="31">
        <f>DATE(YEAR($C$6),MONTH($C$6)+A74,MIN(30,DAY(EOMONTH(DATE(YEAR($C$6),MONTH($C$6)+A74,1),0))))</f>
        <v/>
      </c>
      <c r="C74" s="114">
        <f>IFERROR(INDEX($B$14:$B$53,MATCH(MAXIFS($A$14:$A$53,$A$14:$A$53,"&lt;="&amp;B74),$A$14:$A$53,0)),$B$14)</f>
        <v/>
      </c>
      <c r="D74" s="49">
        <f>IFERROR(IF(H73&lt;=0,0,ABS(PMT(C74/12,353,-H73))),0)</f>
        <v/>
      </c>
      <c r="E74" s="49">
        <f>IF(H73&lt;=0,0,H73*C74/12)</f>
        <v/>
      </c>
      <c r="F74" s="49">
        <f>IF(D74=0,0,D74-E74)</f>
        <v/>
      </c>
      <c r="G74" s="49" t="n"/>
      <c r="H74" s="125">
        <f>MAX(H73-F74-IFERROR(G74,0),0)</f>
        <v/>
      </c>
      <c r="I74" s="32" t="n"/>
      <c r="J74" s="101" t="n"/>
    </row>
    <row r="75" ht="18" customHeight="1">
      <c r="A75" s="46" t="n">
        <v>9</v>
      </c>
      <c r="B75" s="124">
        <f>DATE(YEAR($C$6),MONTH($C$6)+A75,MIN(30,DAY(EOMONTH(DATE(YEAR($C$6),MONTH($C$6)+A75,1),0))))</f>
        <v/>
      </c>
      <c r="C75" s="115">
        <f>IFERROR(INDEX($B$14:$B$53,MATCH(MAXIFS($A$14:$A$53,$A$14:$A$53,"&lt;="&amp;B75),$A$14:$A$53,0)),$B$14)</f>
        <v/>
      </c>
      <c r="D75" s="47">
        <f>IFERROR(IF(H74&lt;=0,0,ABS(PMT(C75/12,352,-H74))),0)</f>
        <v/>
      </c>
      <c r="E75" s="47">
        <f>IF(H74&lt;=0,0,H74*C75/12)</f>
        <v/>
      </c>
      <c r="F75" s="47">
        <f>IF(D75=0,0,D75-E75)</f>
        <v/>
      </c>
      <c r="G75" s="49" t="n"/>
      <c r="H75" s="75">
        <f>MAX(H74-F75-IFERROR(G75,0),0)</f>
        <v/>
      </c>
      <c r="I75" s="46" t="n"/>
      <c r="J75" s="116" t="n"/>
    </row>
    <row r="76" ht="18" customHeight="1">
      <c r="A76" s="32" t="n">
        <v>10</v>
      </c>
      <c r="B76" s="31">
        <f>DATE(YEAR($C$6),MONTH($C$6)+A76,MIN(30,DAY(EOMONTH(DATE(YEAR($C$6),MONTH($C$6)+A76,1),0))))</f>
        <v/>
      </c>
      <c r="C76" s="114">
        <f>IFERROR(INDEX($B$14:$B$53,MATCH(MAXIFS($A$14:$A$53,$A$14:$A$53,"&lt;="&amp;B76),$A$14:$A$53,0)),$B$14)</f>
        <v/>
      </c>
      <c r="D76" s="49">
        <f>IFERROR(IF(H75&lt;=0,0,ABS(PMT(C76/12,351,-H75))),0)</f>
        <v/>
      </c>
      <c r="E76" s="49">
        <f>IF(H75&lt;=0,0,H75*C76/12)</f>
        <v/>
      </c>
      <c r="F76" s="49">
        <f>IF(D76=0,0,D76-E76)</f>
        <v/>
      </c>
      <c r="G76" s="49" t="n"/>
      <c r="H76" s="125">
        <f>MAX(H75-F76-IFERROR(G76,0),0)</f>
        <v/>
      </c>
      <c r="I76" s="32" t="n"/>
      <c r="J76" s="101" t="n"/>
    </row>
    <row r="77" ht="18" customHeight="1">
      <c r="A77" s="46" t="n">
        <v>11</v>
      </c>
      <c r="B77" s="124">
        <f>DATE(YEAR($C$6),MONTH($C$6)+A77,MIN(30,DAY(EOMONTH(DATE(YEAR($C$6),MONTH($C$6)+A77,1),0))))</f>
        <v/>
      </c>
      <c r="C77" s="115">
        <f>IFERROR(INDEX($B$14:$B$53,MATCH(MAXIFS($A$14:$A$53,$A$14:$A$53,"&lt;="&amp;B77),$A$14:$A$53,0)),$B$14)</f>
        <v/>
      </c>
      <c r="D77" s="47">
        <f>IFERROR(IF(H76&lt;=0,0,ABS(PMT(C77/12,350,-H76))),0)</f>
        <v/>
      </c>
      <c r="E77" s="47">
        <f>IF(H76&lt;=0,0,H76*C77/12)</f>
        <v/>
      </c>
      <c r="F77" s="47">
        <f>IF(D77=0,0,D77-E77)</f>
        <v/>
      </c>
      <c r="G77" s="49" t="n"/>
      <c r="H77" s="75">
        <f>MAX(H76-F77-IFERROR(G77,0),0)</f>
        <v/>
      </c>
      <c r="I77" s="46" t="n"/>
      <c r="J77" s="116" t="n"/>
    </row>
    <row r="78" ht="18" customHeight="1">
      <c r="A78" s="32" t="n">
        <v>12</v>
      </c>
      <c r="B78" s="31">
        <f>DATE(YEAR($C$6),MONTH($C$6)+A78,MIN(30,DAY(EOMONTH(DATE(YEAR($C$6),MONTH($C$6)+A78,1),0))))</f>
        <v/>
      </c>
      <c r="C78" s="114">
        <f>IFERROR(INDEX($B$14:$B$53,MATCH(MAXIFS($A$14:$A$53,$A$14:$A$53,"&lt;="&amp;B78),$A$14:$A$53,0)),$B$14)</f>
        <v/>
      </c>
      <c r="D78" s="49">
        <f>IFERROR(IF(H77&lt;=0,0,ABS(PMT(C78/12,349,-H77))),0)</f>
        <v/>
      </c>
      <c r="E78" s="49">
        <f>IF(H77&lt;=0,0,H77*C78/12)</f>
        <v/>
      </c>
      <c r="F78" s="49">
        <f>IF(D78=0,0,D78-E78)</f>
        <v/>
      </c>
      <c r="G78" s="49" t="n"/>
      <c r="H78" s="125">
        <f>MAX(H77-F78-IFERROR(G78,0),0)</f>
        <v/>
      </c>
      <c r="I78" s="32" t="n"/>
      <c r="J78" s="101" t="n"/>
    </row>
    <row r="79" ht="18" customHeight="1">
      <c r="A79" s="46" t="n">
        <v>13</v>
      </c>
      <c r="B79" s="124">
        <f>DATE(YEAR($C$6),MONTH($C$6)+A79,MIN(30,DAY(EOMONTH(DATE(YEAR($C$6),MONTH($C$6)+A79,1),0))))</f>
        <v/>
      </c>
      <c r="C79" s="115">
        <f>IFERROR(INDEX($B$14:$B$53,MATCH(MAXIFS($A$14:$A$53,$A$14:$A$53,"&lt;="&amp;B79),$A$14:$A$53,0)),$B$14)</f>
        <v/>
      </c>
      <c r="D79" s="47">
        <f>IFERROR(IF(H78&lt;=0,0,ABS(PMT(C79/12,348,-H78))),0)</f>
        <v/>
      </c>
      <c r="E79" s="47">
        <f>IF(H78&lt;=0,0,H78*C79/12)</f>
        <v/>
      </c>
      <c r="F79" s="47">
        <f>IF(D79=0,0,D79-E79)</f>
        <v/>
      </c>
      <c r="G79" s="49" t="n"/>
      <c r="H79" s="75">
        <f>MAX(H78-F79-IFERROR(G79,0),0)</f>
        <v/>
      </c>
      <c r="I79" s="46" t="n"/>
      <c r="J79" s="116" t="n"/>
    </row>
    <row r="80" ht="18" customHeight="1">
      <c r="A80" s="32" t="n">
        <v>14</v>
      </c>
      <c r="B80" s="31">
        <f>DATE(YEAR($C$6),MONTH($C$6)+A80,MIN(30,DAY(EOMONTH(DATE(YEAR($C$6),MONTH($C$6)+A80,1),0))))</f>
        <v/>
      </c>
      <c r="C80" s="114">
        <f>IFERROR(INDEX($B$14:$B$53,MATCH(MAXIFS($A$14:$A$53,$A$14:$A$53,"&lt;="&amp;B80),$A$14:$A$53,0)),$B$14)</f>
        <v/>
      </c>
      <c r="D80" s="49">
        <f>IFERROR(IF(H79&lt;=0,0,ABS(PMT(C80/12,347,-H79))),0)</f>
        <v/>
      </c>
      <c r="E80" s="49">
        <f>IF(H79&lt;=0,0,H79*C80/12)</f>
        <v/>
      </c>
      <c r="F80" s="49">
        <f>IF(D80=0,0,D80-E80)</f>
        <v/>
      </c>
      <c r="G80" s="49" t="n"/>
      <c r="H80" s="125">
        <f>MAX(H79-F80-IFERROR(G80,0),0)</f>
        <v/>
      </c>
      <c r="I80" s="32" t="n"/>
      <c r="J80" s="101" t="n"/>
    </row>
    <row r="81" ht="18" customHeight="1">
      <c r="A81" s="46" t="n">
        <v>15</v>
      </c>
      <c r="B81" s="124">
        <f>DATE(YEAR($C$6),MONTH($C$6)+A81,MIN(30,DAY(EOMONTH(DATE(YEAR($C$6),MONTH($C$6)+A81,1),0))))</f>
        <v/>
      </c>
      <c r="C81" s="115">
        <f>IFERROR(INDEX($B$14:$B$53,MATCH(MAXIFS($A$14:$A$53,$A$14:$A$53,"&lt;="&amp;B81),$A$14:$A$53,0)),$B$14)</f>
        <v/>
      </c>
      <c r="D81" s="47">
        <f>IFERROR(IF(H80&lt;=0,0,ABS(PMT(C81/12,346,-H80))),0)</f>
        <v/>
      </c>
      <c r="E81" s="47">
        <f>IF(H80&lt;=0,0,H80*C81/12)</f>
        <v/>
      </c>
      <c r="F81" s="47">
        <f>IF(D81=0,0,D81-E81)</f>
        <v/>
      </c>
      <c r="G81" s="49" t="n"/>
      <c r="H81" s="75">
        <f>MAX(H80-F81-IFERROR(G81,0),0)</f>
        <v/>
      </c>
      <c r="I81" s="46" t="n"/>
      <c r="J81" s="116" t="n"/>
    </row>
    <row r="82" ht="18" customHeight="1">
      <c r="A82" s="32" t="n">
        <v>16</v>
      </c>
      <c r="B82" s="31">
        <f>DATE(YEAR($C$6),MONTH($C$6)+A82,MIN(30,DAY(EOMONTH(DATE(YEAR($C$6),MONTH($C$6)+A82,1),0))))</f>
        <v/>
      </c>
      <c r="C82" s="114">
        <f>IFERROR(INDEX($B$14:$B$53,MATCH(MAXIFS($A$14:$A$53,$A$14:$A$53,"&lt;="&amp;B82),$A$14:$A$53,0)),$B$14)</f>
        <v/>
      </c>
      <c r="D82" s="49">
        <f>IFERROR(IF(H81&lt;=0,0,ABS(PMT(C82/12,345,-H81))),0)</f>
        <v/>
      </c>
      <c r="E82" s="49">
        <f>IF(H81&lt;=0,0,H81*C82/12)</f>
        <v/>
      </c>
      <c r="F82" s="49">
        <f>IF(D82=0,0,D82-E82)</f>
        <v/>
      </c>
      <c r="G82" s="49" t="n"/>
      <c r="H82" s="125">
        <f>MAX(H81-F82-IFERROR(G82,0),0)</f>
        <v/>
      </c>
      <c r="I82" s="32" t="n"/>
      <c r="J82" s="101" t="n"/>
    </row>
    <row r="83" ht="18" customHeight="1">
      <c r="A83" s="46" t="n">
        <v>17</v>
      </c>
      <c r="B83" s="124">
        <f>DATE(YEAR($C$6),MONTH($C$6)+A83,MIN(30,DAY(EOMONTH(DATE(YEAR($C$6),MONTH($C$6)+A83,1),0))))</f>
        <v/>
      </c>
      <c r="C83" s="115">
        <f>IFERROR(INDEX($B$14:$B$53,MATCH(MAXIFS($A$14:$A$53,$A$14:$A$53,"&lt;="&amp;B83),$A$14:$A$53,0)),$B$14)</f>
        <v/>
      </c>
      <c r="D83" s="47">
        <f>IFERROR(IF(H82&lt;=0,0,ABS(PMT(C83/12,344,-H82))),0)</f>
        <v/>
      </c>
      <c r="E83" s="47">
        <f>IF(H82&lt;=0,0,H82*C83/12)</f>
        <v/>
      </c>
      <c r="F83" s="47">
        <f>IF(D83=0,0,D83-E83)</f>
        <v/>
      </c>
      <c r="G83" s="49" t="n"/>
      <c r="H83" s="75">
        <f>MAX(H82-F83-IFERROR(G83,0),0)</f>
        <v/>
      </c>
      <c r="I83" s="46" t="n"/>
      <c r="J83" s="116" t="n"/>
    </row>
    <row r="84" ht="18" customHeight="1">
      <c r="A84" s="32" t="n">
        <v>18</v>
      </c>
      <c r="B84" s="31">
        <f>DATE(YEAR($C$6),MONTH($C$6)+A84,MIN(30,DAY(EOMONTH(DATE(YEAR($C$6),MONTH($C$6)+A84,1),0))))</f>
        <v/>
      </c>
      <c r="C84" s="114">
        <f>IFERROR(INDEX($B$14:$B$53,MATCH(MAXIFS($A$14:$A$53,$A$14:$A$53,"&lt;="&amp;B84),$A$14:$A$53,0)),$B$14)</f>
        <v/>
      </c>
      <c r="D84" s="49">
        <f>IFERROR(IF(H83&lt;=0,0,ABS(PMT(C84/12,343,-H83))),0)</f>
        <v/>
      </c>
      <c r="E84" s="49">
        <f>IF(H83&lt;=0,0,H83*C84/12)</f>
        <v/>
      </c>
      <c r="F84" s="49">
        <f>IF(D84=0,0,D84-E84)</f>
        <v/>
      </c>
      <c r="G84" s="49" t="n"/>
      <c r="H84" s="125">
        <f>MAX(H83-F84-IFERROR(G84,0),0)</f>
        <v/>
      </c>
      <c r="I84" s="32" t="n"/>
      <c r="J84" s="101" t="n"/>
    </row>
    <row r="85" ht="18" customHeight="1">
      <c r="A85" s="46" t="n">
        <v>19</v>
      </c>
      <c r="B85" s="124">
        <f>DATE(YEAR($C$6),MONTH($C$6)+A85,MIN(30,DAY(EOMONTH(DATE(YEAR($C$6),MONTH($C$6)+A85,1),0))))</f>
        <v/>
      </c>
      <c r="C85" s="115">
        <f>IFERROR(INDEX($B$14:$B$53,MATCH(MAXIFS($A$14:$A$53,$A$14:$A$53,"&lt;="&amp;B85),$A$14:$A$53,0)),$B$14)</f>
        <v/>
      </c>
      <c r="D85" s="47">
        <f>IFERROR(IF(H84&lt;=0,0,ABS(PMT(C85/12,342,-H84))),0)</f>
        <v/>
      </c>
      <c r="E85" s="47">
        <f>IF(H84&lt;=0,0,H84*C85/12)</f>
        <v/>
      </c>
      <c r="F85" s="47">
        <f>IF(D85=0,0,D85-E85)</f>
        <v/>
      </c>
      <c r="G85" s="49" t="n"/>
      <c r="H85" s="75">
        <f>MAX(H84-F85-IFERROR(G85,0),0)</f>
        <v/>
      </c>
      <c r="I85" s="46" t="n"/>
      <c r="J85" s="116" t="n"/>
    </row>
    <row r="86" ht="18" customHeight="1">
      <c r="A86" s="32" t="n">
        <v>20</v>
      </c>
      <c r="B86" s="31">
        <f>DATE(YEAR($C$6),MONTH($C$6)+A86,MIN(30,DAY(EOMONTH(DATE(YEAR($C$6),MONTH($C$6)+A86,1),0))))</f>
        <v/>
      </c>
      <c r="C86" s="114">
        <f>IFERROR(INDEX($B$14:$B$53,MATCH(MAXIFS($A$14:$A$53,$A$14:$A$53,"&lt;="&amp;B86),$A$14:$A$53,0)),$B$14)</f>
        <v/>
      </c>
      <c r="D86" s="49">
        <f>IFERROR(IF(H85&lt;=0,0,ABS(PMT(C86/12,341,-H85))),0)</f>
        <v/>
      </c>
      <c r="E86" s="49">
        <f>IF(H85&lt;=0,0,H85*C86/12)</f>
        <v/>
      </c>
      <c r="F86" s="49">
        <f>IF(D86=0,0,D86-E86)</f>
        <v/>
      </c>
      <c r="G86" s="49" t="n"/>
      <c r="H86" s="125">
        <f>MAX(H85-F86-IFERROR(G86,0),0)</f>
        <v/>
      </c>
      <c r="I86" s="32" t="n"/>
      <c r="J86" s="101" t="n"/>
    </row>
    <row r="87" ht="18" customHeight="1">
      <c r="A87" s="46" t="n">
        <v>21</v>
      </c>
      <c r="B87" s="124">
        <f>DATE(YEAR($C$6),MONTH($C$6)+A87,MIN(30,DAY(EOMONTH(DATE(YEAR($C$6),MONTH($C$6)+A87,1),0))))</f>
        <v/>
      </c>
      <c r="C87" s="115">
        <f>IFERROR(INDEX($B$14:$B$53,MATCH(MAXIFS($A$14:$A$53,$A$14:$A$53,"&lt;="&amp;B87),$A$14:$A$53,0)),$B$14)</f>
        <v/>
      </c>
      <c r="D87" s="47">
        <f>IFERROR(IF(H86&lt;=0,0,ABS(PMT(C87/12,340,-H86))),0)</f>
        <v/>
      </c>
      <c r="E87" s="47">
        <f>IF(H86&lt;=0,0,H86*C87/12)</f>
        <v/>
      </c>
      <c r="F87" s="47">
        <f>IF(D87=0,0,D87-E87)</f>
        <v/>
      </c>
      <c r="G87" s="49" t="n"/>
      <c r="H87" s="75">
        <f>MAX(H86-F87-IFERROR(G87,0),0)</f>
        <v/>
      </c>
      <c r="I87" s="46" t="n"/>
      <c r="J87" s="116" t="n"/>
    </row>
    <row r="88" ht="18" customHeight="1">
      <c r="A88" s="32" t="n">
        <v>22</v>
      </c>
      <c r="B88" s="31">
        <f>DATE(YEAR($C$6),MONTH($C$6)+A88,MIN(30,DAY(EOMONTH(DATE(YEAR($C$6),MONTH($C$6)+A88,1),0))))</f>
        <v/>
      </c>
      <c r="C88" s="114">
        <f>IFERROR(INDEX($B$14:$B$53,MATCH(MAXIFS($A$14:$A$53,$A$14:$A$53,"&lt;="&amp;B88),$A$14:$A$53,0)),$B$14)</f>
        <v/>
      </c>
      <c r="D88" s="49">
        <f>IFERROR(IF(H87&lt;=0,0,ABS(PMT(C88/12,339,-H87))),0)</f>
        <v/>
      </c>
      <c r="E88" s="49">
        <f>IF(H87&lt;=0,0,H87*C88/12)</f>
        <v/>
      </c>
      <c r="F88" s="49">
        <f>IF(D88=0,0,D88-E88)</f>
        <v/>
      </c>
      <c r="G88" s="49" t="n"/>
      <c r="H88" s="125">
        <f>MAX(H87-F88-IFERROR(G88,0),0)</f>
        <v/>
      </c>
      <c r="I88" s="32" t="n"/>
      <c r="J88" s="101" t="n"/>
    </row>
    <row r="89" ht="18" customHeight="1">
      <c r="A89" s="46" t="n">
        <v>23</v>
      </c>
      <c r="B89" s="124">
        <f>DATE(YEAR($C$6),MONTH($C$6)+A89,MIN(30,DAY(EOMONTH(DATE(YEAR($C$6),MONTH($C$6)+A89,1),0))))</f>
        <v/>
      </c>
      <c r="C89" s="115">
        <f>IFERROR(INDEX($B$14:$B$53,MATCH(MAXIFS($A$14:$A$53,$A$14:$A$53,"&lt;="&amp;B89),$A$14:$A$53,0)),$B$14)</f>
        <v/>
      </c>
      <c r="D89" s="47">
        <f>IFERROR(IF(H88&lt;=0,0,ABS(PMT(C89/12,338,-H88))),0)</f>
        <v/>
      </c>
      <c r="E89" s="47">
        <f>IF(H88&lt;=0,0,H88*C89/12)</f>
        <v/>
      </c>
      <c r="F89" s="47">
        <f>IF(D89=0,0,D89-E89)</f>
        <v/>
      </c>
      <c r="G89" s="49" t="n"/>
      <c r="H89" s="75">
        <f>MAX(H88-F89-IFERROR(G89,0),0)</f>
        <v/>
      </c>
      <c r="I89" s="46" t="n"/>
      <c r="J89" s="116" t="n"/>
    </row>
    <row r="90" ht="18" customHeight="1">
      <c r="A90" s="32" t="n">
        <v>24</v>
      </c>
      <c r="B90" s="31">
        <f>DATE(YEAR($C$6),MONTH($C$6)+A90,MIN(30,DAY(EOMONTH(DATE(YEAR($C$6),MONTH($C$6)+A90,1),0))))</f>
        <v/>
      </c>
      <c r="C90" s="114">
        <f>IFERROR(INDEX($B$14:$B$53,MATCH(MAXIFS($A$14:$A$53,$A$14:$A$53,"&lt;="&amp;B90),$A$14:$A$53,0)),$B$14)</f>
        <v/>
      </c>
      <c r="D90" s="49">
        <f>IFERROR(IF(H89&lt;=0,0,ABS(PMT(C90/12,337,-H89))),0)</f>
        <v/>
      </c>
      <c r="E90" s="49">
        <f>IF(H89&lt;=0,0,H89*C90/12)</f>
        <v/>
      </c>
      <c r="F90" s="49">
        <f>IF(D90=0,0,D90-E90)</f>
        <v/>
      </c>
      <c r="G90" s="49" t="n"/>
      <c r="H90" s="125">
        <f>MAX(H89-F90-IFERROR(G90,0),0)</f>
        <v/>
      </c>
      <c r="I90" s="32" t="n"/>
      <c r="J90" s="101" t="n"/>
    </row>
    <row r="91" ht="18" customHeight="1">
      <c r="A91" s="46" t="n">
        <v>25</v>
      </c>
      <c r="B91" s="124">
        <f>DATE(YEAR($C$6),MONTH($C$6)+A91,MIN(30,DAY(EOMONTH(DATE(YEAR($C$6),MONTH($C$6)+A91,1),0))))</f>
        <v/>
      </c>
      <c r="C91" s="115">
        <f>IFERROR(INDEX($B$14:$B$53,MATCH(MAXIFS($A$14:$A$53,$A$14:$A$53,"&lt;="&amp;B91),$A$14:$A$53,0)),$B$14)</f>
        <v/>
      </c>
      <c r="D91" s="47">
        <f>IFERROR(IF(H90&lt;=0,0,ABS(PMT(C91/12,336,-H90))),0)</f>
        <v/>
      </c>
      <c r="E91" s="47">
        <f>IF(H90&lt;=0,0,H90*C91/12)</f>
        <v/>
      </c>
      <c r="F91" s="47">
        <f>IF(D91=0,0,D91-E91)</f>
        <v/>
      </c>
      <c r="G91" s="49" t="n"/>
      <c r="H91" s="75">
        <f>MAX(H90-F91-IFERROR(G91,0),0)</f>
        <v/>
      </c>
      <c r="I91" s="46" t="n"/>
      <c r="J91" s="116" t="n"/>
    </row>
    <row r="92" ht="18" customHeight="1">
      <c r="A92" s="32" t="n">
        <v>26</v>
      </c>
      <c r="B92" s="31">
        <f>DATE(YEAR($C$6),MONTH($C$6)+A92,MIN(30,DAY(EOMONTH(DATE(YEAR($C$6),MONTH($C$6)+A92,1),0))))</f>
        <v/>
      </c>
      <c r="C92" s="114">
        <f>IFERROR(INDEX($B$14:$B$53,MATCH(MAXIFS($A$14:$A$53,$A$14:$A$53,"&lt;="&amp;B92),$A$14:$A$53,0)),$B$14)</f>
        <v/>
      </c>
      <c r="D92" s="49">
        <f>IFERROR(IF(H91&lt;=0,0,ABS(PMT(C92/12,335,-H91))),0)</f>
        <v/>
      </c>
      <c r="E92" s="49">
        <f>IF(H91&lt;=0,0,H91*C92/12)</f>
        <v/>
      </c>
      <c r="F92" s="49">
        <f>IF(D92=0,0,D92-E92)</f>
        <v/>
      </c>
      <c r="G92" s="49" t="n"/>
      <c r="H92" s="125">
        <f>MAX(H91-F92-IFERROR(G92,0),0)</f>
        <v/>
      </c>
      <c r="I92" s="32" t="n"/>
      <c r="J92" s="101" t="n"/>
    </row>
    <row r="93" ht="18" customHeight="1">
      <c r="A93" s="46" t="n">
        <v>27</v>
      </c>
      <c r="B93" s="124">
        <f>DATE(YEAR($C$6),MONTH($C$6)+A93,MIN(30,DAY(EOMONTH(DATE(YEAR($C$6),MONTH($C$6)+A93,1),0))))</f>
        <v/>
      </c>
      <c r="C93" s="115">
        <f>IFERROR(INDEX($B$14:$B$53,MATCH(MAXIFS($A$14:$A$53,$A$14:$A$53,"&lt;="&amp;B93),$A$14:$A$53,0)),$B$14)</f>
        <v/>
      </c>
      <c r="D93" s="47">
        <f>IFERROR(IF(H92&lt;=0,0,ABS(PMT(C93/12,334,-H92))),0)</f>
        <v/>
      </c>
      <c r="E93" s="47">
        <f>IF(H92&lt;=0,0,H92*C93/12)</f>
        <v/>
      </c>
      <c r="F93" s="47">
        <f>IF(D93=0,0,D93-E93)</f>
        <v/>
      </c>
      <c r="G93" s="49" t="n"/>
      <c r="H93" s="75">
        <f>MAX(H92-F93-IFERROR(G93,0),0)</f>
        <v/>
      </c>
      <c r="I93" s="46" t="n"/>
      <c r="J93" s="116" t="n"/>
    </row>
    <row r="94" ht="18" customHeight="1">
      <c r="A94" s="32" t="n">
        <v>28</v>
      </c>
      <c r="B94" s="31">
        <f>DATE(YEAR($C$6),MONTH($C$6)+A94,MIN(30,DAY(EOMONTH(DATE(YEAR($C$6),MONTH($C$6)+A94,1),0))))</f>
        <v/>
      </c>
      <c r="C94" s="114">
        <f>IFERROR(INDEX($B$14:$B$53,MATCH(MAXIFS($A$14:$A$53,$A$14:$A$53,"&lt;="&amp;B94),$A$14:$A$53,0)),$B$14)</f>
        <v/>
      </c>
      <c r="D94" s="49">
        <f>IFERROR(IF(H93&lt;=0,0,ABS(PMT(C94/12,333,-H93))),0)</f>
        <v/>
      </c>
      <c r="E94" s="49">
        <f>IF(H93&lt;=0,0,H93*C94/12)</f>
        <v/>
      </c>
      <c r="F94" s="49">
        <f>IF(D94=0,0,D94-E94)</f>
        <v/>
      </c>
      <c r="G94" s="49" t="n"/>
      <c r="H94" s="125">
        <f>MAX(H93-F94-IFERROR(G94,0),0)</f>
        <v/>
      </c>
      <c r="I94" s="32" t="n"/>
      <c r="J94" s="101" t="n"/>
    </row>
    <row r="95" ht="18" customHeight="1">
      <c r="A95" s="46" t="n">
        <v>29</v>
      </c>
      <c r="B95" s="124">
        <f>DATE(YEAR($C$6),MONTH($C$6)+A95,MIN(30,DAY(EOMONTH(DATE(YEAR($C$6),MONTH($C$6)+A95,1),0))))</f>
        <v/>
      </c>
      <c r="C95" s="115">
        <f>IFERROR(INDEX($B$14:$B$53,MATCH(MAXIFS($A$14:$A$53,$A$14:$A$53,"&lt;="&amp;B95),$A$14:$A$53,0)),$B$14)</f>
        <v/>
      </c>
      <c r="D95" s="47">
        <f>IFERROR(IF(H94&lt;=0,0,ABS(PMT(C95/12,332,-H94))),0)</f>
        <v/>
      </c>
      <c r="E95" s="47">
        <f>IF(H94&lt;=0,0,H94*C95/12)</f>
        <v/>
      </c>
      <c r="F95" s="47">
        <f>IF(D95=0,0,D95-E95)</f>
        <v/>
      </c>
      <c r="G95" s="49" t="n"/>
      <c r="H95" s="75">
        <f>MAX(H94-F95-IFERROR(G95,0),0)</f>
        <v/>
      </c>
      <c r="I95" s="46" t="n"/>
      <c r="J95" s="116" t="n"/>
    </row>
    <row r="96" ht="18" customHeight="1">
      <c r="A96" s="32" t="n">
        <v>30</v>
      </c>
      <c r="B96" s="31">
        <f>DATE(YEAR($C$6),MONTH($C$6)+A96,MIN(30,DAY(EOMONTH(DATE(YEAR($C$6),MONTH($C$6)+A96,1),0))))</f>
        <v/>
      </c>
      <c r="C96" s="114">
        <f>IFERROR(INDEX($B$14:$B$53,MATCH(MAXIFS($A$14:$A$53,$A$14:$A$53,"&lt;="&amp;B96),$A$14:$A$53,0)),$B$14)</f>
        <v/>
      </c>
      <c r="D96" s="49">
        <f>IFERROR(IF(H95&lt;=0,0,ABS(PMT(C96/12,331,-H95))),0)</f>
        <v/>
      </c>
      <c r="E96" s="49">
        <f>IF(H95&lt;=0,0,H95*C96/12)</f>
        <v/>
      </c>
      <c r="F96" s="49">
        <f>IF(D96=0,0,D96-E96)</f>
        <v/>
      </c>
      <c r="G96" s="49" t="n"/>
      <c r="H96" s="125">
        <f>MAX(H95-F96-IFERROR(G96,0),0)</f>
        <v/>
      </c>
      <c r="I96" s="32" t="n"/>
      <c r="J96" s="101" t="n"/>
    </row>
    <row r="97" ht="18" customHeight="1">
      <c r="A97" s="46" t="n">
        <v>31</v>
      </c>
      <c r="B97" s="124">
        <f>DATE(YEAR($C$6),MONTH($C$6)+A97,MIN(30,DAY(EOMONTH(DATE(YEAR($C$6),MONTH($C$6)+A97,1),0))))</f>
        <v/>
      </c>
      <c r="C97" s="115">
        <f>IFERROR(INDEX($B$14:$B$53,MATCH(MAXIFS($A$14:$A$53,$A$14:$A$53,"&lt;="&amp;B97),$A$14:$A$53,0)),$B$14)</f>
        <v/>
      </c>
      <c r="D97" s="47">
        <f>IFERROR(IF(H96&lt;=0,0,ABS(PMT(C97/12,330,-H96))),0)</f>
        <v/>
      </c>
      <c r="E97" s="47">
        <f>IF(H96&lt;=0,0,H96*C97/12)</f>
        <v/>
      </c>
      <c r="F97" s="47">
        <f>IF(D97=0,0,D97-E97)</f>
        <v/>
      </c>
      <c r="G97" s="49" t="n"/>
      <c r="H97" s="75">
        <f>MAX(H96-F97-IFERROR(G97,0),0)</f>
        <v/>
      </c>
      <c r="I97" s="46" t="n"/>
      <c r="J97" s="116" t="n"/>
    </row>
    <row r="98" ht="18" customHeight="1">
      <c r="A98" s="32" t="n">
        <v>32</v>
      </c>
      <c r="B98" s="31">
        <f>DATE(YEAR($C$6),MONTH($C$6)+A98,MIN(30,DAY(EOMONTH(DATE(YEAR($C$6),MONTH($C$6)+A98,1),0))))</f>
        <v/>
      </c>
      <c r="C98" s="114">
        <f>IFERROR(INDEX($B$14:$B$53,MATCH(MAXIFS($A$14:$A$53,$A$14:$A$53,"&lt;="&amp;B98),$A$14:$A$53,0)),$B$14)</f>
        <v/>
      </c>
      <c r="D98" s="49">
        <f>IFERROR(IF(H97&lt;=0,0,ABS(PMT(C98/12,329,-H97))),0)</f>
        <v/>
      </c>
      <c r="E98" s="49">
        <f>IF(H97&lt;=0,0,H97*C98/12)</f>
        <v/>
      </c>
      <c r="F98" s="49">
        <f>IF(D98=0,0,D98-E98)</f>
        <v/>
      </c>
      <c r="G98" s="49" t="n"/>
      <c r="H98" s="125">
        <f>MAX(H97-F98-IFERROR(G98,0),0)</f>
        <v/>
      </c>
      <c r="I98" s="32" t="n"/>
      <c r="J98" s="101" t="n"/>
    </row>
    <row r="99" ht="18" customHeight="1">
      <c r="A99" s="46" t="n">
        <v>33</v>
      </c>
      <c r="B99" s="124">
        <f>DATE(YEAR($C$6),MONTH($C$6)+A99,MIN(30,DAY(EOMONTH(DATE(YEAR($C$6),MONTH($C$6)+A99,1),0))))</f>
        <v/>
      </c>
      <c r="C99" s="115">
        <f>IFERROR(INDEX($B$14:$B$53,MATCH(MAXIFS($A$14:$A$53,$A$14:$A$53,"&lt;="&amp;B99),$A$14:$A$53,0)),$B$14)</f>
        <v/>
      </c>
      <c r="D99" s="47">
        <f>IFERROR(IF(H98&lt;=0,0,ABS(PMT(C99/12,328,-H98))),0)</f>
        <v/>
      </c>
      <c r="E99" s="47">
        <f>IF(H98&lt;=0,0,H98*C99/12)</f>
        <v/>
      </c>
      <c r="F99" s="47">
        <f>IF(D99=0,0,D99-E99)</f>
        <v/>
      </c>
      <c r="G99" s="49" t="n"/>
      <c r="H99" s="75">
        <f>MAX(H98-F99-IFERROR(G99,0),0)</f>
        <v/>
      </c>
      <c r="I99" s="46" t="n"/>
      <c r="J99" s="116" t="n"/>
    </row>
    <row r="100" ht="18" customHeight="1">
      <c r="A100" s="32" t="n">
        <v>34</v>
      </c>
      <c r="B100" s="31">
        <f>DATE(YEAR($C$6),MONTH($C$6)+A100,MIN(30,DAY(EOMONTH(DATE(YEAR($C$6),MONTH($C$6)+A100,1),0))))</f>
        <v/>
      </c>
      <c r="C100" s="114">
        <f>IFERROR(INDEX($B$14:$B$53,MATCH(MAXIFS($A$14:$A$53,$A$14:$A$53,"&lt;="&amp;B100),$A$14:$A$53,0)),$B$14)</f>
        <v/>
      </c>
      <c r="D100" s="49">
        <f>IFERROR(IF(H99&lt;=0,0,ABS(PMT(C100/12,327,-H99))),0)</f>
        <v/>
      </c>
      <c r="E100" s="49">
        <f>IF(H99&lt;=0,0,H99*C100/12)</f>
        <v/>
      </c>
      <c r="F100" s="49">
        <f>IF(D100=0,0,D100-E100)</f>
        <v/>
      </c>
      <c r="G100" s="49" t="n"/>
      <c r="H100" s="125">
        <f>MAX(H99-F100-IFERROR(G100,0),0)</f>
        <v/>
      </c>
      <c r="I100" s="32" t="n"/>
      <c r="J100" s="101" t="n"/>
    </row>
    <row r="101" ht="18" customHeight="1">
      <c r="A101" s="46" t="n">
        <v>35</v>
      </c>
      <c r="B101" s="124">
        <f>DATE(YEAR($C$6),MONTH($C$6)+A101,MIN(30,DAY(EOMONTH(DATE(YEAR($C$6),MONTH($C$6)+A101,1),0))))</f>
        <v/>
      </c>
      <c r="C101" s="115">
        <f>IFERROR(INDEX($B$14:$B$53,MATCH(MAXIFS($A$14:$A$53,$A$14:$A$53,"&lt;="&amp;B101),$A$14:$A$53,0)),$B$14)</f>
        <v/>
      </c>
      <c r="D101" s="47">
        <f>IFERROR(IF(H100&lt;=0,0,ABS(PMT(C101/12,326,-H100))),0)</f>
        <v/>
      </c>
      <c r="E101" s="47">
        <f>IF(H100&lt;=0,0,H100*C101/12)</f>
        <v/>
      </c>
      <c r="F101" s="47">
        <f>IF(D101=0,0,D101-E101)</f>
        <v/>
      </c>
      <c r="G101" s="49" t="n"/>
      <c r="H101" s="75">
        <f>MAX(H100-F101-IFERROR(G101,0),0)</f>
        <v/>
      </c>
      <c r="I101" s="46" t="n"/>
      <c r="J101" s="116" t="n"/>
    </row>
    <row r="102" ht="18" customHeight="1">
      <c r="A102" s="32" t="n">
        <v>36</v>
      </c>
      <c r="B102" s="31">
        <f>DATE(YEAR($C$6),MONTH($C$6)+A102,MIN(30,DAY(EOMONTH(DATE(YEAR($C$6),MONTH($C$6)+A102,1),0))))</f>
        <v/>
      </c>
      <c r="C102" s="114">
        <f>IFERROR(INDEX($B$14:$B$53,MATCH(MAXIFS($A$14:$A$53,$A$14:$A$53,"&lt;="&amp;B102),$A$14:$A$53,0)),$B$14)</f>
        <v/>
      </c>
      <c r="D102" s="49">
        <f>IFERROR(IF(H101&lt;=0,0,ABS(PMT(C102/12,325,-H101))),0)</f>
        <v/>
      </c>
      <c r="E102" s="49">
        <f>IF(H101&lt;=0,0,H101*C102/12)</f>
        <v/>
      </c>
      <c r="F102" s="49">
        <f>IF(D102=0,0,D102-E102)</f>
        <v/>
      </c>
      <c r="G102" s="49" t="n"/>
      <c r="H102" s="125">
        <f>MAX(H101-F102-IFERROR(G102,0),0)</f>
        <v/>
      </c>
      <c r="I102" s="32" t="n"/>
      <c r="J102" s="101" t="n"/>
    </row>
    <row r="103" ht="18" customHeight="1">
      <c r="A103" s="46" t="n">
        <v>37</v>
      </c>
      <c r="B103" s="124">
        <f>DATE(YEAR($C$6),MONTH($C$6)+A103,MIN(30,DAY(EOMONTH(DATE(YEAR($C$6),MONTH($C$6)+A103,1),0))))</f>
        <v/>
      </c>
      <c r="C103" s="115">
        <f>IFERROR(INDEX($B$14:$B$53,MATCH(MAXIFS($A$14:$A$53,$A$14:$A$53,"&lt;="&amp;B103),$A$14:$A$53,0)),$B$14)</f>
        <v/>
      </c>
      <c r="D103" s="47">
        <f>IFERROR(IF(H102&lt;=0,0,ABS(PMT(C103/12,324,-H102))),0)</f>
        <v/>
      </c>
      <c r="E103" s="47">
        <f>IF(H102&lt;=0,0,H102*C103/12)</f>
        <v/>
      </c>
      <c r="F103" s="47">
        <f>IF(D103=0,0,D103-E103)</f>
        <v/>
      </c>
      <c r="G103" s="49" t="n"/>
      <c r="H103" s="75">
        <f>MAX(H102-F103-IFERROR(G103,0),0)</f>
        <v/>
      </c>
      <c r="I103" s="46" t="n"/>
      <c r="J103" s="116" t="n"/>
    </row>
    <row r="104" ht="18" customHeight="1">
      <c r="A104" s="32" t="n">
        <v>38</v>
      </c>
      <c r="B104" s="31">
        <f>DATE(YEAR($C$6),MONTH($C$6)+A104,MIN(30,DAY(EOMONTH(DATE(YEAR($C$6),MONTH($C$6)+A104,1),0))))</f>
        <v/>
      </c>
      <c r="C104" s="114">
        <f>IFERROR(INDEX($B$14:$B$53,MATCH(MAXIFS($A$14:$A$53,$A$14:$A$53,"&lt;="&amp;B104),$A$14:$A$53,0)),$B$14)</f>
        <v/>
      </c>
      <c r="D104" s="49">
        <f>IFERROR(IF(H103&lt;=0,0,ABS(PMT(C104/12,323,-H103))),0)</f>
        <v/>
      </c>
      <c r="E104" s="49">
        <f>IF(H103&lt;=0,0,H103*C104/12)</f>
        <v/>
      </c>
      <c r="F104" s="49">
        <f>IF(D104=0,0,D104-E104)</f>
        <v/>
      </c>
      <c r="G104" s="49" t="n"/>
      <c r="H104" s="125">
        <f>MAX(H103-F104-IFERROR(G104,0),0)</f>
        <v/>
      </c>
      <c r="I104" s="32" t="n"/>
      <c r="J104" s="101" t="n"/>
    </row>
    <row r="105" ht="18" customHeight="1">
      <c r="A105" s="46" t="n">
        <v>39</v>
      </c>
      <c r="B105" s="124">
        <f>DATE(YEAR($C$6),MONTH($C$6)+A105,MIN(30,DAY(EOMONTH(DATE(YEAR($C$6),MONTH($C$6)+A105,1),0))))</f>
        <v/>
      </c>
      <c r="C105" s="115">
        <f>IFERROR(INDEX($B$14:$B$53,MATCH(MAXIFS($A$14:$A$53,$A$14:$A$53,"&lt;="&amp;B105),$A$14:$A$53,0)),$B$14)</f>
        <v/>
      </c>
      <c r="D105" s="47">
        <f>IFERROR(IF(H104&lt;=0,0,ABS(PMT(C105/12,322,-H104))),0)</f>
        <v/>
      </c>
      <c r="E105" s="47">
        <f>IF(H104&lt;=0,0,H104*C105/12)</f>
        <v/>
      </c>
      <c r="F105" s="47">
        <f>IF(D105=0,0,D105-E105)</f>
        <v/>
      </c>
      <c r="G105" s="49" t="n"/>
      <c r="H105" s="75">
        <f>MAX(H104-F105-IFERROR(G105,0),0)</f>
        <v/>
      </c>
      <c r="I105" s="46" t="n"/>
      <c r="J105" s="116" t="n"/>
    </row>
    <row r="106" ht="18" customHeight="1">
      <c r="A106" s="32" t="n">
        <v>40</v>
      </c>
      <c r="B106" s="31">
        <f>DATE(YEAR($C$6),MONTH($C$6)+A106,MIN(30,DAY(EOMONTH(DATE(YEAR($C$6),MONTH($C$6)+A106,1),0))))</f>
        <v/>
      </c>
      <c r="C106" s="114">
        <f>IFERROR(INDEX($B$14:$B$53,MATCH(MAXIFS($A$14:$A$53,$A$14:$A$53,"&lt;="&amp;B106),$A$14:$A$53,0)),$B$14)</f>
        <v/>
      </c>
      <c r="D106" s="49">
        <f>IFERROR(IF(H105&lt;=0,0,ABS(PMT(C106/12,321,-H105))),0)</f>
        <v/>
      </c>
      <c r="E106" s="49">
        <f>IF(H105&lt;=0,0,H105*C106/12)</f>
        <v/>
      </c>
      <c r="F106" s="49">
        <f>IF(D106=0,0,D106-E106)</f>
        <v/>
      </c>
      <c r="G106" s="49" t="n"/>
      <c r="H106" s="125">
        <f>MAX(H105-F106-IFERROR(G106,0),0)</f>
        <v/>
      </c>
      <c r="I106" s="32" t="n"/>
      <c r="J106" s="101" t="n"/>
    </row>
    <row r="107" ht="18" customHeight="1">
      <c r="A107" s="46" t="n">
        <v>41</v>
      </c>
      <c r="B107" s="124">
        <f>DATE(YEAR($C$6),MONTH($C$6)+A107,MIN(30,DAY(EOMONTH(DATE(YEAR($C$6),MONTH($C$6)+A107,1),0))))</f>
        <v/>
      </c>
      <c r="C107" s="115">
        <f>IFERROR(INDEX($B$14:$B$53,MATCH(MAXIFS($A$14:$A$53,$A$14:$A$53,"&lt;="&amp;B107),$A$14:$A$53,0)),$B$14)</f>
        <v/>
      </c>
      <c r="D107" s="47">
        <f>IFERROR(IF(H106&lt;=0,0,ABS(PMT(C107/12,320,-H106))),0)</f>
        <v/>
      </c>
      <c r="E107" s="47">
        <f>IF(H106&lt;=0,0,H106*C107/12)</f>
        <v/>
      </c>
      <c r="F107" s="47">
        <f>IF(D107=0,0,D107-E107)</f>
        <v/>
      </c>
      <c r="G107" s="49" t="n"/>
      <c r="H107" s="75">
        <f>MAX(H106-F107-IFERROR(G107,0),0)</f>
        <v/>
      </c>
      <c r="I107" s="46" t="n"/>
      <c r="J107" s="116" t="n"/>
    </row>
    <row r="108" ht="18" customHeight="1">
      <c r="A108" s="32" t="n">
        <v>42</v>
      </c>
      <c r="B108" s="31">
        <f>DATE(YEAR($C$6),MONTH($C$6)+A108,MIN(30,DAY(EOMONTH(DATE(YEAR($C$6),MONTH($C$6)+A108,1),0))))</f>
        <v/>
      </c>
      <c r="C108" s="114">
        <f>IFERROR(INDEX($B$14:$B$53,MATCH(MAXIFS($A$14:$A$53,$A$14:$A$53,"&lt;="&amp;B108),$A$14:$A$53,0)),$B$14)</f>
        <v/>
      </c>
      <c r="D108" s="49">
        <f>IFERROR(IF(H107&lt;=0,0,ABS(PMT(C108/12,319,-H107))),0)</f>
        <v/>
      </c>
      <c r="E108" s="49">
        <f>IF(H107&lt;=0,0,H107*C108/12)</f>
        <v/>
      </c>
      <c r="F108" s="49">
        <f>IF(D108=0,0,D108-E108)</f>
        <v/>
      </c>
      <c r="G108" s="49" t="n"/>
      <c r="H108" s="125">
        <f>MAX(H107-F108-IFERROR(G108,0),0)</f>
        <v/>
      </c>
      <c r="I108" s="32" t="n"/>
      <c r="J108" s="101" t="n"/>
    </row>
    <row r="109" ht="18" customHeight="1">
      <c r="A109" s="46" t="n">
        <v>43</v>
      </c>
      <c r="B109" s="124">
        <f>DATE(YEAR($C$6),MONTH($C$6)+A109,MIN(30,DAY(EOMONTH(DATE(YEAR($C$6),MONTH($C$6)+A109,1),0))))</f>
        <v/>
      </c>
      <c r="C109" s="115">
        <f>IFERROR(INDEX($B$14:$B$53,MATCH(MAXIFS($A$14:$A$53,$A$14:$A$53,"&lt;="&amp;B109),$A$14:$A$53,0)),$B$14)</f>
        <v/>
      </c>
      <c r="D109" s="47">
        <f>IFERROR(IF(H108&lt;=0,0,ABS(PMT(C109/12,318,-H108))),0)</f>
        <v/>
      </c>
      <c r="E109" s="47">
        <f>IF(H108&lt;=0,0,H108*C109/12)</f>
        <v/>
      </c>
      <c r="F109" s="47">
        <f>IF(D109=0,0,D109-E109)</f>
        <v/>
      </c>
      <c r="G109" s="49" t="n"/>
      <c r="H109" s="75">
        <f>MAX(H108-F109-IFERROR(G109,0),0)</f>
        <v/>
      </c>
      <c r="I109" s="46" t="n"/>
      <c r="J109" s="116" t="n"/>
    </row>
    <row r="110" ht="18" customHeight="1">
      <c r="A110" s="32" t="n">
        <v>44</v>
      </c>
      <c r="B110" s="31">
        <f>DATE(YEAR($C$6),MONTH($C$6)+A110,MIN(30,DAY(EOMONTH(DATE(YEAR($C$6),MONTH($C$6)+A110,1),0))))</f>
        <v/>
      </c>
      <c r="C110" s="114">
        <f>IFERROR(INDEX($B$14:$B$53,MATCH(MAXIFS($A$14:$A$53,$A$14:$A$53,"&lt;="&amp;B110),$A$14:$A$53,0)),$B$14)</f>
        <v/>
      </c>
      <c r="D110" s="49">
        <f>IFERROR(IF(H109&lt;=0,0,ABS(PMT(C110/12,317,-H109))),0)</f>
        <v/>
      </c>
      <c r="E110" s="49">
        <f>IF(H109&lt;=0,0,H109*C110/12)</f>
        <v/>
      </c>
      <c r="F110" s="49">
        <f>IF(D110=0,0,D110-E110)</f>
        <v/>
      </c>
      <c r="G110" s="49" t="n"/>
      <c r="H110" s="125">
        <f>MAX(H109-F110-IFERROR(G110,0),0)</f>
        <v/>
      </c>
      <c r="I110" s="32" t="n"/>
      <c r="J110" s="101" t="n"/>
    </row>
    <row r="111" ht="18" customHeight="1">
      <c r="A111" s="46" t="n">
        <v>45</v>
      </c>
      <c r="B111" s="124">
        <f>DATE(YEAR($C$6),MONTH($C$6)+A111,MIN(30,DAY(EOMONTH(DATE(YEAR($C$6),MONTH($C$6)+A111,1),0))))</f>
        <v/>
      </c>
      <c r="C111" s="115">
        <f>IFERROR(INDEX($B$14:$B$53,MATCH(MAXIFS($A$14:$A$53,$A$14:$A$53,"&lt;="&amp;B111),$A$14:$A$53,0)),$B$14)</f>
        <v/>
      </c>
      <c r="D111" s="47">
        <f>IFERROR(IF(H110&lt;=0,0,ABS(PMT(C111/12,316,-H110))),0)</f>
        <v/>
      </c>
      <c r="E111" s="47">
        <f>IF(H110&lt;=0,0,H110*C111/12)</f>
        <v/>
      </c>
      <c r="F111" s="47">
        <f>IF(D111=0,0,D111-E111)</f>
        <v/>
      </c>
      <c r="G111" s="49" t="n"/>
      <c r="H111" s="75">
        <f>MAX(H110-F111-IFERROR(G111,0),0)</f>
        <v/>
      </c>
      <c r="I111" s="46" t="n"/>
      <c r="J111" s="116" t="n"/>
    </row>
    <row r="112" ht="18" customHeight="1">
      <c r="A112" s="32" t="n">
        <v>46</v>
      </c>
      <c r="B112" s="31">
        <f>DATE(YEAR($C$6),MONTH($C$6)+A112,MIN(30,DAY(EOMONTH(DATE(YEAR($C$6),MONTH($C$6)+A112,1),0))))</f>
        <v/>
      </c>
      <c r="C112" s="114">
        <f>IFERROR(INDEX($B$14:$B$53,MATCH(MAXIFS($A$14:$A$53,$A$14:$A$53,"&lt;="&amp;B112),$A$14:$A$53,0)),$B$14)</f>
        <v/>
      </c>
      <c r="D112" s="49">
        <f>IFERROR(IF(H111&lt;=0,0,ABS(PMT(C112/12,315,-H111))),0)</f>
        <v/>
      </c>
      <c r="E112" s="49">
        <f>IF(H111&lt;=0,0,H111*C112/12)</f>
        <v/>
      </c>
      <c r="F112" s="49">
        <f>IF(D112=0,0,D112-E112)</f>
        <v/>
      </c>
      <c r="G112" s="49" t="n"/>
      <c r="H112" s="125">
        <f>MAX(H111-F112-IFERROR(G112,0),0)</f>
        <v/>
      </c>
      <c r="I112" s="32" t="n"/>
      <c r="J112" s="101" t="n"/>
    </row>
    <row r="113" ht="18" customHeight="1">
      <c r="A113" s="46" t="n">
        <v>47</v>
      </c>
      <c r="B113" s="124">
        <f>DATE(YEAR($C$6),MONTH($C$6)+A113,MIN(30,DAY(EOMONTH(DATE(YEAR($C$6),MONTH($C$6)+A113,1),0))))</f>
        <v/>
      </c>
      <c r="C113" s="115">
        <f>IFERROR(INDEX($B$14:$B$53,MATCH(MAXIFS($A$14:$A$53,$A$14:$A$53,"&lt;="&amp;B113),$A$14:$A$53,0)),$B$14)</f>
        <v/>
      </c>
      <c r="D113" s="47">
        <f>IFERROR(IF(H112&lt;=0,0,ABS(PMT(C113/12,314,-H112))),0)</f>
        <v/>
      </c>
      <c r="E113" s="47">
        <f>IF(H112&lt;=0,0,H112*C113/12)</f>
        <v/>
      </c>
      <c r="F113" s="47">
        <f>IF(D113=0,0,D113-E113)</f>
        <v/>
      </c>
      <c r="G113" s="49" t="n"/>
      <c r="H113" s="75">
        <f>MAX(H112-F113-IFERROR(G113,0),0)</f>
        <v/>
      </c>
      <c r="I113" s="46" t="n"/>
      <c r="J113" s="116" t="n"/>
    </row>
    <row r="114" ht="18" customHeight="1">
      <c r="A114" s="32" t="n">
        <v>48</v>
      </c>
      <c r="B114" s="31">
        <f>DATE(YEAR($C$6),MONTH($C$6)+A114,MIN(30,DAY(EOMONTH(DATE(YEAR($C$6),MONTH($C$6)+A114,1),0))))</f>
        <v/>
      </c>
      <c r="C114" s="114">
        <f>IFERROR(INDEX($B$14:$B$53,MATCH(MAXIFS($A$14:$A$53,$A$14:$A$53,"&lt;="&amp;B114),$A$14:$A$53,0)),$B$14)</f>
        <v/>
      </c>
      <c r="D114" s="49">
        <f>IFERROR(IF(H113&lt;=0,0,ABS(PMT(C114/12,313,-H113))),0)</f>
        <v/>
      </c>
      <c r="E114" s="49">
        <f>IF(H113&lt;=0,0,H113*C114/12)</f>
        <v/>
      </c>
      <c r="F114" s="49">
        <f>IF(D114=0,0,D114-E114)</f>
        <v/>
      </c>
      <c r="G114" s="49" t="n"/>
      <c r="H114" s="125">
        <f>MAX(H113-F114-IFERROR(G114,0),0)</f>
        <v/>
      </c>
      <c r="I114" s="32" t="n"/>
      <c r="J114" s="101" t="n"/>
    </row>
    <row r="115" ht="18" customHeight="1">
      <c r="A115" s="46" t="n">
        <v>49</v>
      </c>
      <c r="B115" s="124">
        <f>DATE(YEAR($C$6),MONTH($C$6)+A115,MIN(30,DAY(EOMONTH(DATE(YEAR($C$6),MONTH($C$6)+A115,1),0))))</f>
        <v/>
      </c>
      <c r="C115" s="115">
        <f>IFERROR(INDEX($B$14:$B$53,MATCH(MAXIFS($A$14:$A$53,$A$14:$A$53,"&lt;="&amp;B115),$A$14:$A$53,0)),$B$14)</f>
        <v/>
      </c>
      <c r="D115" s="47">
        <f>IFERROR(IF(H114&lt;=0,0,ABS(PMT(C115/12,312,-H114))),0)</f>
        <v/>
      </c>
      <c r="E115" s="47">
        <f>IF(H114&lt;=0,0,H114*C115/12)</f>
        <v/>
      </c>
      <c r="F115" s="47">
        <f>IF(D115=0,0,D115-E115)</f>
        <v/>
      </c>
      <c r="G115" s="49" t="n"/>
      <c r="H115" s="75">
        <f>MAX(H114-F115-IFERROR(G115,0),0)</f>
        <v/>
      </c>
      <c r="I115" s="46" t="n"/>
      <c r="J115" s="116" t="n"/>
    </row>
    <row r="116" ht="18" customHeight="1">
      <c r="A116" s="32" t="n">
        <v>50</v>
      </c>
      <c r="B116" s="31">
        <f>DATE(YEAR($C$6),MONTH($C$6)+A116,MIN(30,DAY(EOMONTH(DATE(YEAR($C$6),MONTH($C$6)+A116,1),0))))</f>
        <v/>
      </c>
      <c r="C116" s="114">
        <f>IFERROR(INDEX($B$14:$B$53,MATCH(MAXIFS($A$14:$A$53,$A$14:$A$53,"&lt;="&amp;B116),$A$14:$A$53,0)),$B$14)</f>
        <v/>
      </c>
      <c r="D116" s="49">
        <f>IFERROR(IF(H115&lt;=0,0,ABS(PMT(C116/12,311,-H115))),0)</f>
        <v/>
      </c>
      <c r="E116" s="49">
        <f>IF(H115&lt;=0,0,H115*C116/12)</f>
        <v/>
      </c>
      <c r="F116" s="49">
        <f>IF(D116=0,0,D116-E116)</f>
        <v/>
      </c>
      <c r="G116" s="49" t="n"/>
      <c r="H116" s="125">
        <f>MAX(H115-F116-IFERROR(G116,0),0)</f>
        <v/>
      </c>
      <c r="I116" s="32" t="n"/>
      <c r="J116" s="101" t="n"/>
    </row>
    <row r="117" ht="18" customHeight="1">
      <c r="A117" s="46" t="n">
        <v>51</v>
      </c>
      <c r="B117" s="124">
        <f>DATE(YEAR($C$6),MONTH($C$6)+A117,MIN(30,DAY(EOMONTH(DATE(YEAR($C$6),MONTH($C$6)+A117,1),0))))</f>
        <v/>
      </c>
      <c r="C117" s="115">
        <f>IFERROR(INDEX($B$14:$B$53,MATCH(MAXIFS($A$14:$A$53,$A$14:$A$53,"&lt;="&amp;B117),$A$14:$A$53,0)),$B$14)</f>
        <v/>
      </c>
      <c r="D117" s="47">
        <f>IFERROR(IF(H116&lt;=0,0,ABS(PMT(C117/12,310,-H116))),0)</f>
        <v/>
      </c>
      <c r="E117" s="47">
        <f>IF(H116&lt;=0,0,H116*C117/12)</f>
        <v/>
      </c>
      <c r="F117" s="47">
        <f>IF(D117=0,0,D117-E117)</f>
        <v/>
      </c>
      <c r="G117" s="49" t="n"/>
      <c r="H117" s="75">
        <f>MAX(H116-F117-IFERROR(G117,0),0)</f>
        <v/>
      </c>
      <c r="I117" s="46" t="n"/>
      <c r="J117" s="116" t="n"/>
    </row>
    <row r="118" ht="18" customHeight="1">
      <c r="A118" s="32" t="n">
        <v>52</v>
      </c>
      <c r="B118" s="31">
        <f>DATE(YEAR($C$6),MONTH($C$6)+A118,MIN(30,DAY(EOMONTH(DATE(YEAR($C$6),MONTH($C$6)+A118,1),0))))</f>
        <v/>
      </c>
      <c r="C118" s="114">
        <f>IFERROR(INDEX($B$14:$B$53,MATCH(MAXIFS($A$14:$A$53,$A$14:$A$53,"&lt;="&amp;B118),$A$14:$A$53,0)),$B$14)</f>
        <v/>
      </c>
      <c r="D118" s="49">
        <f>IFERROR(IF(H117&lt;=0,0,ABS(PMT(C118/12,309,-H117))),0)</f>
        <v/>
      </c>
      <c r="E118" s="49">
        <f>IF(H117&lt;=0,0,H117*C118/12)</f>
        <v/>
      </c>
      <c r="F118" s="49">
        <f>IF(D118=0,0,D118-E118)</f>
        <v/>
      </c>
      <c r="G118" s="49" t="n"/>
      <c r="H118" s="125">
        <f>MAX(H117-F118-IFERROR(G118,0),0)</f>
        <v/>
      </c>
      <c r="I118" s="32" t="n"/>
      <c r="J118" s="101" t="n"/>
    </row>
    <row r="119" ht="18" customHeight="1">
      <c r="A119" s="46" t="n">
        <v>53</v>
      </c>
      <c r="B119" s="124">
        <f>DATE(YEAR($C$6),MONTH($C$6)+A119,MIN(30,DAY(EOMONTH(DATE(YEAR($C$6),MONTH($C$6)+A119,1),0))))</f>
        <v/>
      </c>
      <c r="C119" s="115">
        <f>IFERROR(INDEX($B$14:$B$53,MATCH(MAXIFS($A$14:$A$53,$A$14:$A$53,"&lt;="&amp;B119),$A$14:$A$53,0)),$B$14)</f>
        <v/>
      </c>
      <c r="D119" s="47">
        <f>IFERROR(IF(H118&lt;=0,0,ABS(PMT(C119/12,308,-H118))),0)</f>
        <v/>
      </c>
      <c r="E119" s="47">
        <f>IF(H118&lt;=0,0,H118*C119/12)</f>
        <v/>
      </c>
      <c r="F119" s="47">
        <f>IF(D119=0,0,D119-E119)</f>
        <v/>
      </c>
      <c r="G119" s="49" t="n"/>
      <c r="H119" s="75">
        <f>MAX(H118-F119-IFERROR(G119,0),0)</f>
        <v/>
      </c>
      <c r="I119" s="46" t="n"/>
      <c r="J119" s="116" t="n"/>
    </row>
    <row r="120" ht="18" customHeight="1">
      <c r="A120" s="32" t="n">
        <v>54</v>
      </c>
      <c r="B120" s="31">
        <f>DATE(YEAR($C$6),MONTH($C$6)+A120,MIN(30,DAY(EOMONTH(DATE(YEAR($C$6),MONTH($C$6)+A120,1),0))))</f>
        <v/>
      </c>
      <c r="C120" s="114">
        <f>IFERROR(INDEX($B$14:$B$53,MATCH(MAXIFS($A$14:$A$53,$A$14:$A$53,"&lt;="&amp;B120),$A$14:$A$53,0)),$B$14)</f>
        <v/>
      </c>
      <c r="D120" s="49">
        <f>IFERROR(IF(H119&lt;=0,0,ABS(PMT(C120/12,307,-H119))),0)</f>
        <v/>
      </c>
      <c r="E120" s="49">
        <f>IF(H119&lt;=0,0,H119*C120/12)</f>
        <v/>
      </c>
      <c r="F120" s="49">
        <f>IF(D120=0,0,D120-E120)</f>
        <v/>
      </c>
      <c r="G120" s="49" t="n"/>
      <c r="H120" s="125">
        <f>MAX(H119-F120-IFERROR(G120,0),0)</f>
        <v/>
      </c>
      <c r="I120" s="32" t="n"/>
      <c r="J120" s="101" t="n"/>
    </row>
    <row r="121" ht="18" customHeight="1">
      <c r="A121" s="46" t="n">
        <v>55</v>
      </c>
      <c r="B121" s="124">
        <f>DATE(YEAR($C$6),MONTH($C$6)+A121,MIN(30,DAY(EOMONTH(DATE(YEAR($C$6),MONTH($C$6)+A121,1),0))))</f>
        <v/>
      </c>
      <c r="C121" s="115">
        <f>IFERROR(INDEX($B$14:$B$53,MATCH(MAXIFS($A$14:$A$53,$A$14:$A$53,"&lt;="&amp;B121),$A$14:$A$53,0)),$B$14)</f>
        <v/>
      </c>
      <c r="D121" s="47">
        <f>IFERROR(IF(H120&lt;=0,0,ABS(PMT(C121/12,306,-H120))),0)</f>
        <v/>
      </c>
      <c r="E121" s="47">
        <f>IF(H120&lt;=0,0,H120*C121/12)</f>
        <v/>
      </c>
      <c r="F121" s="47">
        <f>IF(D121=0,0,D121-E121)</f>
        <v/>
      </c>
      <c r="G121" s="49" t="n"/>
      <c r="H121" s="75">
        <f>MAX(H120-F121-IFERROR(G121,0),0)</f>
        <v/>
      </c>
      <c r="I121" s="46" t="n"/>
      <c r="J121" s="116" t="n"/>
    </row>
    <row r="122" ht="18" customHeight="1">
      <c r="A122" s="32" t="n">
        <v>56</v>
      </c>
      <c r="B122" s="31">
        <f>DATE(YEAR($C$6),MONTH($C$6)+A122,MIN(30,DAY(EOMONTH(DATE(YEAR($C$6),MONTH($C$6)+A122,1),0))))</f>
        <v/>
      </c>
      <c r="C122" s="114">
        <f>IFERROR(INDEX($B$14:$B$53,MATCH(MAXIFS($A$14:$A$53,$A$14:$A$53,"&lt;="&amp;B122),$A$14:$A$53,0)),$B$14)</f>
        <v/>
      </c>
      <c r="D122" s="49">
        <f>IFERROR(IF(H121&lt;=0,0,ABS(PMT(C122/12,305,-H121))),0)</f>
        <v/>
      </c>
      <c r="E122" s="49">
        <f>IF(H121&lt;=0,0,H121*C122/12)</f>
        <v/>
      </c>
      <c r="F122" s="49">
        <f>IF(D122=0,0,D122-E122)</f>
        <v/>
      </c>
      <c r="G122" s="49" t="n"/>
      <c r="H122" s="125">
        <f>MAX(H121-F122-IFERROR(G122,0),0)</f>
        <v/>
      </c>
      <c r="I122" s="32" t="n"/>
      <c r="J122" s="101" t="n"/>
    </row>
    <row r="123" ht="18" customHeight="1">
      <c r="A123" s="46" t="n">
        <v>57</v>
      </c>
      <c r="B123" s="124">
        <f>DATE(YEAR($C$6),MONTH($C$6)+A123,MIN(30,DAY(EOMONTH(DATE(YEAR($C$6),MONTH($C$6)+A123,1),0))))</f>
        <v/>
      </c>
      <c r="C123" s="115">
        <f>IFERROR(INDEX($B$14:$B$53,MATCH(MAXIFS($A$14:$A$53,$A$14:$A$53,"&lt;="&amp;B123),$A$14:$A$53,0)),$B$14)</f>
        <v/>
      </c>
      <c r="D123" s="47">
        <f>IFERROR(IF(H122&lt;=0,0,ABS(PMT(C123/12,304,-H122))),0)</f>
        <v/>
      </c>
      <c r="E123" s="47">
        <f>IF(H122&lt;=0,0,H122*C123/12)</f>
        <v/>
      </c>
      <c r="F123" s="47">
        <f>IF(D123=0,0,D123-E123)</f>
        <v/>
      </c>
      <c r="G123" s="49" t="n"/>
      <c r="H123" s="75">
        <f>MAX(H122-F123-IFERROR(G123,0),0)</f>
        <v/>
      </c>
      <c r="I123" s="46" t="n"/>
      <c r="J123" s="116" t="n"/>
    </row>
    <row r="124" ht="18" customHeight="1">
      <c r="A124" s="32" t="n">
        <v>58</v>
      </c>
      <c r="B124" s="31">
        <f>DATE(YEAR($C$6),MONTH($C$6)+A124,MIN(30,DAY(EOMONTH(DATE(YEAR($C$6),MONTH($C$6)+A124,1),0))))</f>
        <v/>
      </c>
      <c r="C124" s="114">
        <f>IFERROR(INDEX($B$14:$B$53,MATCH(MAXIFS($A$14:$A$53,$A$14:$A$53,"&lt;="&amp;B124),$A$14:$A$53,0)),$B$14)</f>
        <v/>
      </c>
      <c r="D124" s="49">
        <f>IFERROR(IF(H123&lt;=0,0,ABS(PMT(C124/12,303,-H123))),0)</f>
        <v/>
      </c>
      <c r="E124" s="49">
        <f>IF(H123&lt;=0,0,H123*C124/12)</f>
        <v/>
      </c>
      <c r="F124" s="49">
        <f>IF(D124=0,0,D124-E124)</f>
        <v/>
      </c>
      <c r="G124" s="49" t="n"/>
      <c r="H124" s="125">
        <f>MAX(H123-F124-IFERROR(G124,0),0)</f>
        <v/>
      </c>
      <c r="I124" s="32" t="n"/>
      <c r="J124" s="101" t="n"/>
    </row>
    <row r="125" ht="18" customHeight="1">
      <c r="A125" s="46" t="n">
        <v>59</v>
      </c>
      <c r="B125" s="124">
        <f>DATE(YEAR($C$6),MONTH($C$6)+A125,MIN(30,DAY(EOMONTH(DATE(YEAR($C$6),MONTH($C$6)+A125,1),0))))</f>
        <v/>
      </c>
      <c r="C125" s="115">
        <f>IFERROR(INDEX($B$14:$B$53,MATCH(MAXIFS($A$14:$A$53,$A$14:$A$53,"&lt;="&amp;B125),$A$14:$A$53,0)),$B$14)</f>
        <v/>
      </c>
      <c r="D125" s="47">
        <f>IFERROR(IF(H124&lt;=0,0,ABS(PMT(C125/12,302,-H124))),0)</f>
        <v/>
      </c>
      <c r="E125" s="47">
        <f>IF(H124&lt;=0,0,H124*C125/12)</f>
        <v/>
      </c>
      <c r="F125" s="47">
        <f>IF(D125=0,0,D125-E125)</f>
        <v/>
      </c>
      <c r="G125" s="49" t="n"/>
      <c r="H125" s="75">
        <f>MAX(H124-F125-IFERROR(G125,0),0)</f>
        <v/>
      </c>
      <c r="I125" s="46" t="n"/>
      <c r="J125" s="116" t="n"/>
    </row>
    <row r="126" ht="18" customHeight="1">
      <c r="A126" s="32" t="n">
        <v>60</v>
      </c>
      <c r="B126" s="31">
        <f>DATE(YEAR($C$6),MONTH($C$6)+A126,MIN(30,DAY(EOMONTH(DATE(YEAR($C$6),MONTH($C$6)+A126,1),0))))</f>
        <v/>
      </c>
      <c r="C126" s="114">
        <f>IFERROR(INDEX($B$14:$B$53,MATCH(MAXIFS($A$14:$A$53,$A$14:$A$53,"&lt;="&amp;B126),$A$14:$A$53,0)),$B$14)</f>
        <v/>
      </c>
      <c r="D126" s="49">
        <f>IFERROR(IF(H125&lt;=0,0,ABS(PMT(C126/12,301,-H125))),0)</f>
        <v/>
      </c>
      <c r="E126" s="49">
        <f>IF(H125&lt;=0,0,H125*C126/12)</f>
        <v/>
      </c>
      <c r="F126" s="49">
        <f>IF(D126=0,0,D126-E126)</f>
        <v/>
      </c>
      <c r="G126" s="49" t="n"/>
      <c r="H126" s="125">
        <f>MAX(H125-F126-IFERROR(G126,0),0)</f>
        <v/>
      </c>
      <c r="I126" s="32" t="n"/>
      <c r="J126" s="101" t="n"/>
    </row>
    <row r="127" ht="18" customHeight="1">
      <c r="A127" s="46" t="n">
        <v>61</v>
      </c>
      <c r="B127" s="124">
        <f>DATE(YEAR($C$6),MONTH($C$6)+A127,MIN(30,DAY(EOMONTH(DATE(YEAR($C$6),MONTH($C$6)+A127,1),0))))</f>
        <v/>
      </c>
      <c r="C127" s="115">
        <f>IFERROR(INDEX($B$14:$B$53,MATCH(MAXIFS($A$14:$A$53,$A$14:$A$53,"&lt;="&amp;B127),$A$14:$A$53,0)),$B$14)</f>
        <v/>
      </c>
      <c r="D127" s="47">
        <f>IFERROR(IF(H126&lt;=0,0,ABS(PMT(C127/12,300,-H126))),0)</f>
        <v/>
      </c>
      <c r="E127" s="47">
        <f>IF(H126&lt;=0,0,H126*C127/12)</f>
        <v/>
      </c>
      <c r="F127" s="47">
        <f>IF(D127=0,0,D127-E127)</f>
        <v/>
      </c>
      <c r="G127" s="49" t="n"/>
      <c r="H127" s="75">
        <f>MAX(H126-F127-IFERROR(G127,0),0)</f>
        <v/>
      </c>
      <c r="I127" s="46" t="n"/>
      <c r="J127" s="116" t="n"/>
    </row>
    <row r="128" ht="18" customHeight="1">
      <c r="A128" s="32" t="n">
        <v>62</v>
      </c>
      <c r="B128" s="31">
        <f>DATE(YEAR($C$6),MONTH($C$6)+A128,MIN(30,DAY(EOMONTH(DATE(YEAR($C$6),MONTH($C$6)+A128,1),0))))</f>
        <v/>
      </c>
      <c r="C128" s="114">
        <f>IFERROR(INDEX($B$14:$B$53,MATCH(MAXIFS($A$14:$A$53,$A$14:$A$53,"&lt;="&amp;B128),$A$14:$A$53,0)),$B$14)</f>
        <v/>
      </c>
      <c r="D128" s="49">
        <f>IFERROR(IF(H127&lt;=0,0,ABS(PMT(C128/12,299,-H127))),0)</f>
        <v/>
      </c>
      <c r="E128" s="49">
        <f>IF(H127&lt;=0,0,H127*C128/12)</f>
        <v/>
      </c>
      <c r="F128" s="49">
        <f>IF(D128=0,0,D128-E128)</f>
        <v/>
      </c>
      <c r="G128" s="49" t="n"/>
      <c r="H128" s="125">
        <f>MAX(H127-F128-IFERROR(G128,0),0)</f>
        <v/>
      </c>
      <c r="I128" s="32" t="n"/>
      <c r="J128" s="101" t="n"/>
    </row>
    <row r="129" ht="18" customHeight="1">
      <c r="A129" s="46" t="n">
        <v>63</v>
      </c>
      <c r="B129" s="124">
        <f>DATE(YEAR($C$6),MONTH($C$6)+A129,MIN(30,DAY(EOMONTH(DATE(YEAR($C$6),MONTH($C$6)+A129,1),0))))</f>
        <v/>
      </c>
      <c r="C129" s="115">
        <f>IFERROR(INDEX($B$14:$B$53,MATCH(MAXIFS($A$14:$A$53,$A$14:$A$53,"&lt;="&amp;B129),$A$14:$A$53,0)),$B$14)</f>
        <v/>
      </c>
      <c r="D129" s="47">
        <f>IFERROR(IF(H128&lt;=0,0,ABS(PMT(C129/12,298,-H128))),0)</f>
        <v/>
      </c>
      <c r="E129" s="47">
        <f>IF(H128&lt;=0,0,H128*C129/12)</f>
        <v/>
      </c>
      <c r="F129" s="47">
        <f>IF(D129=0,0,D129-E129)</f>
        <v/>
      </c>
      <c r="G129" s="49" t="n"/>
      <c r="H129" s="75">
        <f>MAX(H128-F129-IFERROR(G129,0),0)</f>
        <v/>
      </c>
      <c r="I129" s="46" t="n"/>
      <c r="J129" s="116" t="n"/>
    </row>
    <row r="130" ht="18" customHeight="1">
      <c r="A130" s="32" t="n">
        <v>64</v>
      </c>
      <c r="B130" s="31">
        <f>DATE(YEAR($C$6),MONTH($C$6)+A130,MIN(30,DAY(EOMONTH(DATE(YEAR($C$6),MONTH($C$6)+A130,1),0))))</f>
        <v/>
      </c>
      <c r="C130" s="114">
        <f>IFERROR(INDEX($B$14:$B$53,MATCH(MAXIFS($A$14:$A$53,$A$14:$A$53,"&lt;="&amp;B130),$A$14:$A$53,0)),$B$14)</f>
        <v/>
      </c>
      <c r="D130" s="49">
        <f>IFERROR(IF(H129&lt;=0,0,ABS(PMT(C130/12,297,-H129))),0)</f>
        <v/>
      </c>
      <c r="E130" s="49">
        <f>IF(H129&lt;=0,0,H129*C130/12)</f>
        <v/>
      </c>
      <c r="F130" s="49">
        <f>IF(D130=0,0,D130-E130)</f>
        <v/>
      </c>
      <c r="G130" s="49" t="n"/>
      <c r="H130" s="125">
        <f>MAX(H129-F130-IFERROR(G130,0),0)</f>
        <v/>
      </c>
      <c r="I130" s="32" t="n"/>
      <c r="J130" s="101" t="n"/>
    </row>
    <row r="131" ht="18" customHeight="1">
      <c r="A131" s="46" t="n">
        <v>65</v>
      </c>
      <c r="B131" s="124">
        <f>DATE(YEAR($C$6),MONTH($C$6)+A131,MIN(30,DAY(EOMONTH(DATE(YEAR($C$6),MONTH($C$6)+A131,1),0))))</f>
        <v/>
      </c>
      <c r="C131" s="115">
        <f>IFERROR(INDEX($B$14:$B$53,MATCH(MAXIFS($A$14:$A$53,$A$14:$A$53,"&lt;="&amp;B131),$A$14:$A$53,0)),$B$14)</f>
        <v/>
      </c>
      <c r="D131" s="47">
        <f>IFERROR(IF(H130&lt;=0,0,ABS(PMT(C131/12,296,-H130))),0)</f>
        <v/>
      </c>
      <c r="E131" s="47">
        <f>IF(H130&lt;=0,0,H130*C131/12)</f>
        <v/>
      </c>
      <c r="F131" s="47">
        <f>IF(D131=0,0,D131-E131)</f>
        <v/>
      </c>
      <c r="G131" s="49" t="n"/>
      <c r="H131" s="75">
        <f>MAX(H130-F131-IFERROR(G131,0),0)</f>
        <v/>
      </c>
      <c r="I131" s="46" t="n"/>
      <c r="J131" s="116" t="n"/>
    </row>
    <row r="132" ht="18" customHeight="1">
      <c r="A132" s="32" t="n">
        <v>66</v>
      </c>
      <c r="B132" s="31">
        <f>DATE(YEAR($C$6),MONTH($C$6)+A132,MIN(30,DAY(EOMONTH(DATE(YEAR($C$6),MONTH($C$6)+A132,1),0))))</f>
        <v/>
      </c>
      <c r="C132" s="114">
        <f>IFERROR(INDEX($B$14:$B$53,MATCH(MAXIFS($A$14:$A$53,$A$14:$A$53,"&lt;="&amp;B132),$A$14:$A$53,0)),$B$14)</f>
        <v/>
      </c>
      <c r="D132" s="49">
        <f>IFERROR(IF(H131&lt;=0,0,ABS(PMT(C132/12,295,-H131))),0)</f>
        <v/>
      </c>
      <c r="E132" s="49">
        <f>IF(H131&lt;=0,0,H131*C132/12)</f>
        <v/>
      </c>
      <c r="F132" s="49">
        <f>IF(D132=0,0,D132-E132)</f>
        <v/>
      </c>
      <c r="G132" s="49" t="n"/>
      <c r="H132" s="125">
        <f>MAX(H131-F132-IFERROR(G132,0),0)</f>
        <v/>
      </c>
      <c r="I132" s="32" t="n"/>
      <c r="J132" s="101" t="n"/>
    </row>
    <row r="133" ht="18" customHeight="1">
      <c r="A133" s="46" t="n">
        <v>67</v>
      </c>
      <c r="B133" s="124">
        <f>DATE(YEAR($C$6),MONTH($C$6)+A133,MIN(30,DAY(EOMONTH(DATE(YEAR($C$6),MONTH($C$6)+A133,1),0))))</f>
        <v/>
      </c>
      <c r="C133" s="115">
        <f>IFERROR(INDEX($B$14:$B$53,MATCH(MAXIFS($A$14:$A$53,$A$14:$A$53,"&lt;="&amp;B133),$A$14:$A$53,0)),$B$14)</f>
        <v/>
      </c>
      <c r="D133" s="47">
        <f>IFERROR(IF(H132&lt;=0,0,ABS(PMT(C133/12,294,-H132))),0)</f>
        <v/>
      </c>
      <c r="E133" s="47">
        <f>IF(H132&lt;=0,0,H132*C133/12)</f>
        <v/>
      </c>
      <c r="F133" s="47">
        <f>IF(D133=0,0,D133-E133)</f>
        <v/>
      </c>
      <c r="G133" s="49" t="n"/>
      <c r="H133" s="75">
        <f>MAX(H132-F133-IFERROR(G133,0),0)</f>
        <v/>
      </c>
      <c r="I133" s="46" t="n"/>
      <c r="J133" s="116" t="n"/>
    </row>
    <row r="134" ht="18" customHeight="1">
      <c r="A134" s="32" t="n">
        <v>68</v>
      </c>
      <c r="B134" s="31">
        <f>DATE(YEAR($C$6),MONTH($C$6)+A134,MIN(30,DAY(EOMONTH(DATE(YEAR($C$6),MONTH($C$6)+A134,1),0))))</f>
        <v/>
      </c>
      <c r="C134" s="114">
        <f>IFERROR(INDEX($B$14:$B$53,MATCH(MAXIFS($A$14:$A$53,$A$14:$A$53,"&lt;="&amp;B134),$A$14:$A$53,0)),$B$14)</f>
        <v/>
      </c>
      <c r="D134" s="49">
        <f>IFERROR(IF(H133&lt;=0,0,ABS(PMT(C134/12,293,-H133))),0)</f>
        <v/>
      </c>
      <c r="E134" s="49">
        <f>IF(H133&lt;=0,0,H133*C134/12)</f>
        <v/>
      </c>
      <c r="F134" s="49">
        <f>IF(D134=0,0,D134-E134)</f>
        <v/>
      </c>
      <c r="G134" s="49" t="n"/>
      <c r="H134" s="125">
        <f>MAX(H133-F134-IFERROR(G134,0),0)</f>
        <v/>
      </c>
      <c r="I134" s="32" t="n"/>
      <c r="J134" s="101" t="n"/>
    </row>
    <row r="135" ht="18" customHeight="1">
      <c r="A135" s="46" t="n">
        <v>69</v>
      </c>
      <c r="B135" s="124">
        <f>DATE(YEAR($C$6),MONTH($C$6)+A135,MIN(30,DAY(EOMONTH(DATE(YEAR($C$6),MONTH($C$6)+A135,1),0))))</f>
        <v/>
      </c>
      <c r="C135" s="115">
        <f>IFERROR(INDEX($B$14:$B$53,MATCH(MAXIFS($A$14:$A$53,$A$14:$A$53,"&lt;="&amp;B135),$A$14:$A$53,0)),$B$14)</f>
        <v/>
      </c>
      <c r="D135" s="47">
        <f>IFERROR(IF(H134&lt;=0,0,ABS(PMT(C135/12,292,-H134))),0)</f>
        <v/>
      </c>
      <c r="E135" s="47">
        <f>IF(H134&lt;=0,0,H134*C135/12)</f>
        <v/>
      </c>
      <c r="F135" s="47">
        <f>IF(D135=0,0,D135-E135)</f>
        <v/>
      </c>
      <c r="G135" s="49" t="n"/>
      <c r="H135" s="75">
        <f>MAX(H134-F135-IFERROR(G135,0),0)</f>
        <v/>
      </c>
      <c r="I135" s="46" t="n"/>
      <c r="J135" s="116" t="n"/>
    </row>
    <row r="136" ht="18" customHeight="1">
      <c r="A136" s="32" t="n">
        <v>70</v>
      </c>
      <c r="B136" s="31">
        <f>DATE(YEAR($C$6),MONTH($C$6)+A136,MIN(30,DAY(EOMONTH(DATE(YEAR($C$6),MONTH($C$6)+A136,1),0))))</f>
        <v/>
      </c>
      <c r="C136" s="114">
        <f>IFERROR(INDEX($B$14:$B$53,MATCH(MAXIFS($A$14:$A$53,$A$14:$A$53,"&lt;="&amp;B136),$A$14:$A$53,0)),$B$14)</f>
        <v/>
      </c>
      <c r="D136" s="49">
        <f>IFERROR(IF(H135&lt;=0,0,ABS(PMT(C136/12,291,-H135))),0)</f>
        <v/>
      </c>
      <c r="E136" s="49">
        <f>IF(H135&lt;=0,0,H135*C136/12)</f>
        <v/>
      </c>
      <c r="F136" s="49">
        <f>IF(D136=0,0,D136-E136)</f>
        <v/>
      </c>
      <c r="G136" s="49" t="n"/>
      <c r="H136" s="125">
        <f>MAX(H135-F136-IFERROR(G136,0),0)</f>
        <v/>
      </c>
      <c r="I136" s="32" t="n"/>
      <c r="J136" s="101" t="n"/>
    </row>
    <row r="137" ht="18" customHeight="1">
      <c r="A137" s="46" t="n">
        <v>71</v>
      </c>
      <c r="B137" s="124">
        <f>DATE(YEAR($C$6),MONTH($C$6)+A137,MIN(30,DAY(EOMONTH(DATE(YEAR($C$6),MONTH($C$6)+A137,1),0))))</f>
        <v/>
      </c>
      <c r="C137" s="115">
        <f>IFERROR(INDEX($B$14:$B$53,MATCH(MAXIFS($A$14:$A$53,$A$14:$A$53,"&lt;="&amp;B137),$A$14:$A$53,0)),$B$14)</f>
        <v/>
      </c>
      <c r="D137" s="47">
        <f>IFERROR(IF(H136&lt;=0,0,ABS(PMT(C137/12,290,-H136))),0)</f>
        <v/>
      </c>
      <c r="E137" s="47">
        <f>IF(H136&lt;=0,0,H136*C137/12)</f>
        <v/>
      </c>
      <c r="F137" s="47">
        <f>IF(D137=0,0,D137-E137)</f>
        <v/>
      </c>
      <c r="G137" s="49" t="n"/>
      <c r="H137" s="75">
        <f>MAX(H136-F137-IFERROR(G137,0),0)</f>
        <v/>
      </c>
      <c r="I137" s="46" t="n"/>
      <c r="J137" s="116" t="n"/>
    </row>
    <row r="138" ht="18" customHeight="1">
      <c r="A138" s="32" t="n">
        <v>72</v>
      </c>
      <c r="B138" s="31">
        <f>DATE(YEAR($C$6),MONTH($C$6)+A138,MIN(30,DAY(EOMONTH(DATE(YEAR($C$6),MONTH($C$6)+A138,1),0))))</f>
        <v/>
      </c>
      <c r="C138" s="114">
        <f>IFERROR(INDEX($B$14:$B$53,MATCH(MAXIFS($A$14:$A$53,$A$14:$A$53,"&lt;="&amp;B138),$A$14:$A$53,0)),$B$14)</f>
        <v/>
      </c>
      <c r="D138" s="49">
        <f>IFERROR(IF(H137&lt;=0,0,ABS(PMT(C138/12,289,-H137))),0)</f>
        <v/>
      </c>
      <c r="E138" s="49">
        <f>IF(H137&lt;=0,0,H137*C138/12)</f>
        <v/>
      </c>
      <c r="F138" s="49">
        <f>IF(D138=0,0,D138-E138)</f>
        <v/>
      </c>
      <c r="G138" s="49" t="n"/>
      <c r="H138" s="125">
        <f>MAX(H137-F138-IFERROR(G138,0),0)</f>
        <v/>
      </c>
      <c r="I138" s="32" t="n"/>
      <c r="J138" s="101" t="n"/>
    </row>
    <row r="139" ht="18" customHeight="1">
      <c r="A139" s="46" t="n">
        <v>73</v>
      </c>
      <c r="B139" s="124">
        <f>DATE(YEAR($C$6),MONTH($C$6)+A139,MIN(30,DAY(EOMONTH(DATE(YEAR($C$6),MONTH($C$6)+A139,1),0))))</f>
        <v/>
      </c>
      <c r="C139" s="115">
        <f>IFERROR(INDEX($B$14:$B$53,MATCH(MAXIFS($A$14:$A$53,$A$14:$A$53,"&lt;="&amp;B139),$A$14:$A$53,0)),$B$14)</f>
        <v/>
      </c>
      <c r="D139" s="47">
        <f>IFERROR(IF(H138&lt;=0,0,ABS(PMT(C139/12,288,-H138))),0)</f>
        <v/>
      </c>
      <c r="E139" s="47">
        <f>IF(H138&lt;=0,0,H138*C139/12)</f>
        <v/>
      </c>
      <c r="F139" s="47">
        <f>IF(D139=0,0,D139-E139)</f>
        <v/>
      </c>
      <c r="G139" s="49" t="n"/>
      <c r="H139" s="75">
        <f>MAX(H138-F139-IFERROR(G139,0),0)</f>
        <v/>
      </c>
      <c r="I139" s="46" t="n"/>
      <c r="J139" s="116" t="n"/>
    </row>
    <row r="140" ht="18" customHeight="1">
      <c r="A140" s="32" t="n">
        <v>74</v>
      </c>
      <c r="B140" s="31">
        <f>DATE(YEAR($C$6),MONTH($C$6)+A140,MIN(30,DAY(EOMONTH(DATE(YEAR($C$6),MONTH($C$6)+A140,1),0))))</f>
        <v/>
      </c>
      <c r="C140" s="114">
        <f>IFERROR(INDEX($B$14:$B$53,MATCH(MAXIFS($A$14:$A$53,$A$14:$A$53,"&lt;="&amp;B140),$A$14:$A$53,0)),$B$14)</f>
        <v/>
      </c>
      <c r="D140" s="49">
        <f>IFERROR(IF(H139&lt;=0,0,ABS(PMT(C140/12,287,-H139))),0)</f>
        <v/>
      </c>
      <c r="E140" s="49">
        <f>IF(H139&lt;=0,0,H139*C140/12)</f>
        <v/>
      </c>
      <c r="F140" s="49">
        <f>IF(D140=0,0,D140-E140)</f>
        <v/>
      </c>
      <c r="G140" s="49" t="n"/>
      <c r="H140" s="125">
        <f>MAX(H139-F140-IFERROR(G140,0),0)</f>
        <v/>
      </c>
      <c r="I140" s="32" t="n"/>
      <c r="J140" s="101" t="n"/>
    </row>
    <row r="141" ht="18" customHeight="1">
      <c r="A141" s="46" t="n">
        <v>75</v>
      </c>
      <c r="B141" s="124">
        <f>DATE(YEAR($C$6),MONTH($C$6)+A141,MIN(30,DAY(EOMONTH(DATE(YEAR($C$6),MONTH($C$6)+A141,1),0))))</f>
        <v/>
      </c>
      <c r="C141" s="115">
        <f>IFERROR(INDEX($B$14:$B$53,MATCH(MAXIFS($A$14:$A$53,$A$14:$A$53,"&lt;="&amp;B141),$A$14:$A$53,0)),$B$14)</f>
        <v/>
      </c>
      <c r="D141" s="47">
        <f>IFERROR(IF(H140&lt;=0,0,ABS(PMT(C141/12,286,-H140))),0)</f>
        <v/>
      </c>
      <c r="E141" s="47">
        <f>IF(H140&lt;=0,0,H140*C141/12)</f>
        <v/>
      </c>
      <c r="F141" s="47">
        <f>IF(D141=0,0,D141-E141)</f>
        <v/>
      </c>
      <c r="G141" s="49" t="n"/>
      <c r="H141" s="75">
        <f>MAX(H140-F141-IFERROR(G141,0),0)</f>
        <v/>
      </c>
      <c r="I141" s="46" t="n"/>
      <c r="J141" s="116" t="n"/>
    </row>
    <row r="142" ht="18" customHeight="1">
      <c r="A142" s="32" t="n">
        <v>76</v>
      </c>
      <c r="B142" s="31">
        <f>DATE(YEAR($C$6),MONTH($C$6)+A142,MIN(30,DAY(EOMONTH(DATE(YEAR($C$6),MONTH($C$6)+A142,1),0))))</f>
        <v/>
      </c>
      <c r="C142" s="114">
        <f>IFERROR(INDEX($B$14:$B$53,MATCH(MAXIFS($A$14:$A$53,$A$14:$A$53,"&lt;="&amp;B142),$A$14:$A$53,0)),$B$14)</f>
        <v/>
      </c>
      <c r="D142" s="49">
        <f>IFERROR(IF(H141&lt;=0,0,ABS(PMT(C142/12,285,-H141))),0)</f>
        <v/>
      </c>
      <c r="E142" s="49">
        <f>IF(H141&lt;=0,0,H141*C142/12)</f>
        <v/>
      </c>
      <c r="F142" s="49">
        <f>IF(D142=0,0,D142-E142)</f>
        <v/>
      </c>
      <c r="G142" s="49" t="n"/>
      <c r="H142" s="125">
        <f>MAX(H141-F142-IFERROR(G142,0),0)</f>
        <v/>
      </c>
      <c r="I142" s="32" t="n"/>
      <c r="J142" s="101" t="n"/>
    </row>
    <row r="143" ht="18" customHeight="1">
      <c r="A143" s="46" t="n">
        <v>77</v>
      </c>
      <c r="B143" s="124">
        <f>DATE(YEAR($C$6),MONTH($C$6)+A143,MIN(30,DAY(EOMONTH(DATE(YEAR($C$6),MONTH($C$6)+A143,1),0))))</f>
        <v/>
      </c>
      <c r="C143" s="115">
        <f>IFERROR(INDEX($B$14:$B$53,MATCH(MAXIFS($A$14:$A$53,$A$14:$A$53,"&lt;="&amp;B143),$A$14:$A$53,0)),$B$14)</f>
        <v/>
      </c>
      <c r="D143" s="47">
        <f>IFERROR(IF(H142&lt;=0,0,ABS(PMT(C143/12,284,-H142))),0)</f>
        <v/>
      </c>
      <c r="E143" s="47">
        <f>IF(H142&lt;=0,0,H142*C143/12)</f>
        <v/>
      </c>
      <c r="F143" s="47">
        <f>IF(D143=0,0,D143-E143)</f>
        <v/>
      </c>
      <c r="G143" s="49" t="n"/>
      <c r="H143" s="75">
        <f>MAX(H142-F143-IFERROR(G143,0),0)</f>
        <v/>
      </c>
      <c r="I143" s="46" t="n"/>
      <c r="J143" s="116" t="n"/>
    </row>
    <row r="144" ht="18" customHeight="1">
      <c r="A144" s="32" t="n">
        <v>78</v>
      </c>
      <c r="B144" s="31">
        <f>DATE(YEAR($C$6),MONTH($C$6)+A144,MIN(30,DAY(EOMONTH(DATE(YEAR($C$6),MONTH($C$6)+A144,1),0))))</f>
        <v/>
      </c>
      <c r="C144" s="114">
        <f>IFERROR(INDEX($B$14:$B$53,MATCH(MAXIFS($A$14:$A$53,$A$14:$A$53,"&lt;="&amp;B144),$A$14:$A$53,0)),$B$14)</f>
        <v/>
      </c>
      <c r="D144" s="49">
        <f>IFERROR(IF(H143&lt;=0,0,ABS(PMT(C144/12,283,-H143))),0)</f>
        <v/>
      </c>
      <c r="E144" s="49">
        <f>IF(H143&lt;=0,0,H143*C144/12)</f>
        <v/>
      </c>
      <c r="F144" s="49">
        <f>IF(D144=0,0,D144-E144)</f>
        <v/>
      </c>
      <c r="G144" s="49" t="n"/>
      <c r="H144" s="125">
        <f>MAX(H143-F144-IFERROR(G144,0),0)</f>
        <v/>
      </c>
      <c r="I144" s="32" t="n"/>
      <c r="J144" s="101" t="n"/>
    </row>
    <row r="145" ht="18" customHeight="1">
      <c r="A145" s="46" t="n">
        <v>79</v>
      </c>
      <c r="B145" s="124">
        <f>DATE(YEAR($C$6),MONTH($C$6)+A145,MIN(30,DAY(EOMONTH(DATE(YEAR($C$6),MONTH($C$6)+A145,1),0))))</f>
        <v/>
      </c>
      <c r="C145" s="115">
        <f>IFERROR(INDEX($B$14:$B$53,MATCH(MAXIFS($A$14:$A$53,$A$14:$A$53,"&lt;="&amp;B145),$A$14:$A$53,0)),$B$14)</f>
        <v/>
      </c>
      <c r="D145" s="47">
        <f>IFERROR(IF(H144&lt;=0,0,ABS(PMT(C145/12,282,-H144))),0)</f>
        <v/>
      </c>
      <c r="E145" s="47">
        <f>IF(H144&lt;=0,0,H144*C145/12)</f>
        <v/>
      </c>
      <c r="F145" s="47">
        <f>IF(D145=0,0,D145-E145)</f>
        <v/>
      </c>
      <c r="G145" s="49" t="n"/>
      <c r="H145" s="75">
        <f>MAX(H144-F145-IFERROR(G145,0),0)</f>
        <v/>
      </c>
      <c r="I145" s="46" t="n"/>
      <c r="J145" s="116" t="n"/>
    </row>
    <row r="146" ht="18" customHeight="1">
      <c r="A146" s="32" t="n">
        <v>80</v>
      </c>
      <c r="B146" s="31">
        <f>DATE(YEAR($C$6),MONTH($C$6)+A146,MIN(30,DAY(EOMONTH(DATE(YEAR($C$6),MONTH($C$6)+A146,1),0))))</f>
        <v/>
      </c>
      <c r="C146" s="114">
        <f>IFERROR(INDEX($B$14:$B$53,MATCH(MAXIFS($A$14:$A$53,$A$14:$A$53,"&lt;="&amp;B146),$A$14:$A$53,0)),$B$14)</f>
        <v/>
      </c>
      <c r="D146" s="49">
        <f>IFERROR(IF(H145&lt;=0,0,ABS(PMT(C146/12,281,-H145))),0)</f>
        <v/>
      </c>
      <c r="E146" s="49">
        <f>IF(H145&lt;=0,0,H145*C146/12)</f>
        <v/>
      </c>
      <c r="F146" s="49">
        <f>IF(D146=0,0,D146-E146)</f>
        <v/>
      </c>
      <c r="G146" s="49" t="n"/>
      <c r="H146" s="125">
        <f>MAX(H145-F146-IFERROR(G146,0),0)</f>
        <v/>
      </c>
      <c r="I146" s="32" t="n"/>
      <c r="J146" s="101" t="n"/>
    </row>
    <row r="147" ht="18" customHeight="1">
      <c r="A147" s="46" t="n">
        <v>81</v>
      </c>
      <c r="B147" s="124">
        <f>DATE(YEAR($C$6),MONTH($C$6)+A147,MIN(30,DAY(EOMONTH(DATE(YEAR($C$6),MONTH($C$6)+A147,1),0))))</f>
        <v/>
      </c>
      <c r="C147" s="115">
        <f>IFERROR(INDEX($B$14:$B$53,MATCH(MAXIFS($A$14:$A$53,$A$14:$A$53,"&lt;="&amp;B147),$A$14:$A$53,0)),$B$14)</f>
        <v/>
      </c>
      <c r="D147" s="47">
        <f>IFERROR(IF(H146&lt;=0,0,ABS(PMT(C147/12,280,-H146))),0)</f>
        <v/>
      </c>
      <c r="E147" s="47">
        <f>IF(H146&lt;=0,0,H146*C147/12)</f>
        <v/>
      </c>
      <c r="F147" s="47">
        <f>IF(D147=0,0,D147-E147)</f>
        <v/>
      </c>
      <c r="G147" s="49" t="n"/>
      <c r="H147" s="75">
        <f>MAX(H146-F147-IFERROR(G147,0),0)</f>
        <v/>
      </c>
      <c r="I147" s="46" t="n"/>
      <c r="J147" s="116" t="n"/>
    </row>
    <row r="148" ht="18" customHeight="1">
      <c r="A148" s="32" t="n">
        <v>82</v>
      </c>
      <c r="B148" s="31">
        <f>DATE(YEAR($C$6),MONTH($C$6)+A148,MIN(30,DAY(EOMONTH(DATE(YEAR($C$6),MONTH($C$6)+A148,1),0))))</f>
        <v/>
      </c>
      <c r="C148" s="114">
        <f>IFERROR(INDEX($B$14:$B$53,MATCH(MAXIFS($A$14:$A$53,$A$14:$A$53,"&lt;="&amp;B148),$A$14:$A$53,0)),$B$14)</f>
        <v/>
      </c>
      <c r="D148" s="49">
        <f>IFERROR(IF(H147&lt;=0,0,ABS(PMT(C148/12,279,-H147))),0)</f>
        <v/>
      </c>
      <c r="E148" s="49">
        <f>IF(H147&lt;=0,0,H147*C148/12)</f>
        <v/>
      </c>
      <c r="F148" s="49">
        <f>IF(D148=0,0,D148-E148)</f>
        <v/>
      </c>
      <c r="G148" s="49" t="n"/>
      <c r="H148" s="125">
        <f>MAX(H147-F148-IFERROR(G148,0),0)</f>
        <v/>
      </c>
      <c r="I148" s="32" t="n"/>
      <c r="J148" s="101" t="n"/>
    </row>
    <row r="149" ht="18" customHeight="1">
      <c r="A149" s="46" t="n">
        <v>83</v>
      </c>
      <c r="B149" s="124">
        <f>DATE(YEAR($C$6),MONTH($C$6)+A149,MIN(30,DAY(EOMONTH(DATE(YEAR($C$6),MONTH($C$6)+A149,1),0))))</f>
        <v/>
      </c>
      <c r="C149" s="115">
        <f>IFERROR(INDEX($B$14:$B$53,MATCH(MAXIFS($A$14:$A$53,$A$14:$A$53,"&lt;="&amp;B149),$A$14:$A$53,0)),$B$14)</f>
        <v/>
      </c>
      <c r="D149" s="47">
        <f>IFERROR(IF(H148&lt;=0,0,ABS(PMT(C149/12,278,-H148))),0)</f>
        <v/>
      </c>
      <c r="E149" s="47">
        <f>IF(H148&lt;=0,0,H148*C149/12)</f>
        <v/>
      </c>
      <c r="F149" s="47">
        <f>IF(D149=0,0,D149-E149)</f>
        <v/>
      </c>
      <c r="G149" s="49" t="n"/>
      <c r="H149" s="75">
        <f>MAX(H148-F149-IFERROR(G149,0),0)</f>
        <v/>
      </c>
      <c r="I149" s="46" t="n"/>
      <c r="J149" s="116" t="n"/>
    </row>
    <row r="150" ht="18" customHeight="1">
      <c r="A150" s="32" t="n">
        <v>84</v>
      </c>
      <c r="B150" s="31">
        <f>DATE(YEAR($C$6),MONTH($C$6)+A150,MIN(30,DAY(EOMONTH(DATE(YEAR($C$6),MONTH($C$6)+A150,1),0))))</f>
        <v/>
      </c>
      <c r="C150" s="114">
        <f>IFERROR(INDEX($B$14:$B$53,MATCH(MAXIFS($A$14:$A$53,$A$14:$A$53,"&lt;="&amp;B150),$A$14:$A$53,0)),$B$14)</f>
        <v/>
      </c>
      <c r="D150" s="49">
        <f>IFERROR(IF(H149&lt;=0,0,ABS(PMT(C150/12,277,-H149))),0)</f>
        <v/>
      </c>
      <c r="E150" s="49">
        <f>IF(H149&lt;=0,0,H149*C150/12)</f>
        <v/>
      </c>
      <c r="F150" s="49">
        <f>IF(D150=0,0,D150-E150)</f>
        <v/>
      </c>
      <c r="G150" s="49" t="n"/>
      <c r="H150" s="125">
        <f>MAX(H149-F150-IFERROR(G150,0),0)</f>
        <v/>
      </c>
      <c r="I150" s="32" t="n"/>
      <c r="J150" s="101" t="n"/>
    </row>
    <row r="151" ht="18" customHeight="1">
      <c r="A151" s="46" t="n">
        <v>85</v>
      </c>
      <c r="B151" s="124">
        <f>DATE(YEAR($C$6),MONTH($C$6)+A151,MIN(30,DAY(EOMONTH(DATE(YEAR($C$6),MONTH($C$6)+A151,1),0))))</f>
        <v/>
      </c>
      <c r="C151" s="115">
        <f>IFERROR(INDEX($B$14:$B$53,MATCH(MAXIFS($A$14:$A$53,$A$14:$A$53,"&lt;="&amp;B151),$A$14:$A$53,0)),$B$14)</f>
        <v/>
      </c>
      <c r="D151" s="47">
        <f>IFERROR(IF(H150&lt;=0,0,ABS(PMT(C151/12,276,-H150))),0)</f>
        <v/>
      </c>
      <c r="E151" s="47">
        <f>IF(H150&lt;=0,0,H150*C151/12)</f>
        <v/>
      </c>
      <c r="F151" s="47">
        <f>IF(D151=0,0,D151-E151)</f>
        <v/>
      </c>
      <c r="G151" s="49" t="n"/>
      <c r="H151" s="75">
        <f>MAX(H150-F151-IFERROR(G151,0),0)</f>
        <v/>
      </c>
      <c r="I151" s="46" t="n"/>
      <c r="J151" s="116" t="n"/>
    </row>
    <row r="152" ht="18" customHeight="1">
      <c r="A152" s="32" t="n">
        <v>86</v>
      </c>
      <c r="B152" s="31">
        <f>DATE(YEAR($C$6),MONTH($C$6)+A152,MIN(30,DAY(EOMONTH(DATE(YEAR($C$6),MONTH($C$6)+A152,1),0))))</f>
        <v/>
      </c>
      <c r="C152" s="114">
        <f>IFERROR(INDEX($B$14:$B$53,MATCH(MAXIFS($A$14:$A$53,$A$14:$A$53,"&lt;="&amp;B152),$A$14:$A$53,0)),$B$14)</f>
        <v/>
      </c>
      <c r="D152" s="49">
        <f>IFERROR(IF(H151&lt;=0,0,ABS(PMT(C152/12,275,-H151))),0)</f>
        <v/>
      </c>
      <c r="E152" s="49">
        <f>IF(H151&lt;=0,0,H151*C152/12)</f>
        <v/>
      </c>
      <c r="F152" s="49">
        <f>IF(D152=0,0,D152-E152)</f>
        <v/>
      </c>
      <c r="G152" s="49" t="n"/>
      <c r="H152" s="125">
        <f>MAX(H151-F152-IFERROR(G152,0),0)</f>
        <v/>
      </c>
      <c r="I152" s="32" t="n"/>
      <c r="J152" s="101" t="n"/>
    </row>
    <row r="153" ht="18" customHeight="1">
      <c r="A153" s="46" t="n">
        <v>87</v>
      </c>
      <c r="B153" s="124">
        <f>DATE(YEAR($C$6),MONTH($C$6)+A153,MIN(30,DAY(EOMONTH(DATE(YEAR($C$6),MONTH($C$6)+A153,1),0))))</f>
        <v/>
      </c>
      <c r="C153" s="115">
        <f>IFERROR(INDEX($B$14:$B$53,MATCH(MAXIFS($A$14:$A$53,$A$14:$A$53,"&lt;="&amp;B153),$A$14:$A$53,0)),$B$14)</f>
        <v/>
      </c>
      <c r="D153" s="47">
        <f>IFERROR(IF(H152&lt;=0,0,ABS(PMT(C153/12,274,-H152))),0)</f>
        <v/>
      </c>
      <c r="E153" s="47">
        <f>IF(H152&lt;=0,0,H152*C153/12)</f>
        <v/>
      </c>
      <c r="F153" s="47">
        <f>IF(D153=0,0,D153-E153)</f>
        <v/>
      </c>
      <c r="G153" s="49" t="n"/>
      <c r="H153" s="75">
        <f>MAX(H152-F153-IFERROR(G153,0),0)</f>
        <v/>
      </c>
      <c r="I153" s="46" t="n"/>
      <c r="J153" s="116" t="n"/>
    </row>
    <row r="154" ht="18" customHeight="1">
      <c r="A154" s="32" t="n">
        <v>88</v>
      </c>
      <c r="B154" s="31">
        <f>DATE(YEAR($C$6),MONTH($C$6)+A154,MIN(30,DAY(EOMONTH(DATE(YEAR($C$6),MONTH($C$6)+A154,1),0))))</f>
        <v/>
      </c>
      <c r="C154" s="114">
        <f>IFERROR(INDEX($B$14:$B$53,MATCH(MAXIFS($A$14:$A$53,$A$14:$A$53,"&lt;="&amp;B154),$A$14:$A$53,0)),$B$14)</f>
        <v/>
      </c>
      <c r="D154" s="49">
        <f>IFERROR(IF(H153&lt;=0,0,ABS(PMT(C154/12,273,-H153))),0)</f>
        <v/>
      </c>
      <c r="E154" s="49">
        <f>IF(H153&lt;=0,0,H153*C154/12)</f>
        <v/>
      </c>
      <c r="F154" s="49">
        <f>IF(D154=0,0,D154-E154)</f>
        <v/>
      </c>
      <c r="G154" s="49" t="n"/>
      <c r="H154" s="125">
        <f>MAX(H153-F154-IFERROR(G154,0),0)</f>
        <v/>
      </c>
      <c r="I154" s="32" t="n"/>
      <c r="J154" s="101" t="n"/>
    </row>
    <row r="155" ht="18" customHeight="1">
      <c r="A155" s="46" t="n">
        <v>89</v>
      </c>
      <c r="B155" s="124">
        <f>DATE(YEAR($C$6),MONTH($C$6)+A155,MIN(30,DAY(EOMONTH(DATE(YEAR($C$6),MONTH($C$6)+A155,1),0))))</f>
        <v/>
      </c>
      <c r="C155" s="115">
        <f>IFERROR(INDEX($B$14:$B$53,MATCH(MAXIFS($A$14:$A$53,$A$14:$A$53,"&lt;="&amp;B155),$A$14:$A$53,0)),$B$14)</f>
        <v/>
      </c>
      <c r="D155" s="47">
        <f>IFERROR(IF(H154&lt;=0,0,ABS(PMT(C155/12,272,-H154))),0)</f>
        <v/>
      </c>
      <c r="E155" s="47">
        <f>IF(H154&lt;=0,0,H154*C155/12)</f>
        <v/>
      </c>
      <c r="F155" s="47">
        <f>IF(D155=0,0,D155-E155)</f>
        <v/>
      </c>
      <c r="G155" s="49" t="n"/>
      <c r="H155" s="75">
        <f>MAX(H154-F155-IFERROR(G155,0),0)</f>
        <v/>
      </c>
      <c r="I155" s="46" t="n"/>
      <c r="J155" s="116" t="n"/>
    </row>
    <row r="156" ht="18" customHeight="1">
      <c r="A156" s="32" t="n">
        <v>90</v>
      </c>
      <c r="B156" s="31">
        <f>DATE(YEAR($C$6),MONTH($C$6)+A156,MIN(30,DAY(EOMONTH(DATE(YEAR($C$6),MONTH($C$6)+A156,1),0))))</f>
        <v/>
      </c>
      <c r="C156" s="114">
        <f>IFERROR(INDEX($B$14:$B$53,MATCH(MAXIFS($A$14:$A$53,$A$14:$A$53,"&lt;="&amp;B156),$A$14:$A$53,0)),$B$14)</f>
        <v/>
      </c>
      <c r="D156" s="49">
        <f>IFERROR(IF(H155&lt;=0,0,ABS(PMT(C156/12,271,-H155))),0)</f>
        <v/>
      </c>
      <c r="E156" s="49">
        <f>IF(H155&lt;=0,0,H155*C156/12)</f>
        <v/>
      </c>
      <c r="F156" s="49">
        <f>IF(D156=0,0,D156-E156)</f>
        <v/>
      </c>
      <c r="G156" s="49" t="n"/>
      <c r="H156" s="125">
        <f>MAX(H155-F156-IFERROR(G156,0),0)</f>
        <v/>
      </c>
      <c r="I156" s="32" t="n"/>
      <c r="J156" s="101" t="n"/>
    </row>
    <row r="157" ht="18" customHeight="1">
      <c r="A157" s="46" t="n">
        <v>91</v>
      </c>
      <c r="B157" s="124">
        <f>DATE(YEAR($C$6),MONTH($C$6)+A157,MIN(30,DAY(EOMONTH(DATE(YEAR($C$6),MONTH($C$6)+A157,1),0))))</f>
        <v/>
      </c>
      <c r="C157" s="115">
        <f>IFERROR(INDEX($B$14:$B$53,MATCH(MAXIFS($A$14:$A$53,$A$14:$A$53,"&lt;="&amp;B157),$A$14:$A$53,0)),$B$14)</f>
        <v/>
      </c>
      <c r="D157" s="47">
        <f>IFERROR(IF(H156&lt;=0,0,ABS(PMT(C157/12,270,-H156))),0)</f>
        <v/>
      </c>
      <c r="E157" s="47">
        <f>IF(H156&lt;=0,0,H156*C157/12)</f>
        <v/>
      </c>
      <c r="F157" s="47">
        <f>IF(D157=0,0,D157-E157)</f>
        <v/>
      </c>
      <c r="G157" s="49" t="n"/>
      <c r="H157" s="75">
        <f>MAX(H156-F157-IFERROR(G157,0),0)</f>
        <v/>
      </c>
      <c r="I157" s="46" t="n"/>
      <c r="J157" s="116" t="n"/>
    </row>
    <row r="158" ht="18" customHeight="1">
      <c r="A158" s="32" t="n">
        <v>92</v>
      </c>
      <c r="B158" s="31">
        <f>DATE(YEAR($C$6),MONTH($C$6)+A158,MIN(30,DAY(EOMONTH(DATE(YEAR($C$6),MONTH($C$6)+A158,1),0))))</f>
        <v/>
      </c>
      <c r="C158" s="114">
        <f>IFERROR(INDEX($B$14:$B$53,MATCH(MAXIFS($A$14:$A$53,$A$14:$A$53,"&lt;="&amp;B158),$A$14:$A$53,0)),$B$14)</f>
        <v/>
      </c>
      <c r="D158" s="49">
        <f>IFERROR(IF(H157&lt;=0,0,ABS(PMT(C158/12,269,-H157))),0)</f>
        <v/>
      </c>
      <c r="E158" s="49">
        <f>IF(H157&lt;=0,0,H157*C158/12)</f>
        <v/>
      </c>
      <c r="F158" s="49">
        <f>IF(D158=0,0,D158-E158)</f>
        <v/>
      </c>
      <c r="G158" s="49" t="n"/>
      <c r="H158" s="125">
        <f>MAX(H157-F158-IFERROR(G158,0),0)</f>
        <v/>
      </c>
      <c r="I158" s="32" t="n"/>
      <c r="J158" s="101" t="n"/>
    </row>
    <row r="159" ht="18" customHeight="1">
      <c r="A159" s="46" t="n">
        <v>93</v>
      </c>
      <c r="B159" s="124">
        <f>DATE(YEAR($C$6),MONTH($C$6)+A159,MIN(30,DAY(EOMONTH(DATE(YEAR($C$6),MONTH($C$6)+A159,1),0))))</f>
        <v/>
      </c>
      <c r="C159" s="115">
        <f>IFERROR(INDEX($B$14:$B$53,MATCH(MAXIFS($A$14:$A$53,$A$14:$A$53,"&lt;="&amp;B159),$A$14:$A$53,0)),$B$14)</f>
        <v/>
      </c>
      <c r="D159" s="47">
        <f>IFERROR(IF(H158&lt;=0,0,ABS(PMT(C159/12,268,-H158))),0)</f>
        <v/>
      </c>
      <c r="E159" s="47">
        <f>IF(H158&lt;=0,0,H158*C159/12)</f>
        <v/>
      </c>
      <c r="F159" s="47">
        <f>IF(D159=0,0,D159-E159)</f>
        <v/>
      </c>
      <c r="G159" s="49" t="n"/>
      <c r="H159" s="75">
        <f>MAX(H158-F159-IFERROR(G159,0),0)</f>
        <v/>
      </c>
      <c r="I159" s="46" t="n"/>
      <c r="J159" s="116" t="n"/>
    </row>
    <row r="160" ht="18" customHeight="1">
      <c r="A160" s="32" t="n">
        <v>94</v>
      </c>
      <c r="B160" s="31">
        <f>DATE(YEAR($C$6),MONTH($C$6)+A160,MIN(30,DAY(EOMONTH(DATE(YEAR($C$6),MONTH($C$6)+A160,1),0))))</f>
        <v/>
      </c>
      <c r="C160" s="114">
        <f>IFERROR(INDEX($B$14:$B$53,MATCH(MAXIFS($A$14:$A$53,$A$14:$A$53,"&lt;="&amp;B160),$A$14:$A$53,0)),$B$14)</f>
        <v/>
      </c>
      <c r="D160" s="49">
        <f>IFERROR(IF(H159&lt;=0,0,ABS(PMT(C160/12,267,-H159))),0)</f>
        <v/>
      </c>
      <c r="E160" s="49">
        <f>IF(H159&lt;=0,0,H159*C160/12)</f>
        <v/>
      </c>
      <c r="F160" s="49">
        <f>IF(D160=0,0,D160-E160)</f>
        <v/>
      </c>
      <c r="G160" s="49" t="n"/>
      <c r="H160" s="125">
        <f>MAX(H159-F160-IFERROR(G160,0),0)</f>
        <v/>
      </c>
      <c r="I160" s="32" t="n"/>
      <c r="J160" s="101" t="n"/>
    </row>
    <row r="161" ht="18" customHeight="1">
      <c r="A161" s="46" t="n">
        <v>95</v>
      </c>
      <c r="B161" s="124">
        <f>DATE(YEAR($C$6),MONTH($C$6)+A161,MIN(30,DAY(EOMONTH(DATE(YEAR($C$6),MONTH($C$6)+A161,1),0))))</f>
        <v/>
      </c>
      <c r="C161" s="115">
        <f>IFERROR(INDEX($B$14:$B$53,MATCH(MAXIFS($A$14:$A$53,$A$14:$A$53,"&lt;="&amp;B161),$A$14:$A$53,0)),$B$14)</f>
        <v/>
      </c>
      <c r="D161" s="47">
        <f>IFERROR(IF(H160&lt;=0,0,ABS(PMT(C161/12,266,-H160))),0)</f>
        <v/>
      </c>
      <c r="E161" s="47">
        <f>IF(H160&lt;=0,0,H160*C161/12)</f>
        <v/>
      </c>
      <c r="F161" s="47">
        <f>IF(D161=0,0,D161-E161)</f>
        <v/>
      </c>
      <c r="G161" s="49" t="n"/>
      <c r="H161" s="75">
        <f>MAX(H160-F161-IFERROR(G161,0),0)</f>
        <v/>
      </c>
      <c r="I161" s="46" t="n"/>
      <c r="J161" s="116" t="n"/>
    </row>
    <row r="162" ht="18" customHeight="1">
      <c r="A162" s="32" t="n">
        <v>96</v>
      </c>
      <c r="B162" s="31">
        <f>DATE(YEAR($C$6),MONTH($C$6)+A162,MIN(30,DAY(EOMONTH(DATE(YEAR($C$6),MONTH($C$6)+A162,1),0))))</f>
        <v/>
      </c>
      <c r="C162" s="114">
        <f>IFERROR(INDEX($B$14:$B$53,MATCH(MAXIFS($A$14:$A$53,$A$14:$A$53,"&lt;="&amp;B162),$A$14:$A$53,0)),$B$14)</f>
        <v/>
      </c>
      <c r="D162" s="49">
        <f>IFERROR(IF(H161&lt;=0,0,ABS(PMT(C162/12,265,-H161))),0)</f>
        <v/>
      </c>
      <c r="E162" s="49">
        <f>IF(H161&lt;=0,0,H161*C162/12)</f>
        <v/>
      </c>
      <c r="F162" s="49">
        <f>IF(D162=0,0,D162-E162)</f>
        <v/>
      </c>
      <c r="G162" s="49" t="n"/>
      <c r="H162" s="125">
        <f>MAX(H161-F162-IFERROR(G162,0),0)</f>
        <v/>
      </c>
      <c r="I162" s="32" t="n"/>
      <c r="J162" s="101" t="n"/>
    </row>
    <row r="163" ht="18" customHeight="1">
      <c r="A163" s="46" t="n">
        <v>97</v>
      </c>
      <c r="B163" s="124">
        <f>DATE(YEAR($C$6),MONTH($C$6)+A163,MIN(30,DAY(EOMONTH(DATE(YEAR($C$6),MONTH($C$6)+A163,1),0))))</f>
        <v/>
      </c>
      <c r="C163" s="115">
        <f>IFERROR(INDEX($B$14:$B$53,MATCH(MAXIFS($A$14:$A$53,$A$14:$A$53,"&lt;="&amp;B163),$A$14:$A$53,0)),$B$14)</f>
        <v/>
      </c>
      <c r="D163" s="47">
        <f>IFERROR(IF(H162&lt;=0,0,ABS(PMT(C163/12,264,-H162))),0)</f>
        <v/>
      </c>
      <c r="E163" s="47">
        <f>IF(H162&lt;=0,0,H162*C163/12)</f>
        <v/>
      </c>
      <c r="F163" s="47">
        <f>IF(D163=0,0,D163-E163)</f>
        <v/>
      </c>
      <c r="G163" s="49" t="n"/>
      <c r="H163" s="75">
        <f>MAX(H162-F163-IFERROR(G163,0),0)</f>
        <v/>
      </c>
      <c r="I163" s="46" t="n"/>
      <c r="J163" s="116" t="n"/>
    </row>
    <row r="164" ht="18" customHeight="1">
      <c r="A164" s="32" t="n">
        <v>98</v>
      </c>
      <c r="B164" s="31">
        <f>DATE(YEAR($C$6),MONTH($C$6)+A164,MIN(30,DAY(EOMONTH(DATE(YEAR($C$6),MONTH($C$6)+A164,1),0))))</f>
        <v/>
      </c>
      <c r="C164" s="114">
        <f>IFERROR(INDEX($B$14:$B$53,MATCH(MAXIFS($A$14:$A$53,$A$14:$A$53,"&lt;="&amp;B164),$A$14:$A$53,0)),$B$14)</f>
        <v/>
      </c>
      <c r="D164" s="49">
        <f>IFERROR(IF(H163&lt;=0,0,ABS(PMT(C164/12,263,-H163))),0)</f>
        <v/>
      </c>
      <c r="E164" s="49">
        <f>IF(H163&lt;=0,0,H163*C164/12)</f>
        <v/>
      </c>
      <c r="F164" s="49">
        <f>IF(D164=0,0,D164-E164)</f>
        <v/>
      </c>
      <c r="G164" s="49" t="n"/>
      <c r="H164" s="125">
        <f>MAX(H163-F164-IFERROR(G164,0),0)</f>
        <v/>
      </c>
      <c r="I164" s="32" t="n"/>
      <c r="J164" s="101" t="n"/>
    </row>
    <row r="165" ht="18" customHeight="1">
      <c r="A165" s="46" t="n">
        <v>99</v>
      </c>
      <c r="B165" s="124">
        <f>DATE(YEAR($C$6),MONTH($C$6)+A165,MIN(30,DAY(EOMONTH(DATE(YEAR($C$6),MONTH($C$6)+A165,1),0))))</f>
        <v/>
      </c>
      <c r="C165" s="115">
        <f>IFERROR(INDEX($B$14:$B$53,MATCH(MAXIFS($A$14:$A$53,$A$14:$A$53,"&lt;="&amp;B165),$A$14:$A$53,0)),$B$14)</f>
        <v/>
      </c>
      <c r="D165" s="47">
        <f>IFERROR(IF(H164&lt;=0,0,ABS(PMT(C165/12,262,-H164))),0)</f>
        <v/>
      </c>
      <c r="E165" s="47">
        <f>IF(H164&lt;=0,0,H164*C165/12)</f>
        <v/>
      </c>
      <c r="F165" s="47">
        <f>IF(D165=0,0,D165-E165)</f>
        <v/>
      </c>
      <c r="G165" s="49" t="n"/>
      <c r="H165" s="75">
        <f>MAX(H164-F165-IFERROR(G165,0),0)</f>
        <v/>
      </c>
      <c r="I165" s="46" t="n"/>
      <c r="J165" s="116" t="n"/>
    </row>
    <row r="166" ht="18" customHeight="1">
      <c r="A166" s="32" t="n">
        <v>100</v>
      </c>
      <c r="B166" s="31">
        <f>DATE(YEAR($C$6),MONTH($C$6)+A166,MIN(30,DAY(EOMONTH(DATE(YEAR($C$6),MONTH($C$6)+A166,1),0))))</f>
        <v/>
      </c>
      <c r="C166" s="114">
        <f>IFERROR(INDEX($B$14:$B$53,MATCH(MAXIFS($A$14:$A$53,$A$14:$A$53,"&lt;="&amp;B166),$A$14:$A$53,0)),$B$14)</f>
        <v/>
      </c>
      <c r="D166" s="49">
        <f>IFERROR(IF(H165&lt;=0,0,ABS(PMT(C166/12,261,-H165))),0)</f>
        <v/>
      </c>
      <c r="E166" s="49">
        <f>IF(H165&lt;=0,0,H165*C166/12)</f>
        <v/>
      </c>
      <c r="F166" s="49">
        <f>IF(D166=0,0,D166-E166)</f>
        <v/>
      </c>
      <c r="G166" s="49" t="n"/>
      <c r="H166" s="125">
        <f>MAX(H165-F166-IFERROR(G166,0),0)</f>
        <v/>
      </c>
      <c r="I166" s="32" t="n"/>
      <c r="J166" s="101" t="n"/>
    </row>
    <row r="167" ht="18" customHeight="1">
      <c r="A167" s="46" t="n">
        <v>101</v>
      </c>
      <c r="B167" s="124">
        <f>DATE(YEAR($C$6),MONTH($C$6)+A167,MIN(30,DAY(EOMONTH(DATE(YEAR($C$6),MONTH($C$6)+A167,1),0))))</f>
        <v/>
      </c>
      <c r="C167" s="115">
        <f>IFERROR(INDEX($B$14:$B$53,MATCH(MAXIFS($A$14:$A$53,$A$14:$A$53,"&lt;="&amp;B167),$A$14:$A$53,0)),$B$14)</f>
        <v/>
      </c>
      <c r="D167" s="47">
        <f>IFERROR(IF(H166&lt;=0,0,ABS(PMT(C167/12,260,-H166))),0)</f>
        <v/>
      </c>
      <c r="E167" s="47">
        <f>IF(H166&lt;=0,0,H166*C167/12)</f>
        <v/>
      </c>
      <c r="F167" s="47">
        <f>IF(D167=0,0,D167-E167)</f>
        <v/>
      </c>
      <c r="G167" s="49" t="n"/>
      <c r="H167" s="75">
        <f>MAX(H166-F167-IFERROR(G167,0),0)</f>
        <v/>
      </c>
      <c r="I167" s="46" t="n"/>
      <c r="J167" s="116" t="n"/>
    </row>
    <row r="168" ht="18" customHeight="1">
      <c r="A168" s="32" t="n">
        <v>102</v>
      </c>
      <c r="B168" s="31">
        <f>DATE(YEAR($C$6),MONTH($C$6)+A168,MIN(30,DAY(EOMONTH(DATE(YEAR($C$6),MONTH($C$6)+A168,1),0))))</f>
        <v/>
      </c>
      <c r="C168" s="114">
        <f>IFERROR(INDEX($B$14:$B$53,MATCH(MAXIFS($A$14:$A$53,$A$14:$A$53,"&lt;="&amp;B168),$A$14:$A$53,0)),$B$14)</f>
        <v/>
      </c>
      <c r="D168" s="49">
        <f>IFERROR(IF(H167&lt;=0,0,ABS(PMT(C168/12,259,-H167))),0)</f>
        <v/>
      </c>
      <c r="E168" s="49">
        <f>IF(H167&lt;=0,0,H167*C168/12)</f>
        <v/>
      </c>
      <c r="F168" s="49">
        <f>IF(D168=0,0,D168-E168)</f>
        <v/>
      </c>
      <c r="G168" s="49" t="n"/>
      <c r="H168" s="125">
        <f>MAX(H167-F168-IFERROR(G168,0),0)</f>
        <v/>
      </c>
      <c r="I168" s="32" t="n"/>
      <c r="J168" s="101" t="n"/>
    </row>
    <row r="169" ht="18" customHeight="1">
      <c r="A169" s="46" t="n">
        <v>103</v>
      </c>
      <c r="B169" s="124">
        <f>DATE(YEAR($C$6),MONTH($C$6)+A169,MIN(30,DAY(EOMONTH(DATE(YEAR($C$6),MONTH($C$6)+A169,1),0))))</f>
        <v/>
      </c>
      <c r="C169" s="115">
        <f>IFERROR(INDEX($B$14:$B$53,MATCH(MAXIFS($A$14:$A$53,$A$14:$A$53,"&lt;="&amp;B169),$A$14:$A$53,0)),$B$14)</f>
        <v/>
      </c>
      <c r="D169" s="47">
        <f>IFERROR(IF(H168&lt;=0,0,ABS(PMT(C169/12,258,-H168))),0)</f>
        <v/>
      </c>
      <c r="E169" s="47">
        <f>IF(H168&lt;=0,0,H168*C169/12)</f>
        <v/>
      </c>
      <c r="F169" s="47">
        <f>IF(D169=0,0,D169-E169)</f>
        <v/>
      </c>
      <c r="G169" s="49" t="n"/>
      <c r="H169" s="75">
        <f>MAX(H168-F169-IFERROR(G169,0),0)</f>
        <v/>
      </c>
      <c r="I169" s="46" t="n"/>
      <c r="J169" s="116" t="n"/>
    </row>
    <row r="170" ht="18" customHeight="1">
      <c r="A170" s="32" t="n">
        <v>104</v>
      </c>
      <c r="B170" s="31">
        <f>DATE(YEAR($C$6),MONTH($C$6)+A170,MIN(30,DAY(EOMONTH(DATE(YEAR($C$6),MONTH($C$6)+A170,1),0))))</f>
        <v/>
      </c>
      <c r="C170" s="114">
        <f>IFERROR(INDEX($B$14:$B$53,MATCH(MAXIFS($A$14:$A$53,$A$14:$A$53,"&lt;="&amp;B170),$A$14:$A$53,0)),$B$14)</f>
        <v/>
      </c>
      <c r="D170" s="49">
        <f>IFERROR(IF(H169&lt;=0,0,ABS(PMT(C170/12,257,-H169))),0)</f>
        <v/>
      </c>
      <c r="E170" s="49">
        <f>IF(H169&lt;=0,0,H169*C170/12)</f>
        <v/>
      </c>
      <c r="F170" s="49">
        <f>IF(D170=0,0,D170-E170)</f>
        <v/>
      </c>
      <c r="G170" s="49" t="n"/>
      <c r="H170" s="125">
        <f>MAX(H169-F170-IFERROR(G170,0),0)</f>
        <v/>
      </c>
      <c r="I170" s="32" t="n"/>
      <c r="J170" s="101" t="n"/>
    </row>
    <row r="171" ht="18" customHeight="1">
      <c r="A171" s="46" t="n">
        <v>105</v>
      </c>
      <c r="B171" s="124">
        <f>DATE(YEAR($C$6),MONTH($C$6)+A171,MIN(30,DAY(EOMONTH(DATE(YEAR($C$6),MONTH($C$6)+A171,1),0))))</f>
        <v/>
      </c>
      <c r="C171" s="115">
        <f>IFERROR(INDEX($B$14:$B$53,MATCH(MAXIFS($A$14:$A$53,$A$14:$A$53,"&lt;="&amp;B171),$A$14:$A$53,0)),$B$14)</f>
        <v/>
      </c>
      <c r="D171" s="47">
        <f>IFERROR(IF(H170&lt;=0,0,ABS(PMT(C171/12,256,-H170))),0)</f>
        <v/>
      </c>
      <c r="E171" s="47">
        <f>IF(H170&lt;=0,0,H170*C171/12)</f>
        <v/>
      </c>
      <c r="F171" s="47">
        <f>IF(D171=0,0,D171-E171)</f>
        <v/>
      </c>
      <c r="G171" s="49" t="n"/>
      <c r="H171" s="75">
        <f>MAX(H170-F171-IFERROR(G171,0),0)</f>
        <v/>
      </c>
      <c r="I171" s="46" t="n"/>
      <c r="J171" s="116" t="n"/>
    </row>
    <row r="172" ht="18" customHeight="1">
      <c r="A172" s="32" t="n">
        <v>106</v>
      </c>
      <c r="B172" s="31">
        <f>DATE(YEAR($C$6),MONTH($C$6)+A172,MIN(30,DAY(EOMONTH(DATE(YEAR($C$6),MONTH($C$6)+A172,1),0))))</f>
        <v/>
      </c>
      <c r="C172" s="114">
        <f>IFERROR(INDEX($B$14:$B$53,MATCH(MAXIFS($A$14:$A$53,$A$14:$A$53,"&lt;="&amp;B172),$A$14:$A$53,0)),$B$14)</f>
        <v/>
      </c>
      <c r="D172" s="49">
        <f>IFERROR(IF(H171&lt;=0,0,ABS(PMT(C172/12,255,-H171))),0)</f>
        <v/>
      </c>
      <c r="E172" s="49">
        <f>IF(H171&lt;=0,0,H171*C172/12)</f>
        <v/>
      </c>
      <c r="F172" s="49">
        <f>IF(D172=0,0,D172-E172)</f>
        <v/>
      </c>
      <c r="G172" s="49" t="n"/>
      <c r="H172" s="125">
        <f>MAX(H171-F172-IFERROR(G172,0),0)</f>
        <v/>
      </c>
      <c r="I172" s="32" t="n"/>
      <c r="J172" s="101" t="n"/>
    </row>
    <row r="173" ht="18" customHeight="1">
      <c r="A173" s="46" t="n">
        <v>107</v>
      </c>
      <c r="B173" s="124">
        <f>DATE(YEAR($C$6),MONTH($C$6)+A173,MIN(30,DAY(EOMONTH(DATE(YEAR($C$6),MONTH($C$6)+A173,1),0))))</f>
        <v/>
      </c>
      <c r="C173" s="115">
        <f>IFERROR(INDEX($B$14:$B$53,MATCH(MAXIFS($A$14:$A$53,$A$14:$A$53,"&lt;="&amp;B173),$A$14:$A$53,0)),$B$14)</f>
        <v/>
      </c>
      <c r="D173" s="47">
        <f>IFERROR(IF(H172&lt;=0,0,ABS(PMT(C173/12,254,-H172))),0)</f>
        <v/>
      </c>
      <c r="E173" s="47">
        <f>IF(H172&lt;=0,0,H172*C173/12)</f>
        <v/>
      </c>
      <c r="F173" s="47">
        <f>IF(D173=0,0,D173-E173)</f>
        <v/>
      </c>
      <c r="G173" s="49" t="n"/>
      <c r="H173" s="75">
        <f>MAX(H172-F173-IFERROR(G173,0),0)</f>
        <v/>
      </c>
      <c r="I173" s="46" t="n"/>
      <c r="J173" s="116" t="n"/>
    </row>
    <row r="174" ht="18" customHeight="1">
      <c r="A174" s="32" t="n">
        <v>108</v>
      </c>
      <c r="B174" s="31">
        <f>DATE(YEAR($C$6),MONTH($C$6)+A174,MIN(30,DAY(EOMONTH(DATE(YEAR($C$6),MONTH($C$6)+A174,1),0))))</f>
        <v/>
      </c>
      <c r="C174" s="114">
        <f>IFERROR(INDEX($B$14:$B$53,MATCH(MAXIFS($A$14:$A$53,$A$14:$A$53,"&lt;="&amp;B174),$A$14:$A$53,0)),$B$14)</f>
        <v/>
      </c>
      <c r="D174" s="49">
        <f>IFERROR(IF(H173&lt;=0,0,ABS(PMT(C174/12,253,-H173))),0)</f>
        <v/>
      </c>
      <c r="E174" s="49">
        <f>IF(H173&lt;=0,0,H173*C174/12)</f>
        <v/>
      </c>
      <c r="F174" s="49">
        <f>IF(D174=0,0,D174-E174)</f>
        <v/>
      </c>
      <c r="G174" s="49" t="n"/>
      <c r="H174" s="125">
        <f>MAX(H173-F174-IFERROR(G174,0),0)</f>
        <v/>
      </c>
      <c r="I174" s="32" t="n"/>
      <c r="J174" s="101" t="n"/>
    </row>
    <row r="175" ht="18" customHeight="1">
      <c r="A175" s="46" t="n">
        <v>109</v>
      </c>
      <c r="B175" s="124">
        <f>DATE(YEAR($C$6),MONTH($C$6)+A175,MIN(30,DAY(EOMONTH(DATE(YEAR($C$6),MONTH($C$6)+A175,1),0))))</f>
        <v/>
      </c>
      <c r="C175" s="115">
        <f>IFERROR(INDEX($B$14:$B$53,MATCH(MAXIFS($A$14:$A$53,$A$14:$A$53,"&lt;="&amp;B175),$A$14:$A$53,0)),$B$14)</f>
        <v/>
      </c>
      <c r="D175" s="47">
        <f>IFERROR(IF(H174&lt;=0,0,ABS(PMT(C175/12,252,-H174))),0)</f>
        <v/>
      </c>
      <c r="E175" s="47">
        <f>IF(H174&lt;=0,0,H174*C175/12)</f>
        <v/>
      </c>
      <c r="F175" s="47">
        <f>IF(D175=0,0,D175-E175)</f>
        <v/>
      </c>
      <c r="G175" s="49" t="n"/>
      <c r="H175" s="75">
        <f>MAX(H174-F175-IFERROR(G175,0),0)</f>
        <v/>
      </c>
      <c r="I175" s="46" t="n"/>
      <c r="J175" s="116" t="n"/>
    </row>
    <row r="176" ht="18" customHeight="1">
      <c r="A176" s="32" t="n">
        <v>110</v>
      </c>
      <c r="B176" s="31">
        <f>DATE(YEAR($C$6),MONTH($C$6)+A176,MIN(30,DAY(EOMONTH(DATE(YEAR($C$6),MONTH($C$6)+A176,1),0))))</f>
        <v/>
      </c>
      <c r="C176" s="114">
        <f>IFERROR(INDEX($B$14:$B$53,MATCH(MAXIFS($A$14:$A$53,$A$14:$A$53,"&lt;="&amp;B176),$A$14:$A$53,0)),$B$14)</f>
        <v/>
      </c>
      <c r="D176" s="49">
        <f>IFERROR(IF(H175&lt;=0,0,ABS(PMT(C176/12,251,-H175))),0)</f>
        <v/>
      </c>
      <c r="E176" s="49">
        <f>IF(H175&lt;=0,0,H175*C176/12)</f>
        <v/>
      </c>
      <c r="F176" s="49">
        <f>IF(D176=0,0,D176-E176)</f>
        <v/>
      </c>
      <c r="G176" s="49" t="n"/>
      <c r="H176" s="125">
        <f>MAX(H175-F176-IFERROR(G176,0),0)</f>
        <v/>
      </c>
      <c r="I176" s="32" t="n"/>
      <c r="J176" s="101" t="n"/>
    </row>
    <row r="177" ht="18" customHeight="1">
      <c r="A177" s="46" t="n">
        <v>111</v>
      </c>
      <c r="B177" s="124">
        <f>DATE(YEAR($C$6),MONTH($C$6)+A177,MIN(30,DAY(EOMONTH(DATE(YEAR($C$6),MONTH($C$6)+A177,1),0))))</f>
        <v/>
      </c>
      <c r="C177" s="115">
        <f>IFERROR(INDEX($B$14:$B$53,MATCH(MAXIFS($A$14:$A$53,$A$14:$A$53,"&lt;="&amp;B177),$A$14:$A$53,0)),$B$14)</f>
        <v/>
      </c>
      <c r="D177" s="47">
        <f>IFERROR(IF(H176&lt;=0,0,ABS(PMT(C177/12,250,-H176))),0)</f>
        <v/>
      </c>
      <c r="E177" s="47">
        <f>IF(H176&lt;=0,0,H176*C177/12)</f>
        <v/>
      </c>
      <c r="F177" s="47">
        <f>IF(D177=0,0,D177-E177)</f>
        <v/>
      </c>
      <c r="G177" s="49" t="n"/>
      <c r="H177" s="75">
        <f>MAX(H176-F177-IFERROR(G177,0),0)</f>
        <v/>
      </c>
      <c r="I177" s="46" t="n"/>
      <c r="J177" s="116" t="n"/>
    </row>
    <row r="178" ht="18" customHeight="1">
      <c r="A178" s="32" t="n">
        <v>112</v>
      </c>
      <c r="B178" s="31">
        <f>DATE(YEAR($C$6),MONTH($C$6)+A178,MIN(30,DAY(EOMONTH(DATE(YEAR($C$6),MONTH($C$6)+A178,1),0))))</f>
        <v/>
      </c>
      <c r="C178" s="114">
        <f>IFERROR(INDEX($B$14:$B$53,MATCH(MAXIFS($A$14:$A$53,$A$14:$A$53,"&lt;="&amp;B178),$A$14:$A$53,0)),$B$14)</f>
        <v/>
      </c>
      <c r="D178" s="49">
        <f>IFERROR(IF(H177&lt;=0,0,ABS(PMT(C178/12,249,-H177))),0)</f>
        <v/>
      </c>
      <c r="E178" s="49">
        <f>IF(H177&lt;=0,0,H177*C178/12)</f>
        <v/>
      </c>
      <c r="F178" s="49">
        <f>IF(D178=0,0,D178-E178)</f>
        <v/>
      </c>
      <c r="G178" s="49" t="n"/>
      <c r="H178" s="125">
        <f>MAX(H177-F178-IFERROR(G178,0),0)</f>
        <v/>
      </c>
      <c r="I178" s="32" t="n"/>
      <c r="J178" s="101" t="n"/>
    </row>
    <row r="179" ht="18" customHeight="1">
      <c r="A179" s="46" t="n">
        <v>113</v>
      </c>
      <c r="B179" s="124">
        <f>DATE(YEAR($C$6),MONTH($C$6)+A179,MIN(30,DAY(EOMONTH(DATE(YEAR($C$6),MONTH($C$6)+A179,1),0))))</f>
        <v/>
      </c>
      <c r="C179" s="115">
        <f>IFERROR(INDEX($B$14:$B$53,MATCH(MAXIFS($A$14:$A$53,$A$14:$A$53,"&lt;="&amp;B179),$A$14:$A$53,0)),$B$14)</f>
        <v/>
      </c>
      <c r="D179" s="47">
        <f>IFERROR(IF(H178&lt;=0,0,ABS(PMT(C179/12,248,-H178))),0)</f>
        <v/>
      </c>
      <c r="E179" s="47">
        <f>IF(H178&lt;=0,0,H178*C179/12)</f>
        <v/>
      </c>
      <c r="F179" s="47">
        <f>IF(D179=0,0,D179-E179)</f>
        <v/>
      </c>
      <c r="G179" s="49" t="n"/>
      <c r="H179" s="75">
        <f>MAX(H178-F179-IFERROR(G179,0),0)</f>
        <v/>
      </c>
      <c r="I179" s="46" t="n"/>
      <c r="J179" s="116" t="n"/>
    </row>
    <row r="180" ht="18" customHeight="1">
      <c r="A180" s="32" t="n">
        <v>114</v>
      </c>
      <c r="B180" s="31">
        <f>DATE(YEAR($C$6),MONTH($C$6)+A180,MIN(30,DAY(EOMONTH(DATE(YEAR($C$6),MONTH($C$6)+A180,1),0))))</f>
        <v/>
      </c>
      <c r="C180" s="114">
        <f>IFERROR(INDEX($B$14:$B$53,MATCH(MAXIFS($A$14:$A$53,$A$14:$A$53,"&lt;="&amp;B180),$A$14:$A$53,0)),$B$14)</f>
        <v/>
      </c>
      <c r="D180" s="49">
        <f>IFERROR(IF(H179&lt;=0,0,ABS(PMT(C180/12,247,-H179))),0)</f>
        <v/>
      </c>
      <c r="E180" s="49">
        <f>IF(H179&lt;=0,0,H179*C180/12)</f>
        <v/>
      </c>
      <c r="F180" s="49">
        <f>IF(D180=0,0,D180-E180)</f>
        <v/>
      </c>
      <c r="G180" s="49" t="n"/>
      <c r="H180" s="125">
        <f>MAX(H179-F180-IFERROR(G180,0),0)</f>
        <v/>
      </c>
      <c r="I180" s="32" t="n"/>
      <c r="J180" s="101" t="n"/>
    </row>
    <row r="181" ht="18" customHeight="1">
      <c r="A181" s="46" t="n">
        <v>115</v>
      </c>
      <c r="B181" s="124">
        <f>DATE(YEAR($C$6),MONTH($C$6)+A181,MIN(30,DAY(EOMONTH(DATE(YEAR($C$6),MONTH($C$6)+A181,1),0))))</f>
        <v/>
      </c>
      <c r="C181" s="115">
        <f>IFERROR(INDEX($B$14:$B$53,MATCH(MAXIFS($A$14:$A$53,$A$14:$A$53,"&lt;="&amp;B181),$A$14:$A$53,0)),$B$14)</f>
        <v/>
      </c>
      <c r="D181" s="47">
        <f>IFERROR(IF(H180&lt;=0,0,ABS(PMT(C181/12,246,-H180))),0)</f>
        <v/>
      </c>
      <c r="E181" s="47">
        <f>IF(H180&lt;=0,0,H180*C181/12)</f>
        <v/>
      </c>
      <c r="F181" s="47">
        <f>IF(D181=0,0,D181-E181)</f>
        <v/>
      </c>
      <c r="G181" s="49" t="n"/>
      <c r="H181" s="75">
        <f>MAX(H180-F181-IFERROR(G181,0),0)</f>
        <v/>
      </c>
      <c r="I181" s="46" t="n"/>
      <c r="J181" s="116" t="n"/>
    </row>
    <row r="182" ht="18" customHeight="1">
      <c r="A182" s="32" t="n">
        <v>116</v>
      </c>
      <c r="B182" s="31">
        <f>DATE(YEAR($C$6),MONTH($C$6)+A182,MIN(30,DAY(EOMONTH(DATE(YEAR($C$6),MONTH($C$6)+A182,1),0))))</f>
        <v/>
      </c>
      <c r="C182" s="114">
        <f>IFERROR(INDEX($B$14:$B$53,MATCH(MAXIFS($A$14:$A$53,$A$14:$A$53,"&lt;="&amp;B182),$A$14:$A$53,0)),$B$14)</f>
        <v/>
      </c>
      <c r="D182" s="49">
        <f>IFERROR(IF(H181&lt;=0,0,ABS(PMT(C182/12,245,-H181))),0)</f>
        <v/>
      </c>
      <c r="E182" s="49">
        <f>IF(H181&lt;=0,0,H181*C182/12)</f>
        <v/>
      </c>
      <c r="F182" s="49">
        <f>IF(D182=0,0,D182-E182)</f>
        <v/>
      </c>
      <c r="G182" s="49" t="n"/>
      <c r="H182" s="125">
        <f>MAX(H181-F182-IFERROR(G182,0),0)</f>
        <v/>
      </c>
      <c r="I182" s="32" t="n"/>
      <c r="J182" s="101" t="n"/>
    </row>
    <row r="183" ht="18" customHeight="1">
      <c r="A183" s="46" t="n">
        <v>117</v>
      </c>
      <c r="B183" s="124">
        <f>DATE(YEAR($C$6),MONTH($C$6)+A183,MIN(30,DAY(EOMONTH(DATE(YEAR($C$6),MONTH($C$6)+A183,1),0))))</f>
        <v/>
      </c>
      <c r="C183" s="115">
        <f>IFERROR(INDEX($B$14:$B$53,MATCH(MAXIFS($A$14:$A$53,$A$14:$A$53,"&lt;="&amp;B183),$A$14:$A$53,0)),$B$14)</f>
        <v/>
      </c>
      <c r="D183" s="47">
        <f>IFERROR(IF(H182&lt;=0,0,ABS(PMT(C183/12,244,-H182))),0)</f>
        <v/>
      </c>
      <c r="E183" s="47">
        <f>IF(H182&lt;=0,0,H182*C183/12)</f>
        <v/>
      </c>
      <c r="F183" s="47">
        <f>IF(D183=0,0,D183-E183)</f>
        <v/>
      </c>
      <c r="G183" s="49" t="n"/>
      <c r="H183" s="75">
        <f>MAX(H182-F183-IFERROR(G183,0),0)</f>
        <v/>
      </c>
      <c r="I183" s="46" t="n"/>
      <c r="J183" s="116" t="n"/>
    </row>
    <row r="184" ht="18" customHeight="1">
      <c r="A184" s="32" t="n">
        <v>118</v>
      </c>
      <c r="B184" s="31">
        <f>DATE(YEAR($C$6),MONTH($C$6)+A184,MIN(30,DAY(EOMONTH(DATE(YEAR($C$6),MONTH($C$6)+A184,1),0))))</f>
        <v/>
      </c>
      <c r="C184" s="114">
        <f>IFERROR(INDEX($B$14:$B$53,MATCH(MAXIFS($A$14:$A$53,$A$14:$A$53,"&lt;="&amp;B184),$A$14:$A$53,0)),$B$14)</f>
        <v/>
      </c>
      <c r="D184" s="49">
        <f>IFERROR(IF(H183&lt;=0,0,ABS(PMT(C184/12,243,-H183))),0)</f>
        <v/>
      </c>
      <c r="E184" s="49">
        <f>IF(H183&lt;=0,0,H183*C184/12)</f>
        <v/>
      </c>
      <c r="F184" s="49">
        <f>IF(D184=0,0,D184-E184)</f>
        <v/>
      </c>
      <c r="G184" s="49" t="n"/>
      <c r="H184" s="125">
        <f>MAX(H183-F184-IFERROR(G184,0),0)</f>
        <v/>
      </c>
      <c r="I184" s="32" t="n"/>
      <c r="J184" s="101" t="n"/>
    </row>
    <row r="185" ht="18" customHeight="1">
      <c r="A185" s="46" t="n">
        <v>119</v>
      </c>
      <c r="B185" s="124">
        <f>DATE(YEAR($C$6),MONTH($C$6)+A185,MIN(30,DAY(EOMONTH(DATE(YEAR($C$6),MONTH($C$6)+A185,1),0))))</f>
        <v/>
      </c>
      <c r="C185" s="115">
        <f>IFERROR(INDEX($B$14:$B$53,MATCH(MAXIFS($A$14:$A$53,$A$14:$A$53,"&lt;="&amp;B185),$A$14:$A$53,0)),$B$14)</f>
        <v/>
      </c>
      <c r="D185" s="47">
        <f>IFERROR(IF(H184&lt;=0,0,ABS(PMT(C185/12,242,-H184))),0)</f>
        <v/>
      </c>
      <c r="E185" s="47">
        <f>IF(H184&lt;=0,0,H184*C185/12)</f>
        <v/>
      </c>
      <c r="F185" s="47">
        <f>IF(D185=0,0,D185-E185)</f>
        <v/>
      </c>
      <c r="G185" s="49" t="n"/>
      <c r="H185" s="75">
        <f>MAX(H184-F185-IFERROR(G185,0),0)</f>
        <v/>
      </c>
      <c r="I185" s="46" t="n"/>
      <c r="J185" s="116" t="n"/>
    </row>
    <row r="186" ht="18" customHeight="1">
      <c r="A186" s="32" t="n">
        <v>120</v>
      </c>
      <c r="B186" s="31">
        <f>DATE(YEAR($C$6),MONTH($C$6)+A186,MIN(30,DAY(EOMONTH(DATE(YEAR($C$6),MONTH($C$6)+A186,1),0))))</f>
        <v/>
      </c>
      <c r="C186" s="114">
        <f>IFERROR(INDEX($B$14:$B$53,MATCH(MAXIFS($A$14:$A$53,$A$14:$A$53,"&lt;="&amp;B186),$A$14:$A$53,0)),$B$14)</f>
        <v/>
      </c>
      <c r="D186" s="49">
        <f>IFERROR(IF(H185&lt;=0,0,ABS(PMT(C186/12,241,-H185))),0)</f>
        <v/>
      </c>
      <c r="E186" s="49">
        <f>IF(H185&lt;=0,0,H185*C186/12)</f>
        <v/>
      </c>
      <c r="F186" s="49">
        <f>IF(D186=0,0,D186-E186)</f>
        <v/>
      </c>
      <c r="G186" s="49" t="n"/>
      <c r="H186" s="125">
        <f>MAX(H185-F186-IFERROR(G186,0),0)</f>
        <v/>
      </c>
      <c r="I186" s="32" t="n"/>
      <c r="J186" s="101" t="n"/>
    </row>
    <row r="187" ht="18" customHeight="1">
      <c r="A187" s="46" t="n">
        <v>121</v>
      </c>
      <c r="B187" s="124">
        <f>DATE(YEAR($C$6),MONTH($C$6)+A187,MIN(30,DAY(EOMONTH(DATE(YEAR($C$6),MONTH($C$6)+A187,1),0))))</f>
        <v/>
      </c>
      <c r="C187" s="115">
        <f>IFERROR(INDEX($B$14:$B$53,MATCH(MAXIFS($A$14:$A$53,$A$14:$A$53,"&lt;="&amp;B187),$A$14:$A$53,0)),$B$14)</f>
        <v/>
      </c>
      <c r="D187" s="47">
        <f>IFERROR(IF(H186&lt;=0,0,ABS(PMT(C187/12,240,-H186))),0)</f>
        <v/>
      </c>
      <c r="E187" s="47">
        <f>IF(H186&lt;=0,0,H186*C187/12)</f>
        <v/>
      </c>
      <c r="F187" s="47">
        <f>IF(D187=0,0,D187-E187)</f>
        <v/>
      </c>
      <c r="G187" s="49" t="n"/>
      <c r="H187" s="75">
        <f>MAX(H186-F187-IFERROR(G187,0),0)</f>
        <v/>
      </c>
      <c r="I187" s="46" t="n"/>
      <c r="J187" s="116" t="n"/>
    </row>
    <row r="188" ht="18" customHeight="1">
      <c r="A188" s="32" t="n">
        <v>122</v>
      </c>
      <c r="B188" s="31">
        <f>DATE(YEAR($C$6),MONTH($C$6)+A188,MIN(30,DAY(EOMONTH(DATE(YEAR($C$6),MONTH($C$6)+A188,1),0))))</f>
        <v/>
      </c>
      <c r="C188" s="114">
        <f>IFERROR(INDEX($B$14:$B$53,MATCH(MAXIFS($A$14:$A$53,$A$14:$A$53,"&lt;="&amp;B188),$A$14:$A$53,0)),$B$14)</f>
        <v/>
      </c>
      <c r="D188" s="49">
        <f>IFERROR(IF(H187&lt;=0,0,ABS(PMT(C188/12,239,-H187))),0)</f>
        <v/>
      </c>
      <c r="E188" s="49">
        <f>IF(H187&lt;=0,0,H187*C188/12)</f>
        <v/>
      </c>
      <c r="F188" s="49">
        <f>IF(D188=0,0,D188-E188)</f>
        <v/>
      </c>
      <c r="G188" s="49" t="n"/>
      <c r="H188" s="125">
        <f>MAX(H187-F188-IFERROR(G188,0),0)</f>
        <v/>
      </c>
      <c r="I188" s="32" t="n"/>
      <c r="J188" s="101" t="n"/>
    </row>
    <row r="189" ht="18" customHeight="1">
      <c r="A189" s="46" t="n">
        <v>123</v>
      </c>
      <c r="B189" s="124">
        <f>DATE(YEAR($C$6),MONTH($C$6)+A189,MIN(30,DAY(EOMONTH(DATE(YEAR($C$6),MONTH($C$6)+A189,1),0))))</f>
        <v/>
      </c>
      <c r="C189" s="115">
        <f>IFERROR(INDEX($B$14:$B$53,MATCH(MAXIFS($A$14:$A$53,$A$14:$A$53,"&lt;="&amp;B189),$A$14:$A$53,0)),$B$14)</f>
        <v/>
      </c>
      <c r="D189" s="47">
        <f>IFERROR(IF(H188&lt;=0,0,ABS(PMT(C189/12,238,-H188))),0)</f>
        <v/>
      </c>
      <c r="E189" s="47">
        <f>IF(H188&lt;=0,0,H188*C189/12)</f>
        <v/>
      </c>
      <c r="F189" s="47">
        <f>IF(D189=0,0,D189-E189)</f>
        <v/>
      </c>
      <c r="G189" s="49" t="n"/>
      <c r="H189" s="75">
        <f>MAX(H188-F189-IFERROR(G189,0),0)</f>
        <v/>
      </c>
      <c r="I189" s="46" t="n"/>
      <c r="J189" s="116" t="n"/>
    </row>
    <row r="190" ht="18" customHeight="1">
      <c r="A190" s="32" t="n">
        <v>124</v>
      </c>
      <c r="B190" s="31">
        <f>DATE(YEAR($C$6),MONTH($C$6)+A190,MIN(30,DAY(EOMONTH(DATE(YEAR($C$6),MONTH($C$6)+A190,1),0))))</f>
        <v/>
      </c>
      <c r="C190" s="114">
        <f>IFERROR(INDEX($B$14:$B$53,MATCH(MAXIFS($A$14:$A$53,$A$14:$A$53,"&lt;="&amp;B190),$A$14:$A$53,0)),$B$14)</f>
        <v/>
      </c>
      <c r="D190" s="49">
        <f>IFERROR(IF(H189&lt;=0,0,ABS(PMT(C190/12,237,-H189))),0)</f>
        <v/>
      </c>
      <c r="E190" s="49">
        <f>IF(H189&lt;=0,0,H189*C190/12)</f>
        <v/>
      </c>
      <c r="F190" s="49">
        <f>IF(D190=0,0,D190-E190)</f>
        <v/>
      </c>
      <c r="G190" s="49" t="n"/>
      <c r="H190" s="125">
        <f>MAX(H189-F190-IFERROR(G190,0),0)</f>
        <v/>
      </c>
      <c r="I190" s="32" t="n"/>
      <c r="J190" s="101" t="n"/>
    </row>
    <row r="191" ht="18" customHeight="1">
      <c r="A191" s="46" t="n">
        <v>125</v>
      </c>
      <c r="B191" s="124">
        <f>DATE(YEAR($C$6),MONTH($C$6)+A191,MIN(30,DAY(EOMONTH(DATE(YEAR($C$6),MONTH($C$6)+A191,1),0))))</f>
        <v/>
      </c>
      <c r="C191" s="115">
        <f>IFERROR(INDEX($B$14:$B$53,MATCH(MAXIFS($A$14:$A$53,$A$14:$A$53,"&lt;="&amp;B191),$A$14:$A$53,0)),$B$14)</f>
        <v/>
      </c>
      <c r="D191" s="47">
        <f>IFERROR(IF(H190&lt;=0,0,ABS(PMT(C191/12,236,-H190))),0)</f>
        <v/>
      </c>
      <c r="E191" s="47">
        <f>IF(H190&lt;=0,0,H190*C191/12)</f>
        <v/>
      </c>
      <c r="F191" s="47">
        <f>IF(D191=0,0,D191-E191)</f>
        <v/>
      </c>
      <c r="G191" s="49" t="n"/>
      <c r="H191" s="75">
        <f>MAX(H190-F191-IFERROR(G191,0),0)</f>
        <v/>
      </c>
      <c r="I191" s="46" t="n"/>
      <c r="J191" s="116" t="n"/>
    </row>
    <row r="192" ht="18" customHeight="1">
      <c r="A192" s="32" t="n">
        <v>126</v>
      </c>
      <c r="B192" s="31">
        <f>DATE(YEAR($C$6),MONTH($C$6)+A192,MIN(30,DAY(EOMONTH(DATE(YEAR($C$6),MONTH($C$6)+A192,1),0))))</f>
        <v/>
      </c>
      <c r="C192" s="114">
        <f>IFERROR(INDEX($B$14:$B$53,MATCH(MAXIFS($A$14:$A$53,$A$14:$A$53,"&lt;="&amp;B192),$A$14:$A$53,0)),$B$14)</f>
        <v/>
      </c>
      <c r="D192" s="49">
        <f>IFERROR(IF(H191&lt;=0,0,ABS(PMT(C192/12,235,-H191))),0)</f>
        <v/>
      </c>
      <c r="E192" s="49">
        <f>IF(H191&lt;=0,0,H191*C192/12)</f>
        <v/>
      </c>
      <c r="F192" s="49">
        <f>IF(D192=0,0,D192-E192)</f>
        <v/>
      </c>
      <c r="G192" s="49" t="n"/>
      <c r="H192" s="125">
        <f>MAX(H191-F192-IFERROR(G192,0),0)</f>
        <v/>
      </c>
      <c r="I192" s="32" t="n"/>
      <c r="J192" s="101" t="n"/>
    </row>
    <row r="193" ht="18" customHeight="1">
      <c r="A193" s="46" t="n">
        <v>127</v>
      </c>
      <c r="B193" s="124">
        <f>DATE(YEAR($C$6),MONTH($C$6)+A193,MIN(30,DAY(EOMONTH(DATE(YEAR($C$6),MONTH($C$6)+A193,1),0))))</f>
        <v/>
      </c>
      <c r="C193" s="115">
        <f>IFERROR(INDEX($B$14:$B$53,MATCH(MAXIFS($A$14:$A$53,$A$14:$A$53,"&lt;="&amp;B193),$A$14:$A$53,0)),$B$14)</f>
        <v/>
      </c>
      <c r="D193" s="47">
        <f>IFERROR(IF(H192&lt;=0,0,ABS(PMT(C193/12,234,-H192))),0)</f>
        <v/>
      </c>
      <c r="E193" s="47">
        <f>IF(H192&lt;=0,0,H192*C193/12)</f>
        <v/>
      </c>
      <c r="F193" s="47">
        <f>IF(D193=0,0,D193-E193)</f>
        <v/>
      </c>
      <c r="G193" s="49" t="n"/>
      <c r="H193" s="75">
        <f>MAX(H192-F193-IFERROR(G193,0),0)</f>
        <v/>
      </c>
      <c r="I193" s="46" t="n"/>
      <c r="J193" s="116" t="n"/>
    </row>
    <row r="194" ht="18" customHeight="1">
      <c r="A194" s="32" t="n">
        <v>128</v>
      </c>
      <c r="B194" s="31">
        <f>DATE(YEAR($C$6),MONTH($C$6)+A194,MIN(30,DAY(EOMONTH(DATE(YEAR($C$6),MONTH($C$6)+A194,1),0))))</f>
        <v/>
      </c>
      <c r="C194" s="114">
        <f>IFERROR(INDEX($B$14:$B$53,MATCH(MAXIFS($A$14:$A$53,$A$14:$A$53,"&lt;="&amp;B194),$A$14:$A$53,0)),$B$14)</f>
        <v/>
      </c>
      <c r="D194" s="49">
        <f>IFERROR(IF(H193&lt;=0,0,ABS(PMT(C194/12,233,-H193))),0)</f>
        <v/>
      </c>
      <c r="E194" s="49">
        <f>IF(H193&lt;=0,0,H193*C194/12)</f>
        <v/>
      </c>
      <c r="F194" s="49">
        <f>IF(D194=0,0,D194-E194)</f>
        <v/>
      </c>
      <c r="G194" s="49" t="n"/>
      <c r="H194" s="125">
        <f>MAX(H193-F194-IFERROR(G194,0),0)</f>
        <v/>
      </c>
      <c r="I194" s="32" t="n"/>
      <c r="J194" s="101" t="n"/>
    </row>
    <row r="195" ht="18" customHeight="1">
      <c r="A195" s="46" t="n">
        <v>129</v>
      </c>
      <c r="B195" s="124">
        <f>DATE(YEAR($C$6),MONTH($C$6)+A195,MIN(30,DAY(EOMONTH(DATE(YEAR($C$6),MONTH($C$6)+A195,1),0))))</f>
        <v/>
      </c>
      <c r="C195" s="115">
        <f>IFERROR(INDEX($B$14:$B$53,MATCH(MAXIFS($A$14:$A$53,$A$14:$A$53,"&lt;="&amp;B195),$A$14:$A$53,0)),$B$14)</f>
        <v/>
      </c>
      <c r="D195" s="47">
        <f>IFERROR(IF(H194&lt;=0,0,ABS(PMT(C195/12,232,-H194))),0)</f>
        <v/>
      </c>
      <c r="E195" s="47">
        <f>IF(H194&lt;=0,0,H194*C195/12)</f>
        <v/>
      </c>
      <c r="F195" s="47">
        <f>IF(D195=0,0,D195-E195)</f>
        <v/>
      </c>
      <c r="G195" s="49" t="n"/>
      <c r="H195" s="75">
        <f>MAX(H194-F195-IFERROR(G195,0),0)</f>
        <v/>
      </c>
      <c r="I195" s="46" t="n"/>
      <c r="J195" s="116" t="n"/>
    </row>
    <row r="196" ht="18" customHeight="1">
      <c r="A196" s="32" t="n">
        <v>130</v>
      </c>
      <c r="B196" s="31">
        <f>DATE(YEAR($C$6),MONTH($C$6)+A196,MIN(30,DAY(EOMONTH(DATE(YEAR($C$6),MONTH($C$6)+A196,1),0))))</f>
        <v/>
      </c>
      <c r="C196" s="114">
        <f>IFERROR(INDEX($B$14:$B$53,MATCH(MAXIFS($A$14:$A$53,$A$14:$A$53,"&lt;="&amp;B196),$A$14:$A$53,0)),$B$14)</f>
        <v/>
      </c>
      <c r="D196" s="49">
        <f>IFERROR(IF(H195&lt;=0,0,ABS(PMT(C196/12,231,-H195))),0)</f>
        <v/>
      </c>
      <c r="E196" s="49">
        <f>IF(H195&lt;=0,0,H195*C196/12)</f>
        <v/>
      </c>
      <c r="F196" s="49">
        <f>IF(D196=0,0,D196-E196)</f>
        <v/>
      </c>
      <c r="G196" s="49" t="n"/>
      <c r="H196" s="125">
        <f>MAX(H195-F196-IFERROR(G196,0),0)</f>
        <v/>
      </c>
      <c r="I196" s="32" t="n"/>
      <c r="J196" s="101" t="n"/>
    </row>
    <row r="197" ht="18" customHeight="1">
      <c r="A197" s="46" t="n">
        <v>131</v>
      </c>
      <c r="B197" s="124">
        <f>DATE(YEAR($C$6),MONTH($C$6)+A197,MIN(30,DAY(EOMONTH(DATE(YEAR($C$6),MONTH($C$6)+A197,1),0))))</f>
        <v/>
      </c>
      <c r="C197" s="115">
        <f>IFERROR(INDEX($B$14:$B$53,MATCH(MAXIFS($A$14:$A$53,$A$14:$A$53,"&lt;="&amp;B197),$A$14:$A$53,0)),$B$14)</f>
        <v/>
      </c>
      <c r="D197" s="47">
        <f>IFERROR(IF(H196&lt;=0,0,ABS(PMT(C197/12,230,-H196))),0)</f>
        <v/>
      </c>
      <c r="E197" s="47">
        <f>IF(H196&lt;=0,0,H196*C197/12)</f>
        <v/>
      </c>
      <c r="F197" s="47">
        <f>IF(D197=0,0,D197-E197)</f>
        <v/>
      </c>
      <c r="G197" s="49" t="n"/>
      <c r="H197" s="75">
        <f>MAX(H196-F197-IFERROR(G197,0),0)</f>
        <v/>
      </c>
      <c r="I197" s="46" t="n"/>
      <c r="J197" s="116" t="n"/>
    </row>
    <row r="198" ht="18" customHeight="1">
      <c r="A198" s="32" t="n">
        <v>132</v>
      </c>
      <c r="B198" s="31">
        <f>DATE(YEAR($C$6),MONTH($C$6)+A198,MIN(30,DAY(EOMONTH(DATE(YEAR($C$6),MONTH($C$6)+A198,1),0))))</f>
        <v/>
      </c>
      <c r="C198" s="114">
        <f>IFERROR(INDEX($B$14:$B$53,MATCH(MAXIFS($A$14:$A$53,$A$14:$A$53,"&lt;="&amp;B198),$A$14:$A$53,0)),$B$14)</f>
        <v/>
      </c>
      <c r="D198" s="49">
        <f>IFERROR(IF(H197&lt;=0,0,ABS(PMT(C198/12,229,-H197))),0)</f>
        <v/>
      </c>
      <c r="E198" s="49">
        <f>IF(H197&lt;=0,0,H197*C198/12)</f>
        <v/>
      </c>
      <c r="F198" s="49">
        <f>IF(D198=0,0,D198-E198)</f>
        <v/>
      </c>
      <c r="G198" s="49" t="n"/>
      <c r="H198" s="125">
        <f>MAX(H197-F198-IFERROR(G198,0),0)</f>
        <v/>
      </c>
      <c r="I198" s="32" t="n"/>
      <c r="J198" s="101" t="n"/>
    </row>
    <row r="199" ht="18" customHeight="1">
      <c r="A199" s="46" t="n">
        <v>133</v>
      </c>
      <c r="B199" s="124">
        <f>DATE(YEAR($C$6),MONTH($C$6)+A199,MIN(30,DAY(EOMONTH(DATE(YEAR($C$6),MONTH($C$6)+A199,1),0))))</f>
        <v/>
      </c>
      <c r="C199" s="115">
        <f>IFERROR(INDEX($B$14:$B$53,MATCH(MAXIFS($A$14:$A$53,$A$14:$A$53,"&lt;="&amp;B199),$A$14:$A$53,0)),$B$14)</f>
        <v/>
      </c>
      <c r="D199" s="47">
        <f>IFERROR(IF(H198&lt;=0,0,ABS(PMT(C199/12,228,-H198))),0)</f>
        <v/>
      </c>
      <c r="E199" s="47">
        <f>IF(H198&lt;=0,0,H198*C199/12)</f>
        <v/>
      </c>
      <c r="F199" s="47">
        <f>IF(D199=0,0,D199-E199)</f>
        <v/>
      </c>
      <c r="G199" s="49" t="n"/>
      <c r="H199" s="75">
        <f>MAX(H198-F199-IFERROR(G199,0),0)</f>
        <v/>
      </c>
      <c r="I199" s="46" t="n"/>
      <c r="J199" s="116" t="n"/>
    </row>
    <row r="200" ht="18" customHeight="1">
      <c r="A200" s="32" t="n">
        <v>134</v>
      </c>
      <c r="B200" s="31">
        <f>DATE(YEAR($C$6),MONTH($C$6)+A200,MIN(30,DAY(EOMONTH(DATE(YEAR($C$6),MONTH($C$6)+A200,1),0))))</f>
        <v/>
      </c>
      <c r="C200" s="114">
        <f>IFERROR(INDEX($B$14:$B$53,MATCH(MAXIFS($A$14:$A$53,$A$14:$A$53,"&lt;="&amp;B200),$A$14:$A$53,0)),$B$14)</f>
        <v/>
      </c>
      <c r="D200" s="49">
        <f>IFERROR(IF(H199&lt;=0,0,ABS(PMT(C200/12,227,-H199))),0)</f>
        <v/>
      </c>
      <c r="E200" s="49">
        <f>IF(H199&lt;=0,0,H199*C200/12)</f>
        <v/>
      </c>
      <c r="F200" s="49">
        <f>IF(D200=0,0,D200-E200)</f>
        <v/>
      </c>
      <c r="G200" s="49" t="n"/>
      <c r="H200" s="125">
        <f>MAX(H199-F200-IFERROR(G200,0),0)</f>
        <v/>
      </c>
      <c r="I200" s="32" t="n"/>
      <c r="J200" s="101" t="n"/>
    </row>
    <row r="201" ht="18" customHeight="1">
      <c r="A201" s="46" t="n">
        <v>135</v>
      </c>
      <c r="B201" s="124">
        <f>DATE(YEAR($C$6),MONTH($C$6)+A201,MIN(30,DAY(EOMONTH(DATE(YEAR($C$6),MONTH($C$6)+A201,1),0))))</f>
        <v/>
      </c>
      <c r="C201" s="115">
        <f>IFERROR(INDEX($B$14:$B$53,MATCH(MAXIFS($A$14:$A$53,$A$14:$A$53,"&lt;="&amp;B201),$A$14:$A$53,0)),$B$14)</f>
        <v/>
      </c>
      <c r="D201" s="47">
        <f>IFERROR(IF(H200&lt;=0,0,ABS(PMT(C201/12,226,-H200))),0)</f>
        <v/>
      </c>
      <c r="E201" s="47">
        <f>IF(H200&lt;=0,0,H200*C201/12)</f>
        <v/>
      </c>
      <c r="F201" s="47">
        <f>IF(D201=0,0,D201-E201)</f>
        <v/>
      </c>
      <c r="G201" s="49" t="n"/>
      <c r="H201" s="75">
        <f>MAX(H200-F201-IFERROR(G201,0),0)</f>
        <v/>
      </c>
      <c r="I201" s="46" t="n"/>
      <c r="J201" s="116" t="n"/>
    </row>
    <row r="202" ht="18" customHeight="1">
      <c r="A202" s="32" t="n">
        <v>136</v>
      </c>
      <c r="B202" s="31">
        <f>DATE(YEAR($C$6),MONTH($C$6)+A202,MIN(30,DAY(EOMONTH(DATE(YEAR($C$6),MONTH($C$6)+A202,1),0))))</f>
        <v/>
      </c>
      <c r="C202" s="114">
        <f>IFERROR(INDEX($B$14:$B$53,MATCH(MAXIFS($A$14:$A$53,$A$14:$A$53,"&lt;="&amp;B202),$A$14:$A$53,0)),$B$14)</f>
        <v/>
      </c>
      <c r="D202" s="49">
        <f>IFERROR(IF(H201&lt;=0,0,ABS(PMT(C202/12,225,-H201))),0)</f>
        <v/>
      </c>
      <c r="E202" s="49">
        <f>IF(H201&lt;=0,0,H201*C202/12)</f>
        <v/>
      </c>
      <c r="F202" s="49">
        <f>IF(D202=0,0,D202-E202)</f>
        <v/>
      </c>
      <c r="G202" s="49" t="n"/>
      <c r="H202" s="125">
        <f>MAX(H201-F202-IFERROR(G202,0),0)</f>
        <v/>
      </c>
      <c r="I202" s="32" t="n"/>
      <c r="J202" s="101" t="n"/>
    </row>
    <row r="203" ht="18" customHeight="1">
      <c r="A203" s="46" t="n">
        <v>137</v>
      </c>
      <c r="B203" s="124">
        <f>DATE(YEAR($C$6),MONTH($C$6)+A203,MIN(30,DAY(EOMONTH(DATE(YEAR($C$6),MONTH($C$6)+A203,1),0))))</f>
        <v/>
      </c>
      <c r="C203" s="115">
        <f>IFERROR(INDEX($B$14:$B$53,MATCH(MAXIFS($A$14:$A$53,$A$14:$A$53,"&lt;="&amp;B203),$A$14:$A$53,0)),$B$14)</f>
        <v/>
      </c>
      <c r="D203" s="47">
        <f>IFERROR(IF(H202&lt;=0,0,ABS(PMT(C203/12,224,-H202))),0)</f>
        <v/>
      </c>
      <c r="E203" s="47">
        <f>IF(H202&lt;=0,0,H202*C203/12)</f>
        <v/>
      </c>
      <c r="F203" s="47">
        <f>IF(D203=0,0,D203-E203)</f>
        <v/>
      </c>
      <c r="G203" s="49" t="n"/>
      <c r="H203" s="75">
        <f>MAX(H202-F203-IFERROR(G203,0),0)</f>
        <v/>
      </c>
      <c r="I203" s="46" t="n"/>
      <c r="J203" s="116" t="n"/>
    </row>
    <row r="204" ht="18" customHeight="1">
      <c r="A204" s="32" t="n">
        <v>138</v>
      </c>
      <c r="B204" s="31">
        <f>DATE(YEAR($C$6),MONTH($C$6)+A204,MIN(30,DAY(EOMONTH(DATE(YEAR($C$6),MONTH($C$6)+A204,1),0))))</f>
        <v/>
      </c>
      <c r="C204" s="114">
        <f>IFERROR(INDEX($B$14:$B$53,MATCH(MAXIFS($A$14:$A$53,$A$14:$A$53,"&lt;="&amp;B204),$A$14:$A$53,0)),$B$14)</f>
        <v/>
      </c>
      <c r="D204" s="49">
        <f>IFERROR(IF(H203&lt;=0,0,ABS(PMT(C204/12,223,-H203))),0)</f>
        <v/>
      </c>
      <c r="E204" s="49">
        <f>IF(H203&lt;=0,0,H203*C204/12)</f>
        <v/>
      </c>
      <c r="F204" s="49">
        <f>IF(D204=0,0,D204-E204)</f>
        <v/>
      </c>
      <c r="G204" s="49" t="n"/>
      <c r="H204" s="125">
        <f>MAX(H203-F204-IFERROR(G204,0),0)</f>
        <v/>
      </c>
      <c r="I204" s="32" t="n"/>
      <c r="J204" s="101" t="n"/>
    </row>
    <row r="205" ht="18" customHeight="1">
      <c r="A205" s="46" t="n">
        <v>139</v>
      </c>
      <c r="B205" s="124">
        <f>DATE(YEAR($C$6),MONTH($C$6)+A205,MIN(30,DAY(EOMONTH(DATE(YEAR($C$6),MONTH($C$6)+A205,1),0))))</f>
        <v/>
      </c>
      <c r="C205" s="115">
        <f>IFERROR(INDEX($B$14:$B$53,MATCH(MAXIFS($A$14:$A$53,$A$14:$A$53,"&lt;="&amp;B205),$A$14:$A$53,0)),$B$14)</f>
        <v/>
      </c>
      <c r="D205" s="47">
        <f>IFERROR(IF(H204&lt;=0,0,ABS(PMT(C205/12,222,-H204))),0)</f>
        <v/>
      </c>
      <c r="E205" s="47">
        <f>IF(H204&lt;=0,0,H204*C205/12)</f>
        <v/>
      </c>
      <c r="F205" s="47">
        <f>IF(D205=0,0,D205-E205)</f>
        <v/>
      </c>
      <c r="G205" s="49" t="n"/>
      <c r="H205" s="75">
        <f>MAX(H204-F205-IFERROR(G205,0),0)</f>
        <v/>
      </c>
      <c r="I205" s="46" t="n"/>
      <c r="J205" s="116" t="n"/>
    </row>
    <row r="206" ht="18" customHeight="1">
      <c r="A206" s="32" t="n">
        <v>140</v>
      </c>
      <c r="B206" s="31">
        <f>DATE(YEAR($C$6),MONTH($C$6)+A206,MIN(30,DAY(EOMONTH(DATE(YEAR($C$6),MONTH($C$6)+A206,1),0))))</f>
        <v/>
      </c>
      <c r="C206" s="114">
        <f>IFERROR(INDEX($B$14:$B$53,MATCH(MAXIFS($A$14:$A$53,$A$14:$A$53,"&lt;="&amp;B206),$A$14:$A$53,0)),$B$14)</f>
        <v/>
      </c>
      <c r="D206" s="49">
        <f>IFERROR(IF(H205&lt;=0,0,ABS(PMT(C206/12,221,-H205))),0)</f>
        <v/>
      </c>
      <c r="E206" s="49">
        <f>IF(H205&lt;=0,0,H205*C206/12)</f>
        <v/>
      </c>
      <c r="F206" s="49">
        <f>IF(D206=0,0,D206-E206)</f>
        <v/>
      </c>
      <c r="G206" s="49" t="n"/>
      <c r="H206" s="125">
        <f>MAX(H205-F206-IFERROR(G206,0),0)</f>
        <v/>
      </c>
      <c r="I206" s="32" t="n"/>
      <c r="J206" s="101" t="n"/>
    </row>
    <row r="207" ht="18" customHeight="1">
      <c r="A207" s="46" t="n">
        <v>141</v>
      </c>
      <c r="B207" s="124">
        <f>DATE(YEAR($C$6),MONTH($C$6)+A207,MIN(30,DAY(EOMONTH(DATE(YEAR($C$6),MONTH($C$6)+A207,1),0))))</f>
        <v/>
      </c>
      <c r="C207" s="115">
        <f>IFERROR(INDEX($B$14:$B$53,MATCH(MAXIFS($A$14:$A$53,$A$14:$A$53,"&lt;="&amp;B207),$A$14:$A$53,0)),$B$14)</f>
        <v/>
      </c>
      <c r="D207" s="47">
        <f>IFERROR(IF(H206&lt;=0,0,ABS(PMT(C207/12,220,-H206))),0)</f>
        <v/>
      </c>
      <c r="E207" s="47">
        <f>IF(H206&lt;=0,0,H206*C207/12)</f>
        <v/>
      </c>
      <c r="F207" s="47">
        <f>IF(D207=0,0,D207-E207)</f>
        <v/>
      </c>
      <c r="G207" s="49" t="n"/>
      <c r="H207" s="75">
        <f>MAX(H206-F207-IFERROR(G207,0),0)</f>
        <v/>
      </c>
      <c r="I207" s="46" t="n"/>
      <c r="J207" s="116" t="n"/>
    </row>
    <row r="208" ht="18" customHeight="1">
      <c r="A208" s="32" t="n">
        <v>142</v>
      </c>
      <c r="B208" s="31">
        <f>DATE(YEAR($C$6),MONTH($C$6)+A208,MIN(30,DAY(EOMONTH(DATE(YEAR($C$6),MONTH($C$6)+A208,1),0))))</f>
        <v/>
      </c>
      <c r="C208" s="114">
        <f>IFERROR(INDEX($B$14:$B$53,MATCH(MAXIFS($A$14:$A$53,$A$14:$A$53,"&lt;="&amp;B208),$A$14:$A$53,0)),$B$14)</f>
        <v/>
      </c>
      <c r="D208" s="49">
        <f>IFERROR(IF(H207&lt;=0,0,ABS(PMT(C208/12,219,-H207))),0)</f>
        <v/>
      </c>
      <c r="E208" s="49">
        <f>IF(H207&lt;=0,0,H207*C208/12)</f>
        <v/>
      </c>
      <c r="F208" s="49">
        <f>IF(D208=0,0,D208-E208)</f>
        <v/>
      </c>
      <c r="G208" s="49" t="n"/>
      <c r="H208" s="125">
        <f>MAX(H207-F208-IFERROR(G208,0),0)</f>
        <v/>
      </c>
      <c r="I208" s="32" t="n"/>
      <c r="J208" s="101" t="n"/>
    </row>
    <row r="209" ht="18" customHeight="1">
      <c r="A209" s="46" t="n">
        <v>143</v>
      </c>
      <c r="B209" s="124">
        <f>DATE(YEAR($C$6),MONTH($C$6)+A209,MIN(30,DAY(EOMONTH(DATE(YEAR($C$6),MONTH($C$6)+A209,1),0))))</f>
        <v/>
      </c>
      <c r="C209" s="115">
        <f>IFERROR(INDEX($B$14:$B$53,MATCH(MAXIFS($A$14:$A$53,$A$14:$A$53,"&lt;="&amp;B209),$A$14:$A$53,0)),$B$14)</f>
        <v/>
      </c>
      <c r="D209" s="47">
        <f>IFERROR(IF(H208&lt;=0,0,ABS(PMT(C209/12,218,-H208))),0)</f>
        <v/>
      </c>
      <c r="E209" s="47">
        <f>IF(H208&lt;=0,0,H208*C209/12)</f>
        <v/>
      </c>
      <c r="F209" s="47">
        <f>IF(D209=0,0,D209-E209)</f>
        <v/>
      </c>
      <c r="G209" s="49" t="n"/>
      <c r="H209" s="75">
        <f>MAX(H208-F209-IFERROR(G209,0),0)</f>
        <v/>
      </c>
      <c r="I209" s="46" t="n"/>
      <c r="J209" s="116" t="n"/>
    </row>
    <row r="210" ht="18" customHeight="1">
      <c r="A210" s="32" t="n">
        <v>144</v>
      </c>
      <c r="B210" s="31">
        <f>DATE(YEAR($C$6),MONTH($C$6)+A210,MIN(30,DAY(EOMONTH(DATE(YEAR($C$6),MONTH($C$6)+A210,1),0))))</f>
        <v/>
      </c>
      <c r="C210" s="114">
        <f>IFERROR(INDEX($B$14:$B$53,MATCH(MAXIFS($A$14:$A$53,$A$14:$A$53,"&lt;="&amp;B210),$A$14:$A$53,0)),$B$14)</f>
        <v/>
      </c>
      <c r="D210" s="49">
        <f>IFERROR(IF(H209&lt;=0,0,ABS(PMT(C210/12,217,-H209))),0)</f>
        <v/>
      </c>
      <c r="E210" s="49">
        <f>IF(H209&lt;=0,0,H209*C210/12)</f>
        <v/>
      </c>
      <c r="F210" s="49">
        <f>IF(D210=0,0,D210-E210)</f>
        <v/>
      </c>
      <c r="G210" s="49" t="n"/>
      <c r="H210" s="125">
        <f>MAX(H209-F210-IFERROR(G210,0),0)</f>
        <v/>
      </c>
      <c r="I210" s="32" t="n"/>
      <c r="J210" s="101" t="n"/>
    </row>
    <row r="211" ht="18" customHeight="1">
      <c r="A211" s="46" t="n">
        <v>145</v>
      </c>
      <c r="B211" s="124">
        <f>DATE(YEAR($C$6),MONTH($C$6)+A211,MIN(30,DAY(EOMONTH(DATE(YEAR($C$6),MONTH($C$6)+A211,1),0))))</f>
        <v/>
      </c>
      <c r="C211" s="115">
        <f>IFERROR(INDEX($B$14:$B$53,MATCH(MAXIFS($A$14:$A$53,$A$14:$A$53,"&lt;="&amp;B211),$A$14:$A$53,0)),$B$14)</f>
        <v/>
      </c>
      <c r="D211" s="47">
        <f>IFERROR(IF(H210&lt;=0,0,ABS(PMT(C211/12,216,-H210))),0)</f>
        <v/>
      </c>
      <c r="E211" s="47">
        <f>IF(H210&lt;=0,0,H210*C211/12)</f>
        <v/>
      </c>
      <c r="F211" s="47">
        <f>IF(D211=0,0,D211-E211)</f>
        <v/>
      </c>
      <c r="G211" s="49" t="n"/>
      <c r="H211" s="75">
        <f>MAX(H210-F211-IFERROR(G211,0),0)</f>
        <v/>
      </c>
      <c r="I211" s="46" t="n"/>
      <c r="J211" s="116" t="n"/>
    </row>
    <row r="212" ht="18" customHeight="1">
      <c r="A212" s="32" t="n">
        <v>146</v>
      </c>
      <c r="B212" s="31">
        <f>DATE(YEAR($C$6),MONTH($C$6)+A212,MIN(30,DAY(EOMONTH(DATE(YEAR($C$6),MONTH($C$6)+A212,1),0))))</f>
        <v/>
      </c>
      <c r="C212" s="114">
        <f>IFERROR(INDEX($B$14:$B$53,MATCH(MAXIFS($A$14:$A$53,$A$14:$A$53,"&lt;="&amp;B212),$A$14:$A$53,0)),$B$14)</f>
        <v/>
      </c>
      <c r="D212" s="49">
        <f>IFERROR(IF(H211&lt;=0,0,ABS(PMT(C212/12,215,-H211))),0)</f>
        <v/>
      </c>
      <c r="E212" s="49">
        <f>IF(H211&lt;=0,0,H211*C212/12)</f>
        <v/>
      </c>
      <c r="F212" s="49">
        <f>IF(D212=0,0,D212-E212)</f>
        <v/>
      </c>
      <c r="G212" s="49" t="n"/>
      <c r="H212" s="125">
        <f>MAX(H211-F212-IFERROR(G212,0),0)</f>
        <v/>
      </c>
      <c r="I212" s="32" t="n"/>
      <c r="J212" s="101" t="n"/>
    </row>
    <row r="213" ht="18" customHeight="1">
      <c r="A213" s="46" t="n">
        <v>147</v>
      </c>
      <c r="B213" s="124">
        <f>DATE(YEAR($C$6),MONTH($C$6)+A213,MIN(30,DAY(EOMONTH(DATE(YEAR($C$6),MONTH($C$6)+A213,1),0))))</f>
        <v/>
      </c>
      <c r="C213" s="115">
        <f>IFERROR(INDEX($B$14:$B$53,MATCH(MAXIFS($A$14:$A$53,$A$14:$A$53,"&lt;="&amp;B213),$A$14:$A$53,0)),$B$14)</f>
        <v/>
      </c>
      <c r="D213" s="47">
        <f>IFERROR(IF(H212&lt;=0,0,ABS(PMT(C213/12,214,-H212))),0)</f>
        <v/>
      </c>
      <c r="E213" s="47">
        <f>IF(H212&lt;=0,0,H212*C213/12)</f>
        <v/>
      </c>
      <c r="F213" s="47">
        <f>IF(D213=0,0,D213-E213)</f>
        <v/>
      </c>
      <c r="G213" s="49" t="n"/>
      <c r="H213" s="75">
        <f>MAX(H212-F213-IFERROR(G213,0),0)</f>
        <v/>
      </c>
      <c r="I213" s="46" t="n"/>
      <c r="J213" s="116" t="n"/>
    </row>
    <row r="214" ht="18" customHeight="1">
      <c r="A214" s="32" t="n">
        <v>148</v>
      </c>
      <c r="B214" s="31">
        <f>DATE(YEAR($C$6),MONTH($C$6)+A214,MIN(30,DAY(EOMONTH(DATE(YEAR($C$6),MONTH($C$6)+A214,1),0))))</f>
        <v/>
      </c>
      <c r="C214" s="114">
        <f>IFERROR(INDEX($B$14:$B$53,MATCH(MAXIFS($A$14:$A$53,$A$14:$A$53,"&lt;="&amp;B214),$A$14:$A$53,0)),$B$14)</f>
        <v/>
      </c>
      <c r="D214" s="49">
        <f>IFERROR(IF(H213&lt;=0,0,ABS(PMT(C214/12,213,-H213))),0)</f>
        <v/>
      </c>
      <c r="E214" s="49">
        <f>IF(H213&lt;=0,0,H213*C214/12)</f>
        <v/>
      </c>
      <c r="F214" s="49">
        <f>IF(D214=0,0,D214-E214)</f>
        <v/>
      </c>
      <c r="G214" s="49" t="n"/>
      <c r="H214" s="125">
        <f>MAX(H213-F214-IFERROR(G214,0),0)</f>
        <v/>
      </c>
      <c r="I214" s="32" t="n"/>
      <c r="J214" s="101" t="n"/>
    </row>
    <row r="215" ht="18" customHeight="1">
      <c r="A215" s="46" t="n">
        <v>149</v>
      </c>
      <c r="B215" s="124">
        <f>DATE(YEAR($C$6),MONTH($C$6)+A215,MIN(30,DAY(EOMONTH(DATE(YEAR($C$6),MONTH($C$6)+A215,1),0))))</f>
        <v/>
      </c>
      <c r="C215" s="115">
        <f>IFERROR(INDEX($B$14:$B$53,MATCH(MAXIFS($A$14:$A$53,$A$14:$A$53,"&lt;="&amp;B215),$A$14:$A$53,0)),$B$14)</f>
        <v/>
      </c>
      <c r="D215" s="47">
        <f>IFERROR(IF(H214&lt;=0,0,ABS(PMT(C215/12,212,-H214))),0)</f>
        <v/>
      </c>
      <c r="E215" s="47">
        <f>IF(H214&lt;=0,0,H214*C215/12)</f>
        <v/>
      </c>
      <c r="F215" s="47">
        <f>IF(D215=0,0,D215-E215)</f>
        <v/>
      </c>
      <c r="G215" s="49" t="n"/>
      <c r="H215" s="75">
        <f>MAX(H214-F215-IFERROR(G215,0),0)</f>
        <v/>
      </c>
      <c r="I215" s="46" t="n"/>
      <c r="J215" s="116" t="n"/>
    </row>
    <row r="216" ht="18" customHeight="1">
      <c r="A216" s="32" t="n">
        <v>150</v>
      </c>
      <c r="B216" s="31">
        <f>DATE(YEAR($C$6),MONTH($C$6)+A216,MIN(30,DAY(EOMONTH(DATE(YEAR($C$6),MONTH($C$6)+A216,1),0))))</f>
        <v/>
      </c>
      <c r="C216" s="114">
        <f>IFERROR(INDEX($B$14:$B$53,MATCH(MAXIFS($A$14:$A$53,$A$14:$A$53,"&lt;="&amp;B216),$A$14:$A$53,0)),$B$14)</f>
        <v/>
      </c>
      <c r="D216" s="49">
        <f>IFERROR(IF(H215&lt;=0,0,ABS(PMT(C216/12,211,-H215))),0)</f>
        <v/>
      </c>
      <c r="E216" s="49">
        <f>IF(H215&lt;=0,0,H215*C216/12)</f>
        <v/>
      </c>
      <c r="F216" s="49">
        <f>IF(D216=0,0,D216-E216)</f>
        <v/>
      </c>
      <c r="G216" s="49" t="n"/>
      <c r="H216" s="125">
        <f>MAX(H215-F216-IFERROR(G216,0),0)</f>
        <v/>
      </c>
      <c r="I216" s="32" t="n"/>
      <c r="J216" s="101" t="n"/>
    </row>
    <row r="217" ht="18" customHeight="1">
      <c r="A217" s="46" t="n">
        <v>151</v>
      </c>
      <c r="B217" s="124">
        <f>DATE(YEAR($C$6),MONTH($C$6)+A217,MIN(30,DAY(EOMONTH(DATE(YEAR($C$6),MONTH($C$6)+A217,1),0))))</f>
        <v/>
      </c>
      <c r="C217" s="115">
        <f>IFERROR(INDEX($B$14:$B$53,MATCH(MAXIFS($A$14:$A$53,$A$14:$A$53,"&lt;="&amp;B217),$A$14:$A$53,0)),$B$14)</f>
        <v/>
      </c>
      <c r="D217" s="47">
        <f>IFERROR(IF(H216&lt;=0,0,ABS(PMT(C217/12,210,-H216))),0)</f>
        <v/>
      </c>
      <c r="E217" s="47">
        <f>IF(H216&lt;=0,0,H216*C217/12)</f>
        <v/>
      </c>
      <c r="F217" s="47">
        <f>IF(D217=0,0,D217-E217)</f>
        <v/>
      </c>
      <c r="G217" s="49" t="n"/>
      <c r="H217" s="75">
        <f>MAX(H216-F217-IFERROR(G217,0),0)</f>
        <v/>
      </c>
      <c r="I217" s="46" t="n"/>
      <c r="J217" s="116" t="n"/>
    </row>
    <row r="218" ht="18" customHeight="1">
      <c r="A218" s="32" t="n">
        <v>152</v>
      </c>
      <c r="B218" s="31">
        <f>DATE(YEAR($C$6),MONTH($C$6)+A218,MIN(30,DAY(EOMONTH(DATE(YEAR($C$6),MONTH($C$6)+A218,1),0))))</f>
        <v/>
      </c>
      <c r="C218" s="114">
        <f>IFERROR(INDEX($B$14:$B$53,MATCH(MAXIFS($A$14:$A$53,$A$14:$A$53,"&lt;="&amp;B218),$A$14:$A$53,0)),$B$14)</f>
        <v/>
      </c>
      <c r="D218" s="49">
        <f>IFERROR(IF(H217&lt;=0,0,ABS(PMT(C218/12,209,-H217))),0)</f>
        <v/>
      </c>
      <c r="E218" s="49">
        <f>IF(H217&lt;=0,0,H217*C218/12)</f>
        <v/>
      </c>
      <c r="F218" s="49">
        <f>IF(D218=0,0,D218-E218)</f>
        <v/>
      </c>
      <c r="G218" s="49" t="n"/>
      <c r="H218" s="125">
        <f>MAX(H217-F218-IFERROR(G218,0),0)</f>
        <v/>
      </c>
      <c r="I218" s="32" t="n"/>
      <c r="J218" s="101" t="n"/>
    </row>
    <row r="219" ht="18" customHeight="1">
      <c r="A219" s="46" t="n">
        <v>153</v>
      </c>
      <c r="B219" s="124">
        <f>DATE(YEAR($C$6),MONTH($C$6)+A219,MIN(30,DAY(EOMONTH(DATE(YEAR($C$6),MONTH($C$6)+A219,1),0))))</f>
        <v/>
      </c>
      <c r="C219" s="115">
        <f>IFERROR(INDEX($B$14:$B$53,MATCH(MAXIFS($A$14:$A$53,$A$14:$A$53,"&lt;="&amp;B219),$A$14:$A$53,0)),$B$14)</f>
        <v/>
      </c>
      <c r="D219" s="47">
        <f>IFERROR(IF(H218&lt;=0,0,ABS(PMT(C219/12,208,-H218))),0)</f>
        <v/>
      </c>
      <c r="E219" s="47">
        <f>IF(H218&lt;=0,0,H218*C219/12)</f>
        <v/>
      </c>
      <c r="F219" s="47">
        <f>IF(D219=0,0,D219-E219)</f>
        <v/>
      </c>
      <c r="G219" s="49" t="n"/>
      <c r="H219" s="75">
        <f>MAX(H218-F219-IFERROR(G219,0),0)</f>
        <v/>
      </c>
      <c r="I219" s="46" t="n"/>
      <c r="J219" s="116" t="n"/>
    </row>
    <row r="220" ht="18" customHeight="1">
      <c r="A220" s="32" t="n">
        <v>154</v>
      </c>
      <c r="B220" s="31">
        <f>DATE(YEAR($C$6),MONTH($C$6)+A220,MIN(30,DAY(EOMONTH(DATE(YEAR($C$6),MONTH($C$6)+A220,1),0))))</f>
        <v/>
      </c>
      <c r="C220" s="114">
        <f>IFERROR(INDEX($B$14:$B$53,MATCH(MAXIFS($A$14:$A$53,$A$14:$A$53,"&lt;="&amp;B220),$A$14:$A$53,0)),$B$14)</f>
        <v/>
      </c>
      <c r="D220" s="49">
        <f>IFERROR(IF(H219&lt;=0,0,ABS(PMT(C220/12,207,-H219))),0)</f>
        <v/>
      </c>
      <c r="E220" s="49">
        <f>IF(H219&lt;=0,0,H219*C220/12)</f>
        <v/>
      </c>
      <c r="F220" s="49">
        <f>IF(D220=0,0,D220-E220)</f>
        <v/>
      </c>
      <c r="G220" s="49" t="n"/>
      <c r="H220" s="125">
        <f>MAX(H219-F220-IFERROR(G220,0),0)</f>
        <v/>
      </c>
      <c r="I220" s="32" t="n"/>
      <c r="J220" s="101" t="n"/>
    </row>
    <row r="221" ht="18" customHeight="1">
      <c r="A221" s="46" t="n">
        <v>155</v>
      </c>
      <c r="B221" s="124">
        <f>DATE(YEAR($C$6),MONTH($C$6)+A221,MIN(30,DAY(EOMONTH(DATE(YEAR($C$6),MONTH($C$6)+A221,1),0))))</f>
        <v/>
      </c>
      <c r="C221" s="115">
        <f>IFERROR(INDEX($B$14:$B$53,MATCH(MAXIFS($A$14:$A$53,$A$14:$A$53,"&lt;="&amp;B221),$A$14:$A$53,0)),$B$14)</f>
        <v/>
      </c>
      <c r="D221" s="47">
        <f>IFERROR(IF(H220&lt;=0,0,ABS(PMT(C221/12,206,-H220))),0)</f>
        <v/>
      </c>
      <c r="E221" s="47">
        <f>IF(H220&lt;=0,0,H220*C221/12)</f>
        <v/>
      </c>
      <c r="F221" s="47">
        <f>IF(D221=0,0,D221-E221)</f>
        <v/>
      </c>
      <c r="G221" s="49" t="n"/>
      <c r="H221" s="75">
        <f>MAX(H220-F221-IFERROR(G221,0),0)</f>
        <v/>
      </c>
      <c r="I221" s="46" t="n"/>
      <c r="J221" s="116" t="n"/>
    </row>
    <row r="222" ht="18" customHeight="1">
      <c r="A222" s="32" t="n">
        <v>156</v>
      </c>
      <c r="B222" s="31">
        <f>DATE(YEAR($C$6),MONTH($C$6)+A222,MIN(30,DAY(EOMONTH(DATE(YEAR($C$6),MONTH($C$6)+A222,1),0))))</f>
        <v/>
      </c>
      <c r="C222" s="114">
        <f>IFERROR(INDEX($B$14:$B$53,MATCH(MAXIFS($A$14:$A$53,$A$14:$A$53,"&lt;="&amp;B222),$A$14:$A$53,0)),$B$14)</f>
        <v/>
      </c>
      <c r="D222" s="49">
        <f>IFERROR(IF(H221&lt;=0,0,ABS(PMT(C222/12,205,-H221))),0)</f>
        <v/>
      </c>
      <c r="E222" s="49">
        <f>IF(H221&lt;=0,0,H221*C222/12)</f>
        <v/>
      </c>
      <c r="F222" s="49">
        <f>IF(D222=0,0,D222-E222)</f>
        <v/>
      </c>
      <c r="G222" s="49" t="n"/>
      <c r="H222" s="125">
        <f>MAX(H221-F222-IFERROR(G222,0),0)</f>
        <v/>
      </c>
      <c r="I222" s="32" t="n"/>
      <c r="J222" s="101" t="n"/>
    </row>
    <row r="223" ht="18" customHeight="1">
      <c r="A223" s="46" t="n">
        <v>157</v>
      </c>
      <c r="B223" s="124">
        <f>DATE(YEAR($C$6),MONTH($C$6)+A223,MIN(30,DAY(EOMONTH(DATE(YEAR($C$6),MONTH($C$6)+A223,1),0))))</f>
        <v/>
      </c>
      <c r="C223" s="115">
        <f>IFERROR(INDEX($B$14:$B$53,MATCH(MAXIFS($A$14:$A$53,$A$14:$A$53,"&lt;="&amp;B223),$A$14:$A$53,0)),$B$14)</f>
        <v/>
      </c>
      <c r="D223" s="47">
        <f>IFERROR(IF(H222&lt;=0,0,ABS(PMT(C223/12,204,-H222))),0)</f>
        <v/>
      </c>
      <c r="E223" s="47">
        <f>IF(H222&lt;=0,0,H222*C223/12)</f>
        <v/>
      </c>
      <c r="F223" s="47">
        <f>IF(D223=0,0,D223-E223)</f>
        <v/>
      </c>
      <c r="G223" s="49" t="n"/>
      <c r="H223" s="75">
        <f>MAX(H222-F223-IFERROR(G223,0),0)</f>
        <v/>
      </c>
      <c r="I223" s="46" t="n"/>
      <c r="J223" s="116" t="n"/>
    </row>
    <row r="224" ht="18" customHeight="1">
      <c r="A224" s="32" t="n">
        <v>158</v>
      </c>
      <c r="B224" s="31">
        <f>DATE(YEAR($C$6),MONTH($C$6)+A224,MIN(30,DAY(EOMONTH(DATE(YEAR($C$6),MONTH($C$6)+A224,1),0))))</f>
        <v/>
      </c>
      <c r="C224" s="114">
        <f>IFERROR(INDEX($B$14:$B$53,MATCH(MAXIFS($A$14:$A$53,$A$14:$A$53,"&lt;="&amp;B224),$A$14:$A$53,0)),$B$14)</f>
        <v/>
      </c>
      <c r="D224" s="49">
        <f>IFERROR(IF(H223&lt;=0,0,ABS(PMT(C224/12,203,-H223))),0)</f>
        <v/>
      </c>
      <c r="E224" s="49">
        <f>IF(H223&lt;=0,0,H223*C224/12)</f>
        <v/>
      </c>
      <c r="F224" s="49">
        <f>IF(D224=0,0,D224-E224)</f>
        <v/>
      </c>
      <c r="G224" s="49" t="n"/>
      <c r="H224" s="125">
        <f>MAX(H223-F224-IFERROR(G224,0),0)</f>
        <v/>
      </c>
      <c r="I224" s="32" t="n"/>
      <c r="J224" s="101" t="n"/>
    </row>
    <row r="225" ht="18" customHeight="1">
      <c r="A225" s="46" t="n">
        <v>159</v>
      </c>
      <c r="B225" s="124">
        <f>DATE(YEAR($C$6),MONTH($C$6)+A225,MIN(30,DAY(EOMONTH(DATE(YEAR($C$6),MONTH($C$6)+A225,1),0))))</f>
        <v/>
      </c>
      <c r="C225" s="115">
        <f>IFERROR(INDEX($B$14:$B$53,MATCH(MAXIFS($A$14:$A$53,$A$14:$A$53,"&lt;="&amp;B225),$A$14:$A$53,0)),$B$14)</f>
        <v/>
      </c>
      <c r="D225" s="47">
        <f>IFERROR(IF(H224&lt;=0,0,ABS(PMT(C225/12,202,-H224))),0)</f>
        <v/>
      </c>
      <c r="E225" s="47">
        <f>IF(H224&lt;=0,0,H224*C225/12)</f>
        <v/>
      </c>
      <c r="F225" s="47">
        <f>IF(D225=0,0,D225-E225)</f>
        <v/>
      </c>
      <c r="G225" s="49" t="n"/>
      <c r="H225" s="75">
        <f>MAX(H224-F225-IFERROR(G225,0),0)</f>
        <v/>
      </c>
      <c r="I225" s="46" t="n"/>
      <c r="J225" s="116" t="n"/>
    </row>
    <row r="226" ht="18" customHeight="1">
      <c r="A226" s="32" t="n">
        <v>160</v>
      </c>
      <c r="B226" s="31">
        <f>DATE(YEAR($C$6),MONTH($C$6)+A226,MIN(30,DAY(EOMONTH(DATE(YEAR($C$6),MONTH($C$6)+A226,1),0))))</f>
        <v/>
      </c>
      <c r="C226" s="114">
        <f>IFERROR(INDEX($B$14:$B$53,MATCH(MAXIFS($A$14:$A$53,$A$14:$A$53,"&lt;="&amp;B226),$A$14:$A$53,0)),$B$14)</f>
        <v/>
      </c>
      <c r="D226" s="49">
        <f>IFERROR(IF(H225&lt;=0,0,ABS(PMT(C226/12,201,-H225))),0)</f>
        <v/>
      </c>
      <c r="E226" s="49">
        <f>IF(H225&lt;=0,0,H225*C226/12)</f>
        <v/>
      </c>
      <c r="F226" s="49">
        <f>IF(D226=0,0,D226-E226)</f>
        <v/>
      </c>
      <c r="G226" s="49" t="n"/>
      <c r="H226" s="125">
        <f>MAX(H225-F226-IFERROR(G226,0),0)</f>
        <v/>
      </c>
      <c r="I226" s="32" t="n"/>
      <c r="J226" s="101" t="n"/>
    </row>
    <row r="227" ht="18" customHeight="1">
      <c r="A227" s="46" t="n">
        <v>161</v>
      </c>
      <c r="B227" s="124">
        <f>DATE(YEAR($C$6),MONTH($C$6)+A227,MIN(30,DAY(EOMONTH(DATE(YEAR($C$6),MONTH($C$6)+A227,1),0))))</f>
        <v/>
      </c>
      <c r="C227" s="115">
        <f>IFERROR(INDEX($B$14:$B$53,MATCH(MAXIFS($A$14:$A$53,$A$14:$A$53,"&lt;="&amp;B227),$A$14:$A$53,0)),$B$14)</f>
        <v/>
      </c>
      <c r="D227" s="47">
        <f>IFERROR(IF(H226&lt;=0,0,ABS(PMT(C227/12,200,-H226))),0)</f>
        <v/>
      </c>
      <c r="E227" s="47">
        <f>IF(H226&lt;=0,0,H226*C227/12)</f>
        <v/>
      </c>
      <c r="F227" s="47">
        <f>IF(D227=0,0,D227-E227)</f>
        <v/>
      </c>
      <c r="G227" s="49" t="n"/>
      <c r="H227" s="75">
        <f>MAX(H226-F227-IFERROR(G227,0),0)</f>
        <v/>
      </c>
      <c r="I227" s="46" t="n"/>
      <c r="J227" s="116" t="n"/>
    </row>
    <row r="228" ht="18" customHeight="1">
      <c r="A228" s="32" t="n">
        <v>162</v>
      </c>
      <c r="B228" s="31">
        <f>DATE(YEAR($C$6),MONTH($C$6)+A228,MIN(30,DAY(EOMONTH(DATE(YEAR($C$6),MONTH($C$6)+A228,1),0))))</f>
        <v/>
      </c>
      <c r="C228" s="114">
        <f>IFERROR(INDEX($B$14:$B$53,MATCH(MAXIFS($A$14:$A$53,$A$14:$A$53,"&lt;="&amp;B228),$A$14:$A$53,0)),$B$14)</f>
        <v/>
      </c>
      <c r="D228" s="49">
        <f>IFERROR(IF(H227&lt;=0,0,ABS(PMT(C228/12,199,-H227))),0)</f>
        <v/>
      </c>
      <c r="E228" s="49">
        <f>IF(H227&lt;=0,0,H227*C228/12)</f>
        <v/>
      </c>
      <c r="F228" s="49">
        <f>IF(D228=0,0,D228-E228)</f>
        <v/>
      </c>
      <c r="G228" s="49" t="n"/>
      <c r="H228" s="125">
        <f>MAX(H227-F228-IFERROR(G228,0),0)</f>
        <v/>
      </c>
      <c r="I228" s="32" t="n"/>
      <c r="J228" s="101" t="n"/>
    </row>
    <row r="229" ht="18" customHeight="1">
      <c r="A229" s="46" t="n">
        <v>163</v>
      </c>
      <c r="B229" s="124">
        <f>DATE(YEAR($C$6),MONTH($C$6)+A229,MIN(30,DAY(EOMONTH(DATE(YEAR($C$6),MONTH($C$6)+A229,1),0))))</f>
        <v/>
      </c>
      <c r="C229" s="115">
        <f>IFERROR(INDEX($B$14:$B$53,MATCH(MAXIFS($A$14:$A$53,$A$14:$A$53,"&lt;="&amp;B229),$A$14:$A$53,0)),$B$14)</f>
        <v/>
      </c>
      <c r="D229" s="47">
        <f>IFERROR(IF(H228&lt;=0,0,ABS(PMT(C229/12,198,-H228))),0)</f>
        <v/>
      </c>
      <c r="E229" s="47">
        <f>IF(H228&lt;=0,0,H228*C229/12)</f>
        <v/>
      </c>
      <c r="F229" s="47">
        <f>IF(D229=0,0,D229-E229)</f>
        <v/>
      </c>
      <c r="G229" s="49" t="n"/>
      <c r="H229" s="75">
        <f>MAX(H228-F229-IFERROR(G229,0),0)</f>
        <v/>
      </c>
      <c r="I229" s="46" t="n"/>
      <c r="J229" s="116" t="n"/>
    </row>
    <row r="230" ht="18" customHeight="1">
      <c r="A230" s="32" t="n">
        <v>164</v>
      </c>
      <c r="B230" s="31">
        <f>DATE(YEAR($C$6),MONTH($C$6)+A230,MIN(30,DAY(EOMONTH(DATE(YEAR($C$6),MONTH($C$6)+A230,1),0))))</f>
        <v/>
      </c>
      <c r="C230" s="114">
        <f>IFERROR(INDEX($B$14:$B$53,MATCH(MAXIFS($A$14:$A$53,$A$14:$A$53,"&lt;="&amp;B230),$A$14:$A$53,0)),$B$14)</f>
        <v/>
      </c>
      <c r="D230" s="49">
        <f>IFERROR(IF(H229&lt;=0,0,ABS(PMT(C230/12,197,-H229))),0)</f>
        <v/>
      </c>
      <c r="E230" s="49">
        <f>IF(H229&lt;=0,0,H229*C230/12)</f>
        <v/>
      </c>
      <c r="F230" s="49">
        <f>IF(D230=0,0,D230-E230)</f>
        <v/>
      </c>
      <c r="G230" s="49" t="n"/>
      <c r="H230" s="125">
        <f>MAX(H229-F230-IFERROR(G230,0),0)</f>
        <v/>
      </c>
      <c r="I230" s="32" t="n"/>
      <c r="J230" s="101" t="n"/>
    </row>
    <row r="231" ht="18" customHeight="1">
      <c r="A231" s="46" t="n">
        <v>165</v>
      </c>
      <c r="B231" s="124">
        <f>DATE(YEAR($C$6),MONTH($C$6)+A231,MIN(30,DAY(EOMONTH(DATE(YEAR($C$6),MONTH($C$6)+A231,1),0))))</f>
        <v/>
      </c>
      <c r="C231" s="115">
        <f>IFERROR(INDEX($B$14:$B$53,MATCH(MAXIFS($A$14:$A$53,$A$14:$A$53,"&lt;="&amp;B231),$A$14:$A$53,0)),$B$14)</f>
        <v/>
      </c>
      <c r="D231" s="47">
        <f>IFERROR(IF(H230&lt;=0,0,ABS(PMT(C231/12,196,-H230))),0)</f>
        <v/>
      </c>
      <c r="E231" s="47">
        <f>IF(H230&lt;=0,0,H230*C231/12)</f>
        <v/>
      </c>
      <c r="F231" s="47">
        <f>IF(D231=0,0,D231-E231)</f>
        <v/>
      </c>
      <c r="G231" s="49" t="n"/>
      <c r="H231" s="75">
        <f>MAX(H230-F231-IFERROR(G231,0),0)</f>
        <v/>
      </c>
      <c r="I231" s="46" t="n"/>
      <c r="J231" s="116" t="n"/>
    </row>
    <row r="232" ht="18" customHeight="1">
      <c r="A232" s="32" t="n">
        <v>166</v>
      </c>
      <c r="B232" s="31">
        <f>DATE(YEAR($C$6),MONTH($C$6)+A232,MIN(30,DAY(EOMONTH(DATE(YEAR($C$6),MONTH($C$6)+A232,1),0))))</f>
        <v/>
      </c>
      <c r="C232" s="114">
        <f>IFERROR(INDEX($B$14:$B$53,MATCH(MAXIFS($A$14:$A$53,$A$14:$A$53,"&lt;="&amp;B232),$A$14:$A$53,0)),$B$14)</f>
        <v/>
      </c>
      <c r="D232" s="49">
        <f>IFERROR(IF(H231&lt;=0,0,ABS(PMT(C232/12,195,-H231))),0)</f>
        <v/>
      </c>
      <c r="E232" s="49">
        <f>IF(H231&lt;=0,0,H231*C232/12)</f>
        <v/>
      </c>
      <c r="F232" s="49">
        <f>IF(D232=0,0,D232-E232)</f>
        <v/>
      </c>
      <c r="G232" s="49" t="n"/>
      <c r="H232" s="125">
        <f>MAX(H231-F232-IFERROR(G232,0),0)</f>
        <v/>
      </c>
      <c r="I232" s="32" t="n"/>
      <c r="J232" s="101" t="n"/>
    </row>
    <row r="233" ht="18" customHeight="1">
      <c r="A233" s="46" t="n">
        <v>167</v>
      </c>
      <c r="B233" s="124">
        <f>DATE(YEAR($C$6),MONTH($C$6)+A233,MIN(30,DAY(EOMONTH(DATE(YEAR($C$6),MONTH($C$6)+A233,1),0))))</f>
        <v/>
      </c>
      <c r="C233" s="115">
        <f>IFERROR(INDEX($B$14:$B$53,MATCH(MAXIFS($A$14:$A$53,$A$14:$A$53,"&lt;="&amp;B233),$A$14:$A$53,0)),$B$14)</f>
        <v/>
      </c>
      <c r="D233" s="47">
        <f>IFERROR(IF(H232&lt;=0,0,ABS(PMT(C233/12,194,-H232))),0)</f>
        <v/>
      </c>
      <c r="E233" s="47">
        <f>IF(H232&lt;=0,0,H232*C233/12)</f>
        <v/>
      </c>
      <c r="F233" s="47">
        <f>IF(D233=0,0,D233-E233)</f>
        <v/>
      </c>
      <c r="G233" s="49" t="n"/>
      <c r="H233" s="75">
        <f>MAX(H232-F233-IFERROR(G233,0),0)</f>
        <v/>
      </c>
      <c r="I233" s="46" t="n"/>
      <c r="J233" s="116" t="n"/>
    </row>
    <row r="234" ht="18" customHeight="1">
      <c r="A234" s="32" t="n">
        <v>168</v>
      </c>
      <c r="B234" s="31">
        <f>DATE(YEAR($C$6),MONTH($C$6)+A234,MIN(30,DAY(EOMONTH(DATE(YEAR($C$6),MONTH($C$6)+A234,1),0))))</f>
        <v/>
      </c>
      <c r="C234" s="114">
        <f>IFERROR(INDEX($B$14:$B$53,MATCH(MAXIFS($A$14:$A$53,$A$14:$A$53,"&lt;="&amp;B234),$A$14:$A$53,0)),$B$14)</f>
        <v/>
      </c>
      <c r="D234" s="49">
        <f>IFERROR(IF(H233&lt;=0,0,ABS(PMT(C234/12,193,-H233))),0)</f>
        <v/>
      </c>
      <c r="E234" s="49">
        <f>IF(H233&lt;=0,0,H233*C234/12)</f>
        <v/>
      </c>
      <c r="F234" s="49">
        <f>IF(D234=0,0,D234-E234)</f>
        <v/>
      </c>
      <c r="G234" s="49" t="n"/>
      <c r="H234" s="125">
        <f>MAX(H233-F234-IFERROR(G234,0),0)</f>
        <v/>
      </c>
      <c r="I234" s="32" t="n"/>
      <c r="J234" s="101" t="n"/>
    </row>
    <row r="235" ht="18" customHeight="1">
      <c r="A235" s="46" t="n">
        <v>169</v>
      </c>
      <c r="B235" s="124">
        <f>DATE(YEAR($C$6),MONTH($C$6)+A235,MIN(30,DAY(EOMONTH(DATE(YEAR($C$6),MONTH($C$6)+A235,1),0))))</f>
        <v/>
      </c>
      <c r="C235" s="115">
        <f>IFERROR(INDEX($B$14:$B$53,MATCH(MAXIFS($A$14:$A$53,$A$14:$A$53,"&lt;="&amp;B235),$A$14:$A$53,0)),$B$14)</f>
        <v/>
      </c>
      <c r="D235" s="47">
        <f>IFERROR(IF(H234&lt;=0,0,ABS(PMT(C235/12,192,-H234))),0)</f>
        <v/>
      </c>
      <c r="E235" s="47">
        <f>IF(H234&lt;=0,0,H234*C235/12)</f>
        <v/>
      </c>
      <c r="F235" s="47">
        <f>IF(D235=0,0,D235-E235)</f>
        <v/>
      </c>
      <c r="G235" s="49" t="n"/>
      <c r="H235" s="75">
        <f>MAX(H234-F235-IFERROR(G235,0),0)</f>
        <v/>
      </c>
      <c r="I235" s="46" t="n"/>
      <c r="J235" s="116" t="n"/>
    </row>
    <row r="236" ht="18" customHeight="1">
      <c r="A236" s="32" t="n">
        <v>170</v>
      </c>
      <c r="B236" s="31">
        <f>DATE(YEAR($C$6),MONTH($C$6)+A236,MIN(30,DAY(EOMONTH(DATE(YEAR($C$6),MONTH($C$6)+A236,1),0))))</f>
        <v/>
      </c>
      <c r="C236" s="114">
        <f>IFERROR(INDEX($B$14:$B$53,MATCH(MAXIFS($A$14:$A$53,$A$14:$A$53,"&lt;="&amp;B236),$A$14:$A$53,0)),$B$14)</f>
        <v/>
      </c>
      <c r="D236" s="49">
        <f>IFERROR(IF(H235&lt;=0,0,ABS(PMT(C236/12,191,-H235))),0)</f>
        <v/>
      </c>
      <c r="E236" s="49">
        <f>IF(H235&lt;=0,0,H235*C236/12)</f>
        <v/>
      </c>
      <c r="F236" s="49">
        <f>IF(D236=0,0,D236-E236)</f>
        <v/>
      </c>
      <c r="G236" s="49" t="n"/>
      <c r="H236" s="125">
        <f>MAX(H235-F236-IFERROR(G236,0),0)</f>
        <v/>
      </c>
      <c r="I236" s="32" t="n"/>
      <c r="J236" s="101" t="n"/>
    </row>
    <row r="237" ht="18" customHeight="1">
      <c r="A237" s="46" t="n">
        <v>171</v>
      </c>
      <c r="B237" s="124">
        <f>DATE(YEAR($C$6),MONTH($C$6)+A237,MIN(30,DAY(EOMONTH(DATE(YEAR($C$6),MONTH($C$6)+A237,1),0))))</f>
        <v/>
      </c>
      <c r="C237" s="115">
        <f>IFERROR(INDEX($B$14:$B$53,MATCH(MAXIFS($A$14:$A$53,$A$14:$A$53,"&lt;="&amp;B237),$A$14:$A$53,0)),$B$14)</f>
        <v/>
      </c>
      <c r="D237" s="47">
        <f>IFERROR(IF(H236&lt;=0,0,ABS(PMT(C237/12,190,-H236))),0)</f>
        <v/>
      </c>
      <c r="E237" s="47">
        <f>IF(H236&lt;=0,0,H236*C237/12)</f>
        <v/>
      </c>
      <c r="F237" s="47">
        <f>IF(D237=0,0,D237-E237)</f>
        <v/>
      </c>
      <c r="G237" s="49" t="n"/>
      <c r="H237" s="75">
        <f>MAX(H236-F237-IFERROR(G237,0),0)</f>
        <v/>
      </c>
      <c r="I237" s="46" t="n"/>
      <c r="J237" s="116" t="n"/>
    </row>
    <row r="238" ht="18" customHeight="1">
      <c r="A238" s="32" t="n">
        <v>172</v>
      </c>
      <c r="B238" s="31">
        <f>DATE(YEAR($C$6),MONTH($C$6)+A238,MIN(30,DAY(EOMONTH(DATE(YEAR($C$6),MONTH($C$6)+A238,1),0))))</f>
        <v/>
      </c>
      <c r="C238" s="114">
        <f>IFERROR(INDEX($B$14:$B$53,MATCH(MAXIFS($A$14:$A$53,$A$14:$A$53,"&lt;="&amp;B238),$A$14:$A$53,0)),$B$14)</f>
        <v/>
      </c>
      <c r="D238" s="49">
        <f>IFERROR(IF(H237&lt;=0,0,ABS(PMT(C238/12,189,-H237))),0)</f>
        <v/>
      </c>
      <c r="E238" s="49">
        <f>IF(H237&lt;=0,0,H237*C238/12)</f>
        <v/>
      </c>
      <c r="F238" s="49">
        <f>IF(D238=0,0,D238-E238)</f>
        <v/>
      </c>
      <c r="G238" s="49" t="n"/>
      <c r="H238" s="125">
        <f>MAX(H237-F238-IFERROR(G238,0),0)</f>
        <v/>
      </c>
      <c r="I238" s="32" t="n"/>
      <c r="J238" s="101" t="n"/>
    </row>
    <row r="239" ht="18" customHeight="1">
      <c r="A239" s="46" t="n">
        <v>173</v>
      </c>
      <c r="B239" s="124">
        <f>DATE(YEAR($C$6),MONTH($C$6)+A239,MIN(30,DAY(EOMONTH(DATE(YEAR($C$6),MONTH($C$6)+A239,1),0))))</f>
        <v/>
      </c>
      <c r="C239" s="115">
        <f>IFERROR(INDEX($B$14:$B$53,MATCH(MAXIFS($A$14:$A$53,$A$14:$A$53,"&lt;="&amp;B239),$A$14:$A$53,0)),$B$14)</f>
        <v/>
      </c>
      <c r="D239" s="47">
        <f>IFERROR(IF(H238&lt;=0,0,ABS(PMT(C239/12,188,-H238))),0)</f>
        <v/>
      </c>
      <c r="E239" s="47">
        <f>IF(H238&lt;=0,0,H238*C239/12)</f>
        <v/>
      </c>
      <c r="F239" s="47">
        <f>IF(D239=0,0,D239-E239)</f>
        <v/>
      </c>
      <c r="G239" s="49" t="n"/>
      <c r="H239" s="75">
        <f>MAX(H238-F239-IFERROR(G239,0),0)</f>
        <v/>
      </c>
      <c r="I239" s="46" t="n"/>
      <c r="J239" s="116" t="n"/>
    </row>
    <row r="240" ht="18" customHeight="1">
      <c r="A240" s="32" t="n">
        <v>174</v>
      </c>
      <c r="B240" s="31">
        <f>DATE(YEAR($C$6),MONTH($C$6)+A240,MIN(30,DAY(EOMONTH(DATE(YEAR($C$6),MONTH($C$6)+A240,1),0))))</f>
        <v/>
      </c>
      <c r="C240" s="114">
        <f>IFERROR(INDEX($B$14:$B$53,MATCH(MAXIFS($A$14:$A$53,$A$14:$A$53,"&lt;="&amp;B240),$A$14:$A$53,0)),$B$14)</f>
        <v/>
      </c>
      <c r="D240" s="49">
        <f>IFERROR(IF(H239&lt;=0,0,ABS(PMT(C240/12,187,-H239))),0)</f>
        <v/>
      </c>
      <c r="E240" s="49">
        <f>IF(H239&lt;=0,0,H239*C240/12)</f>
        <v/>
      </c>
      <c r="F240" s="49">
        <f>IF(D240=0,0,D240-E240)</f>
        <v/>
      </c>
      <c r="G240" s="49" t="n"/>
      <c r="H240" s="125">
        <f>MAX(H239-F240-IFERROR(G240,0),0)</f>
        <v/>
      </c>
      <c r="I240" s="32" t="n"/>
      <c r="J240" s="101" t="n"/>
    </row>
    <row r="241" ht="18" customHeight="1">
      <c r="A241" s="46" t="n">
        <v>175</v>
      </c>
      <c r="B241" s="124">
        <f>DATE(YEAR($C$6),MONTH($C$6)+A241,MIN(30,DAY(EOMONTH(DATE(YEAR($C$6),MONTH($C$6)+A241,1),0))))</f>
        <v/>
      </c>
      <c r="C241" s="115">
        <f>IFERROR(INDEX($B$14:$B$53,MATCH(MAXIFS($A$14:$A$53,$A$14:$A$53,"&lt;="&amp;B241),$A$14:$A$53,0)),$B$14)</f>
        <v/>
      </c>
      <c r="D241" s="47">
        <f>IFERROR(IF(H240&lt;=0,0,ABS(PMT(C241/12,186,-H240))),0)</f>
        <v/>
      </c>
      <c r="E241" s="47">
        <f>IF(H240&lt;=0,0,H240*C241/12)</f>
        <v/>
      </c>
      <c r="F241" s="47">
        <f>IF(D241=0,0,D241-E241)</f>
        <v/>
      </c>
      <c r="G241" s="49" t="n"/>
      <c r="H241" s="75">
        <f>MAX(H240-F241-IFERROR(G241,0),0)</f>
        <v/>
      </c>
      <c r="I241" s="46" t="n"/>
      <c r="J241" s="116" t="n"/>
    </row>
    <row r="242" ht="18" customHeight="1">
      <c r="A242" s="32" t="n">
        <v>176</v>
      </c>
      <c r="B242" s="31">
        <f>DATE(YEAR($C$6),MONTH($C$6)+A242,MIN(30,DAY(EOMONTH(DATE(YEAR($C$6),MONTH($C$6)+A242,1),0))))</f>
        <v/>
      </c>
      <c r="C242" s="114">
        <f>IFERROR(INDEX($B$14:$B$53,MATCH(MAXIFS($A$14:$A$53,$A$14:$A$53,"&lt;="&amp;B242),$A$14:$A$53,0)),$B$14)</f>
        <v/>
      </c>
      <c r="D242" s="49">
        <f>IFERROR(IF(H241&lt;=0,0,ABS(PMT(C242/12,185,-H241))),0)</f>
        <v/>
      </c>
      <c r="E242" s="49">
        <f>IF(H241&lt;=0,0,H241*C242/12)</f>
        <v/>
      </c>
      <c r="F242" s="49">
        <f>IF(D242=0,0,D242-E242)</f>
        <v/>
      </c>
      <c r="G242" s="49" t="n"/>
      <c r="H242" s="125">
        <f>MAX(H241-F242-IFERROR(G242,0),0)</f>
        <v/>
      </c>
      <c r="I242" s="32" t="n"/>
      <c r="J242" s="101" t="n"/>
    </row>
    <row r="243" ht="18" customHeight="1">
      <c r="A243" s="46" t="n">
        <v>177</v>
      </c>
      <c r="B243" s="124">
        <f>DATE(YEAR($C$6),MONTH($C$6)+A243,MIN(30,DAY(EOMONTH(DATE(YEAR($C$6),MONTH($C$6)+A243,1),0))))</f>
        <v/>
      </c>
      <c r="C243" s="115">
        <f>IFERROR(INDEX($B$14:$B$53,MATCH(MAXIFS($A$14:$A$53,$A$14:$A$53,"&lt;="&amp;B243),$A$14:$A$53,0)),$B$14)</f>
        <v/>
      </c>
      <c r="D243" s="47">
        <f>IFERROR(IF(H242&lt;=0,0,ABS(PMT(C243/12,184,-H242))),0)</f>
        <v/>
      </c>
      <c r="E243" s="47">
        <f>IF(H242&lt;=0,0,H242*C243/12)</f>
        <v/>
      </c>
      <c r="F243" s="47">
        <f>IF(D243=0,0,D243-E243)</f>
        <v/>
      </c>
      <c r="G243" s="49" t="n"/>
      <c r="H243" s="75">
        <f>MAX(H242-F243-IFERROR(G243,0),0)</f>
        <v/>
      </c>
      <c r="I243" s="46" t="n"/>
      <c r="J243" s="116" t="n"/>
    </row>
    <row r="244" ht="18" customHeight="1">
      <c r="A244" s="32" t="n">
        <v>178</v>
      </c>
      <c r="B244" s="31">
        <f>DATE(YEAR($C$6),MONTH($C$6)+A244,MIN(30,DAY(EOMONTH(DATE(YEAR($C$6),MONTH($C$6)+A244,1),0))))</f>
        <v/>
      </c>
      <c r="C244" s="114">
        <f>IFERROR(INDEX($B$14:$B$53,MATCH(MAXIFS($A$14:$A$53,$A$14:$A$53,"&lt;="&amp;B244),$A$14:$A$53,0)),$B$14)</f>
        <v/>
      </c>
      <c r="D244" s="49">
        <f>IFERROR(IF(H243&lt;=0,0,ABS(PMT(C244/12,183,-H243))),0)</f>
        <v/>
      </c>
      <c r="E244" s="49">
        <f>IF(H243&lt;=0,0,H243*C244/12)</f>
        <v/>
      </c>
      <c r="F244" s="49">
        <f>IF(D244=0,0,D244-E244)</f>
        <v/>
      </c>
      <c r="G244" s="49" t="n"/>
      <c r="H244" s="125">
        <f>MAX(H243-F244-IFERROR(G244,0),0)</f>
        <v/>
      </c>
      <c r="I244" s="32" t="n"/>
      <c r="J244" s="101" t="n"/>
    </row>
    <row r="245" ht="18" customHeight="1">
      <c r="A245" s="46" t="n">
        <v>179</v>
      </c>
      <c r="B245" s="124">
        <f>DATE(YEAR($C$6),MONTH($C$6)+A245,MIN(30,DAY(EOMONTH(DATE(YEAR($C$6),MONTH($C$6)+A245,1),0))))</f>
        <v/>
      </c>
      <c r="C245" s="115">
        <f>IFERROR(INDEX($B$14:$B$53,MATCH(MAXIFS($A$14:$A$53,$A$14:$A$53,"&lt;="&amp;B245),$A$14:$A$53,0)),$B$14)</f>
        <v/>
      </c>
      <c r="D245" s="47">
        <f>IFERROR(IF(H244&lt;=0,0,ABS(PMT(C245/12,182,-H244))),0)</f>
        <v/>
      </c>
      <c r="E245" s="47">
        <f>IF(H244&lt;=0,0,H244*C245/12)</f>
        <v/>
      </c>
      <c r="F245" s="47">
        <f>IF(D245=0,0,D245-E245)</f>
        <v/>
      </c>
      <c r="G245" s="49" t="n"/>
      <c r="H245" s="75">
        <f>MAX(H244-F245-IFERROR(G245,0),0)</f>
        <v/>
      </c>
      <c r="I245" s="46" t="n"/>
      <c r="J245" s="116" t="n"/>
    </row>
    <row r="246" ht="18" customHeight="1">
      <c r="A246" s="32" t="n">
        <v>180</v>
      </c>
      <c r="B246" s="31">
        <f>DATE(YEAR($C$6),MONTH($C$6)+A246,MIN(30,DAY(EOMONTH(DATE(YEAR($C$6),MONTH($C$6)+A246,1),0))))</f>
        <v/>
      </c>
      <c r="C246" s="114">
        <f>IFERROR(INDEX($B$14:$B$53,MATCH(MAXIFS($A$14:$A$53,$A$14:$A$53,"&lt;="&amp;B246),$A$14:$A$53,0)),$B$14)</f>
        <v/>
      </c>
      <c r="D246" s="49">
        <f>IFERROR(IF(H245&lt;=0,0,ABS(PMT(C246/12,181,-H245))),0)</f>
        <v/>
      </c>
      <c r="E246" s="49">
        <f>IF(H245&lt;=0,0,H245*C246/12)</f>
        <v/>
      </c>
      <c r="F246" s="49">
        <f>IF(D246=0,0,D246-E246)</f>
        <v/>
      </c>
      <c r="G246" s="49" t="n"/>
      <c r="H246" s="125">
        <f>MAX(H245-F246-IFERROR(G246,0),0)</f>
        <v/>
      </c>
      <c r="I246" s="32" t="n"/>
      <c r="J246" s="101" t="n"/>
    </row>
    <row r="247" ht="18" customHeight="1">
      <c r="A247" s="46" t="n">
        <v>181</v>
      </c>
      <c r="B247" s="124">
        <f>DATE(YEAR($C$6),MONTH($C$6)+A247,MIN(30,DAY(EOMONTH(DATE(YEAR($C$6),MONTH($C$6)+A247,1),0))))</f>
        <v/>
      </c>
      <c r="C247" s="115">
        <f>IFERROR(INDEX($B$14:$B$53,MATCH(MAXIFS($A$14:$A$53,$A$14:$A$53,"&lt;="&amp;B247),$A$14:$A$53,0)),$B$14)</f>
        <v/>
      </c>
      <c r="D247" s="47">
        <f>IFERROR(IF(H246&lt;=0,0,ABS(PMT(C247/12,180,-H246))),0)</f>
        <v/>
      </c>
      <c r="E247" s="47">
        <f>IF(H246&lt;=0,0,H246*C247/12)</f>
        <v/>
      </c>
      <c r="F247" s="47">
        <f>IF(D247=0,0,D247-E247)</f>
        <v/>
      </c>
      <c r="G247" s="49" t="n"/>
      <c r="H247" s="75">
        <f>MAX(H246-F247-IFERROR(G247,0),0)</f>
        <v/>
      </c>
      <c r="I247" s="46" t="n"/>
      <c r="J247" s="116" t="n"/>
    </row>
    <row r="248" ht="18" customHeight="1">
      <c r="A248" s="32" t="n">
        <v>182</v>
      </c>
      <c r="B248" s="31">
        <f>DATE(YEAR($C$6),MONTH($C$6)+A248,MIN(30,DAY(EOMONTH(DATE(YEAR($C$6),MONTH($C$6)+A248,1),0))))</f>
        <v/>
      </c>
      <c r="C248" s="114">
        <f>IFERROR(INDEX($B$14:$B$53,MATCH(MAXIFS($A$14:$A$53,$A$14:$A$53,"&lt;="&amp;B248),$A$14:$A$53,0)),$B$14)</f>
        <v/>
      </c>
      <c r="D248" s="49">
        <f>IFERROR(IF(H247&lt;=0,0,ABS(PMT(C248/12,179,-H247))),0)</f>
        <v/>
      </c>
      <c r="E248" s="49">
        <f>IF(H247&lt;=0,0,H247*C248/12)</f>
        <v/>
      </c>
      <c r="F248" s="49">
        <f>IF(D248=0,0,D248-E248)</f>
        <v/>
      </c>
      <c r="G248" s="49" t="n"/>
      <c r="H248" s="125">
        <f>MAX(H247-F248-IFERROR(G248,0),0)</f>
        <v/>
      </c>
      <c r="I248" s="32" t="n"/>
      <c r="J248" s="101" t="n"/>
    </row>
    <row r="249" ht="18" customHeight="1">
      <c r="A249" s="46" t="n">
        <v>183</v>
      </c>
      <c r="B249" s="124">
        <f>DATE(YEAR($C$6),MONTH($C$6)+A249,MIN(30,DAY(EOMONTH(DATE(YEAR($C$6),MONTH($C$6)+A249,1),0))))</f>
        <v/>
      </c>
      <c r="C249" s="115">
        <f>IFERROR(INDEX($B$14:$B$53,MATCH(MAXIFS($A$14:$A$53,$A$14:$A$53,"&lt;="&amp;B249),$A$14:$A$53,0)),$B$14)</f>
        <v/>
      </c>
      <c r="D249" s="47">
        <f>IFERROR(IF(H248&lt;=0,0,ABS(PMT(C249/12,178,-H248))),0)</f>
        <v/>
      </c>
      <c r="E249" s="47">
        <f>IF(H248&lt;=0,0,H248*C249/12)</f>
        <v/>
      </c>
      <c r="F249" s="47">
        <f>IF(D249=0,0,D249-E249)</f>
        <v/>
      </c>
      <c r="G249" s="49" t="n"/>
      <c r="H249" s="75">
        <f>MAX(H248-F249-IFERROR(G249,0),0)</f>
        <v/>
      </c>
      <c r="I249" s="46" t="n"/>
      <c r="J249" s="116" t="n"/>
    </row>
    <row r="250" ht="18" customHeight="1">
      <c r="A250" s="32" t="n">
        <v>184</v>
      </c>
      <c r="B250" s="31">
        <f>DATE(YEAR($C$6),MONTH($C$6)+A250,MIN(30,DAY(EOMONTH(DATE(YEAR($C$6),MONTH($C$6)+A250,1),0))))</f>
        <v/>
      </c>
      <c r="C250" s="114">
        <f>IFERROR(INDEX($B$14:$B$53,MATCH(MAXIFS($A$14:$A$53,$A$14:$A$53,"&lt;="&amp;B250),$A$14:$A$53,0)),$B$14)</f>
        <v/>
      </c>
      <c r="D250" s="49">
        <f>IFERROR(IF(H249&lt;=0,0,ABS(PMT(C250/12,177,-H249))),0)</f>
        <v/>
      </c>
      <c r="E250" s="49">
        <f>IF(H249&lt;=0,0,H249*C250/12)</f>
        <v/>
      </c>
      <c r="F250" s="49">
        <f>IF(D250=0,0,D250-E250)</f>
        <v/>
      </c>
      <c r="G250" s="49" t="n"/>
      <c r="H250" s="125">
        <f>MAX(H249-F250-IFERROR(G250,0),0)</f>
        <v/>
      </c>
      <c r="I250" s="32" t="n"/>
      <c r="J250" s="101" t="n"/>
    </row>
    <row r="251" ht="18" customHeight="1">
      <c r="A251" s="46" t="n">
        <v>185</v>
      </c>
      <c r="B251" s="124">
        <f>DATE(YEAR($C$6),MONTH($C$6)+A251,MIN(30,DAY(EOMONTH(DATE(YEAR($C$6),MONTH($C$6)+A251,1),0))))</f>
        <v/>
      </c>
      <c r="C251" s="115">
        <f>IFERROR(INDEX($B$14:$B$53,MATCH(MAXIFS($A$14:$A$53,$A$14:$A$53,"&lt;="&amp;B251),$A$14:$A$53,0)),$B$14)</f>
        <v/>
      </c>
      <c r="D251" s="47">
        <f>IFERROR(IF(H250&lt;=0,0,ABS(PMT(C251/12,176,-H250))),0)</f>
        <v/>
      </c>
      <c r="E251" s="47">
        <f>IF(H250&lt;=0,0,H250*C251/12)</f>
        <v/>
      </c>
      <c r="F251" s="47">
        <f>IF(D251=0,0,D251-E251)</f>
        <v/>
      </c>
      <c r="G251" s="49" t="n"/>
      <c r="H251" s="75">
        <f>MAX(H250-F251-IFERROR(G251,0),0)</f>
        <v/>
      </c>
      <c r="I251" s="46" t="n"/>
      <c r="J251" s="116" t="n"/>
    </row>
    <row r="252" ht="18" customHeight="1">
      <c r="A252" s="32" t="n">
        <v>186</v>
      </c>
      <c r="B252" s="31">
        <f>DATE(YEAR($C$6),MONTH($C$6)+A252,MIN(30,DAY(EOMONTH(DATE(YEAR($C$6),MONTH($C$6)+A252,1),0))))</f>
        <v/>
      </c>
      <c r="C252" s="114">
        <f>IFERROR(INDEX($B$14:$B$53,MATCH(MAXIFS($A$14:$A$53,$A$14:$A$53,"&lt;="&amp;B252),$A$14:$A$53,0)),$B$14)</f>
        <v/>
      </c>
      <c r="D252" s="49">
        <f>IFERROR(IF(H251&lt;=0,0,ABS(PMT(C252/12,175,-H251))),0)</f>
        <v/>
      </c>
      <c r="E252" s="49">
        <f>IF(H251&lt;=0,0,H251*C252/12)</f>
        <v/>
      </c>
      <c r="F252" s="49">
        <f>IF(D252=0,0,D252-E252)</f>
        <v/>
      </c>
      <c r="G252" s="49" t="n"/>
      <c r="H252" s="125">
        <f>MAX(H251-F252-IFERROR(G252,0),0)</f>
        <v/>
      </c>
      <c r="I252" s="32" t="n"/>
      <c r="J252" s="101" t="n"/>
    </row>
    <row r="253" ht="18" customHeight="1">
      <c r="A253" s="46" t="n">
        <v>187</v>
      </c>
      <c r="B253" s="124">
        <f>DATE(YEAR($C$6),MONTH($C$6)+A253,MIN(30,DAY(EOMONTH(DATE(YEAR($C$6),MONTH($C$6)+A253,1),0))))</f>
        <v/>
      </c>
      <c r="C253" s="115">
        <f>IFERROR(INDEX($B$14:$B$53,MATCH(MAXIFS($A$14:$A$53,$A$14:$A$53,"&lt;="&amp;B253),$A$14:$A$53,0)),$B$14)</f>
        <v/>
      </c>
      <c r="D253" s="47">
        <f>IFERROR(IF(H252&lt;=0,0,ABS(PMT(C253/12,174,-H252))),0)</f>
        <v/>
      </c>
      <c r="E253" s="47">
        <f>IF(H252&lt;=0,0,H252*C253/12)</f>
        <v/>
      </c>
      <c r="F253" s="47">
        <f>IF(D253=0,0,D253-E253)</f>
        <v/>
      </c>
      <c r="G253" s="49" t="n"/>
      <c r="H253" s="75">
        <f>MAX(H252-F253-IFERROR(G253,0),0)</f>
        <v/>
      </c>
      <c r="I253" s="46" t="n"/>
      <c r="J253" s="116" t="n"/>
    </row>
    <row r="254" ht="18" customHeight="1">
      <c r="A254" s="32" t="n">
        <v>188</v>
      </c>
      <c r="B254" s="31">
        <f>DATE(YEAR($C$6),MONTH($C$6)+A254,MIN(30,DAY(EOMONTH(DATE(YEAR($C$6),MONTH($C$6)+A254,1),0))))</f>
        <v/>
      </c>
      <c r="C254" s="114">
        <f>IFERROR(INDEX($B$14:$B$53,MATCH(MAXIFS($A$14:$A$53,$A$14:$A$53,"&lt;="&amp;B254),$A$14:$A$53,0)),$B$14)</f>
        <v/>
      </c>
      <c r="D254" s="49">
        <f>IFERROR(IF(H253&lt;=0,0,ABS(PMT(C254/12,173,-H253))),0)</f>
        <v/>
      </c>
      <c r="E254" s="49">
        <f>IF(H253&lt;=0,0,H253*C254/12)</f>
        <v/>
      </c>
      <c r="F254" s="49">
        <f>IF(D254=0,0,D254-E254)</f>
        <v/>
      </c>
      <c r="G254" s="49" t="n"/>
      <c r="H254" s="125">
        <f>MAX(H253-F254-IFERROR(G254,0),0)</f>
        <v/>
      </c>
      <c r="I254" s="32" t="n"/>
      <c r="J254" s="101" t="n"/>
    </row>
    <row r="255" ht="18" customHeight="1">
      <c r="A255" s="46" t="n">
        <v>189</v>
      </c>
      <c r="B255" s="124">
        <f>DATE(YEAR($C$6),MONTH($C$6)+A255,MIN(30,DAY(EOMONTH(DATE(YEAR($C$6),MONTH($C$6)+A255,1),0))))</f>
        <v/>
      </c>
      <c r="C255" s="115">
        <f>IFERROR(INDEX($B$14:$B$53,MATCH(MAXIFS($A$14:$A$53,$A$14:$A$53,"&lt;="&amp;B255),$A$14:$A$53,0)),$B$14)</f>
        <v/>
      </c>
      <c r="D255" s="47">
        <f>IFERROR(IF(H254&lt;=0,0,ABS(PMT(C255/12,172,-H254))),0)</f>
        <v/>
      </c>
      <c r="E255" s="47">
        <f>IF(H254&lt;=0,0,H254*C255/12)</f>
        <v/>
      </c>
      <c r="F255" s="47">
        <f>IF(D255=0,0,D255-E255)</f>
        <v/>
      </c>
      <c r="G255" s="49" t="n"/>
      <c r="H255" s="75">
        <f>MAX(H254-F255-IFERROR(G255,0),0)</f>
        <v/>
      </c>
      <c r="I255" s="46" t="n"/>
      <c r="J255" s="116" t="n"/>
    </row>
    <row r="256" ht="18" customHeight="1">
      <c r="A256" s="32" t="n">
        <v>190</v>
      </c>
      <c r="B256" s="31">
        <f>DATE(YEAR($C$6),MONTH($C$6)+A256,MIN(30,DAY(EOMONTH(DATE(YEAR($C$6),MONTH($C$6)+A256,1),0))))</f>
        <v/>
      </c>
      <c r="C256" s="114">
        <f>IFERROR(INDEX($B$14:$B$53,MATCH(MAXIFS($A$14:$A$53,$A$14:$A$53,"&lt;="&amp;B256),$A$14:$A$53,0)),$B$14)</f>
        <v/>
      </c>
      <c r="D256" s="49">
        <f>IFERROR(IF(H255&lt;=0,0,ABS(PMT(C256/12,171,-H255))),0)</f>
        <v/>
      </c>
      <c r="E256" s="49">
        <f>IF(H255&lt;=0,0,H255*C256/12)</f>
        <v/>
      </c>
      <c r="F256" s="49">
        <f>IF(D256=0,0,D256-E256)</f>
        <v/>
      </c>
      <c r="G256" s="49" t="n"/>
      <c r="H256" s="125">
        <f>MAX(H255-F256-IFERROR(G256,0),0)</f>
        <v/>
      </c>
      <c r="I256" s="32" t="n"/>
      <c r="J256" s="101" t="n"/>
    </row>
    <row r="257" ht="18" customHeight="1">
      <c r="A257" s="46" t="n">
        <v>191</v>
      </c>
      <c r="B257" s="124">
        <f>DATE(YEAR($C$6),MONTH($C$6)+A257,MIN(30,DAY(EOMONTH(DATE(YEAR($C$6),MONTH($C$6)+A257,1),0))))</f>
        <v/>
      </c>
      <c r="C257" s="115">
        <f>IFERROR(INDEX($B$14:$B$53,MATCH(MAXIFS($A$14:$A$53,$A$14:$A$53,"&lt;="&amp;B257),$A$14:$A$53,0)),$B$14)</f>
        <v/>
      </c>
      <c r="D257" s="47">
        <f>IFERROR(IF(H256&lt;=0,0,ABS(PMT(C257/12,170,-H256))),0)</f>
        <v/>
      </c>
      <c r="E257" s="47">
        <f>IF(H256&lt;=0,0,H256*C257/12)</f>
        <v/>
      </c>
      <c r="F257" s="47">
        <f>IF(D257=0,0,D257-E257)</f>
        <v/>
      </c>
      <c r="G257" s="49" t="n"/>
      <c r="H257" s="75">
        <f>MAX(H256-F257-IFERROR(G257,0),0)</f>
        <v/>
      </c>
      <c r="I257" s="46" t="n"/>
      <c r="J257" s="116" t="n"/>
    </row>
    <row r="258" ht="18" customHeight="1">
      <c r="A258" s="32" t="n">
        <v>192</v>
      </c>
      <c r="B258" s="31">
        <f>DATE(YEAR($C$6),MONTH($C$6)+A258,MIN(30,DAY(EOMONTH(DATE(YEAR($C$6),MONTH($C$6)+A258,1),0))))</f>
        <v/>
      </c>
      <c r="C258" s="114">
        <f>IFERROR(INDEX($B$14:$B$53,MATCH(MAXIFS($A$14:$A$53,$A$14:$A$53,"&lt;="&amp;B258),$A$14:$A$53,0)),$B$14)</f>
        <v/>
      </c>
      <c r="D258" s="49">
        <f>IFERROR(IF(H257&lt;=0,0,ABS(PMT(C258/12,169,-H257))),0)</f>
        <v/>
      </c>
      <c r="E258" s="49">
        <f>IF(H257&lt;=0,0,H257*C258/12)</f>
        <v/>
      </c>
      <c r="F258" s="49">
        <f>IF(D258=0,0,D258-E258)</f>
        <v/>
      </c>
      <c r="G258" s="49" t="n"/>
      <c r="H258" s="125">
        <f>MAX(H257-F258-IFERROR(G258,0),0)</f>
        <v/>
      </c>
      <c r="I258" s="32" t="n"/>
      <c r="J258" s="101" t="n"/>
    </row>
    <row r="259" ht="18" customHeight="1">
      <c r="A259" s="46" t="n">
        <v>193</v>
      </c>
      <c r="B259" s="124">
        <f>DATE(YEAR($C$6),MONTH($C$6)+A259,MIN(30,DAY(EOMONTH(DATE(YEAR($C$6),MONTH($C$6)+A259,1),0))))</f>
        <v/>
      </c>
      <c r="C259" s="115">
        <f>IFERROR(INDEX($B$14:$B$53,MATCH(MAXIFS($A$14:$A$53,$A$14:$A$53,"&lt;="&amp;B259),$A$14:$A$53,0)),$B$14)</f>
        <v/>
      </c>
      <c r="D259" s="47">
        <f>IFERROR(IF(H258&lt;=0,0,ABS(PMT(C259/12,168,-H258))),0)</f>
        <v/>
      </c>
      <c r="E259" s="47">
        <f>IF(H258&lt;=0,0,H258*C259/12)</f>
        <v/>
      </c>
      <c r="F259" s="47">
        <f>IF(D259=0,0,D259-E259)</f>
        <v/>
      </c>
      <c r="G259" s="49" t="n"/>
      <c r="H259" s="75">
        <f>MAX(H258-F259-IFERROR(G259,0),0)</f>
        <v/>
      </c>
      <c r="I259" s="46" t="n"/>
      <c r="J259" s="116" t="n"/>
    </row>
    <row r="260" ht="18" customHeight="1">
      <c r="A260" s="32" t="n">
        <v>194</v>
      </c>
      <c r="B260" s="31">
        <f>DATE(YEAR($C$6),MONTH($C$6)+A260,MIN(30,DAY(EOMONTH(DATE(YEAR($C$6),MONTH($C$6)+A260,1),0))))</f>
        <v/>
      </c>
      <c r="C260" s="114">
        <f>IFERROR(INDEX($B$14:$B$53,MATCH(MAXIFS($A$14:$A$53,$A$14:$A$53,"&lt;="&amp;B260),$A$14:$A$53,0)),$B$14)</f>
        <v/>
      </c>
      <c r="D260" s="49">
        <f>IFERROR(IF(H259&lt;=0,0,ABS(PMT(C260/12,167,-H259))),0)</f>
        <v/>
      </c>
      <c r="E260" s="49">
        <f>IF(H259&lt;=0,0,H259*C260/12)</f>
        <v/>
      </c>
      <c r="F260" s="49">
        <f>IF(D260=0,0,D260-E260)</f>
        <v/>
      </c>
      <c r="G260" s="49" t="n"/>
      <c r="H260" s="125">
        <f>MAX(H259-F260-IFERROR(G260,0),0)</f>
        <v/>
      </c>
      <c r="I260" s="32" t="n"/>
      <c r="J260" s="101" t="n"/>
    </row>
    <row r="261" ht="18" customHeight="1">
      <c r="A261" s="46" t="n">
        <v>195</v>
      </c>
      <c r="B261" s="124">
        <f>DATE(YEAR($C$6),MONTH($C$6)+A261,MIN(30,DAY(EOMONTH(DATE(YEAR($C$6),MONTH($C$6)+A261,1),0))))</f>
        <v/>
      </c>
      <c r="C261" s="115">
        <f>IFERROR(INDEX($B$14:$B$53,MATCH(MAXIFS($A$14:$A$53,$A$14:$A$53,"&lt;="&amp;B261),$A$14:$A$53,0)),$B$14)</f>
        <v/>
      </c>
      <c r="D261" s="47">
        <f>IFERROR(IF(H260&lt;=0,0,ABS(PMT(C261/12,166,-H260))),0)</f>
        <v/>
      </c>
      <c r="E261" s="47">
        <f>IF(H260&lt;=0,0,H260*C261/12)</f>
        <v/>
      </c>
      <c r="F261" s="47">
        <f>IF(D261=0,0,D261-E261)</f>
        <v/>
      </c>
      <c r="G261" s="49" t="n"/>
      <c r="H261" s="75">
        <f>MAX(H260-F261-IFERROR(G261,0),0)</f>
        <v/>
      </c>
      <c r="I261" s="46" t="n"/>
      <c r="J261" s="116" t="n"/>
    </row>
    <row r="262" ht="18" customHeight="1">
      <c r="A262" s="32" t="n">
        <v>196</v>
      </c>
      <c r="B262" s="31">
        <f>DATE(YEAR($C$6),MONTH($C$6)+A262,MIN(30,DAY(EOMONTH(DATE(YEAR($C$6),MONTH($C$6)+A262,1),0))))</f>
        <v/>
      </c>
      <c r="C262" s="114">
        <f>IFERROR(INDEX($B$14:$B$53,MATCH(MAXIFS($A$14:$A$53,$A$14:$A$53,"&lt;="&amp;B262),$A$14:$A$53,0)),$B$14)</f>
        <v/>
      </c>
      <c r="D262" s="49">
        <f>IFERROR(IF(H261&lt;=0,0,ABS(PMT(C262/12,165,-H261))),0)</f>
        <v/>
      </c>
      <c r="E262" s="49">
        <f>IF(H261&lt;=0,0,H261*C262/12)</f>
        <v/>
      </c>
      <c r="F262" s="49">
        <f>IF(D262=0,0,D262-E262)</f>
        <v/>
      </c>
      <c r="G262" s="49" t="n"/>
      <c r="H262" s="125">
        <f>MAX(H261-F262-IFERROR(G262,0),0)</f>
        <v/>
      </c>
      <c r="I262" s="32" t="n"/>
      <c r="J262" s="101" t="n"/>
    </row>
    <row r="263" ht="18" customHeight="1">
      <c r="A263" s="46" t="n">
        <v>197</v>
      </c>
      <c r="B263" s="124">
        <f>DATE(YEAR($C$6),MONTH($C$6)+A263,MIN(30,DAY(EOMONTH(DATE(YEAR($C$6),MONTH($C$6)+A263,1),0))))</f>
        <v/>
      </c>
      <c r="C263" s="115">
        <f>IFERROR(INDEX($B$14:$B$53,MATCH(MAXIFS($A$14:$A$53,$A$14:$A$53,"&lt;="&amp;B263),$A$14:$A$53,0)),$B$14)</f>
        <v/>
      </c>
      <c r="D263" s="47">
        <f>IFERROR(IF(H262&lt;=0,0,ABS(PMT(C263/12,164,-H262))),0)</f>
        <v/>
      </c>
      <c r="E263" s="47">
        <f>IF(H262&lt;=0,0,H262*C263/12)</f>
        <v/>
      </c>
      <c r="F263" s="47">
        <f>IF(D263=0,0,D263-E263)</f>
        <v/>
      </c>
      <c r="G263" s="49" t="n"/>
      <c r="H263" s="75">
        <f>MAX(H262-F263-IFERROR(G263,0),0)</f>
        <v/>
      </c>
      <c r="I263" s="46" t="n"/>
      <c r="J263" s="116" t="n"/>
    </row>
    <row r="264" ht="18" customHeight="1">
      <c r="A264" s="32" t="n">
        <v>198</v>
      </c>
      <c r="B264" s="31">
        <f>DATE(YEAR($C$6),MONTH($C$6)+A264,MIN(30,DAY(EOMONTH(DATE(YEAR($C$6),MONTH($C$6)+A264,1),0))))</f>
        <v/>
      </c>
      <c r="C264" s="114">
        <f>IFERROR(INDEX($B$14:$B$53,MATCH(MAXIFS($A$14:$A$53,$A$14:$A$53,"&lt;="&amp;B264),$A$14:$A$53,0)),$B$14)</f>
        <v/>
      </c>
      <c r="D264" s="49">
        <f>IFERROR(IF(H263&lt;=0,0,ABS(PMT(C264/12,163,-H263))),0)</f>
        <v/>
      </c>
      <c r="E264" s="49">
        <f>IF(H263&lt;=0,0,H263*C264/12)</f>
        <v/>
      </c>
      <c r="F264" s="49">
        <f>IF(D264=0,0,D264-E264)</f>
        <v/>
      </c>
      <c r="G264" s="49" t="n"/>
      <c r="H264" s="125">
        <f>MAX(H263-F264-IFERROR(G264,0),0)</f>
        <v/>
      </c>
      <c r="I264" s="32" t="n"/>
      <c r="J264" s="101" t="n"/>
    </row>
    <row r="265" ht="18" customHeight="1">
      <c r="A265" s="46" t="n">
        <v>199</v>
      </c>
      <c r="B265" s="124">
        <f>DATE(YEAR($C$6),MONTH($C$6)+A265,MIN(30,DAY(EOMONTH(DATE(YEAR($C$6),MONTH($C$6)+A265,1),0))))</f>
        <v/>
      </c>
      <c r="C265" s="115">
        <f>IFERROR(INDEX($B$14:$B$53,MATCH(MAXIFS($A$14:$A$53,$A$14:$A$53,"&lt;="&amp;B265),$A$14:$A$53,0)),$B$14)</f>
        <v/>
      </c>
      <c r="D265" s="47">
        <f>IFERROR(IF(H264&lt;=0,0,ABS(PMT(C265/12,162,-H264))),0)</f>
        <v/>
      </c>
      <c r="E265" s="47">
        <f>IF(H264&lt;=0,0,H264*C265/12)</f>
        <v/>
      </c>
      <c r="F265" s="47">
        <f>IF(D265=0,0,D265-E265)</f>
        <v/>
      </c>
      <c r="G265" s="49" t="n"/>
      <c r="H265" s="75">
        <f>MAX(H264-F265-IFERROR(G265,0),0)</f>
        <v/>
      </c>
      <c r="I265" s="46" t="n"/>
      <c r="J265" s="116" t="n"/>
    </row>
    <row r="266" ht="18" customHeight="1">
      <c r="A266" s="32" t="n">
        <v>200</v>
      </c>
      <c r="B266" s="31">
        <f>DATE(YEAR($C$6),MONTH($C$6)+A266,MIN(30,DAY(EOMONTH(DATE(YEAR($C$6),MONTH($C$6)+A266,1),0))))</f>
        <v/>
      </c>
      <c r="C266" s="114">
        <f>IFERROR(INDEX($B$14:$B$53,MATCH(MAXIFS($A$14:$A$53,$A$14:$A$53,"&lt;="&amp;B266),$A$14:$A$53,0)),$B$14)</f>
        <v/>
      </c>
      <c r="D266" s="49">
        <f>IFERROR(IF(H265&lt;=0,0,ABS(PMT(C266/12,161,-H265))),0)</f>
        <v/>
      </c>
      <c r="E266" s="49">
        <f>IF(H265&lt;=0,0,H265*C266/12)</f>
        <v/>
      </c>
      <c r="F266" s="49">
        <f>IF(D266=0,0,D266-E266)</f>
        <v/>
      </c>
      <c r="G266" s="49" t="n"/>
      <c r="H266" s="125">
        <f>MAX(H265-F266-IFERROR(G266,0),0)</f>
        <v/>
      </c>
      <c r="I266" s="32" t="n"/>
      <c r="J266" s="101" t="n"/>
    </row>
    <row r="267" ht="18" customHeight="1">
      <c r="A267" s="46" t="n">
        <v>201</v>
      </c>
      <c r="B267" s="124">
        <f>DATE(YEAR($C$6),MONTH($C$6)+A267,MIN(30,DAY(EOMONTH(DATE(YEAR($C$6),MONTH($C$6)+A267,1),0))))</f>
        <v/>
      </c>
      <c r="C267" s="115">
        <f>IFERROR(INDEX($B$14:$B$53,MATCH(MAXIFS($A$14:$A$53,$A$14:$A$53,"&lt;="&amp;B267),$A$14:$A$53,0)),$B$14)</f>
        <v/>
      </c>
      <c r="D267" s="47">
        <f>IFERROR(IF(H266&lt;=0,0,ABS(PMT(C267/12,160,-H266))),0)</f>
        <v/>
      </c>
      <c r="E267" s="47">
        <f>IF(H266&lt;=0,0,H266*C267/12)</f>
        <v/>
      </c>
      <c r="F267" s="47">
        <f>IF(D267=0,0,D267-E267)</f>
        <v/>
      </c>
      <c r="G267" s="49" t="n"/>
      <c r="H267" s="75">
        <f>MAX(H266-F267-IFERROR(G267,0),0)</f>
        <v/>
      </c>
      <c r="I267" s="46" t="n"/>
      <c r="J267" s="116" t="n"/>
    </row>
    <row r="268" ht="18" customHeight="1">
      <c r="A268" s="32" t="n">
        <v>202</v>
      </c>
      <c r="B268" s="31">
        <f>DATE(YEAR($C$6),MONTH($C$6)+A268,MIN(30,DAY(EOMONTH(DATE(YEAR($C$6),MONTH($C$6)+A268,1),0))))</f>
        <v/>
      </c>
      <c r="C268" s="114">
        <f>IFERROR(INDEX($B$14:$B$53,MATCH(MAXIFS($A$14:$A$53,$A$14:$A$53,"&lt;="&amp;B268),$A$14:$A$53,0)),$B$14)</f>
        <v/>
      </c>
      <c r="D268" s="49">
        <f>IFERROR(IF(H267&lt;=0,0,ABS(PMT(C268/12,159,-H267))),0)</f>
        <v/>
      </c>
      <c r="E268" s="49">
        <f>IF(H267&lt;=0,0,H267*C268/12)</f>
        <v/>
      </c>
      <c r="F268" s="49">
        <f>IF(D268=0,0,D268-E268)</f>
        <v/>
      </c>
      <c r="G268" s="49" t="n"/>
      <c r="H268" s="125">
        <f>MAX(H267-F268-IFERROR(G268,0),0)</f>
        <v/>
      </c>
      <c r="I268" s="32" t="n"/>
      <c r="J268" s="101" t="n"/>
    </row>
    <row r="269" ht="18" customHeight="1">
      <c r="A269" s="46" t="n">
        <v>203</v>
      </c>
      <c r="B269" s="124">
        <f>DATE(YEAR($C$6),MONTH($C$6)+A269,MIN(30,DAY(EOMONTH(DATE(YEAR($C$6),MONTH($C$6)+A269,1),0))))</f>
        <v/>
      </c>
      <c r="C269" s="115">
        <f>IFERROR(INDEX($B$14:$B$53,MATCH(MAXIFS($A$14:$A$53,$A$14:$A$53,"&lt;="&amp;B269),$A$14:$A$53,0)),$B$14)</f>
        <v/>
      </c>
      <c r="D269" s="47">
        <f>IFERROR(IF(H268&lt;=0,0,ABS(PMT(C269/12,158,-H268))),0)</f>
        <v/>
      </c>
      <c r="E269" s="47">
        <f>IF(H268&lt;=0,0,H268*C269/12)</f>
        <v/>
      </c>
      <c r="F269" s="47">
        <f>IF(D269=0,0,D269-E269)</f>
        <v/>
      </c>
      <c r="G269" s="49" t="n"/>
      <c r="H269" s="75">
        <f>MAX(H268-F269-IFERROR(G269,0),0)</f>
        <v/>
      </c>
      <c r="I269" s="46" t="n"/>
      <c r="J269" s="116" t="n"/>
    </row>
    <row r="270" ht="18" customHeight="1">
      <c r="A270" s="32" t="n">
        <v>204</v>
      </c>
      <c r="B270" s="31">
        <f>DATE(YEAR($C$6),MONTH($C$6)+A270,MIN(30,DAY(EOMONTH(DATE(YEAR($C$6),MONTH($C$6)+A270,1),0))))</f>
        <v/>
      </c>
      <c r="C270" s="114">
        <f>IFERROR(INDEX($B$14:$B$53,MATCH(MAXIFS($A$14:$A$53,$A$14:$A$53,"&lt;="&amp;B270),$A$14:$A$53,0)),$B$14)</f>
        <v/>
      </c>
      <c r="D270" s="49">
        <f>IFERROR(IF(H269&lt;=0,0,ABS(PMT(C270/12,157,-H269))),0)</f>
        <v/>
      </c>
      <c r="E270" s="49">
        <f>IF(H269&lt;=0,0,H269*C270/12)</f>
        <v/>
      </c>
      <c r="F270" s="49">
        <f>IF(D270=0,0,D270-E270)</f>
        <v/>
      </c>
      <c r="G270" s="49" t="n"/>
      <c r="H270" s="125">
        <f>MAX(H269-F270-IFERROR(G270,0),0)</f>
        <v/>
      </c>
      <c r="I270" s="32" t="n"/>
      <c r="J270" s="101" t="n"/>
    </row>
    <row r="271" ht="18" customHeight="1">
      <c r="A271" s="46" t="n">
        <v>205</v>
      </c>
      <c r="B271" s="124">
        <f>DATE(YEAR($C$6),MONTH($C$6)+A271,MIN(30,DAY(EOMONTH(DATE(YEAR($C$6),MONTH($C$6)+A271,1),0))))</f>
        <v/>
      </c>
      <c r="C271" s="115">
        <f>IFERROR(INDEX($B$14:$B$53,MATCH(MAXIFS($A$14:$A$53,$A$14:$A$53,"&lt;="&amp;B271),$A$14:$A$53,0)),$B$14)</f>
        <v/>
      </c>
      <c r="D271" s="47">
        <f>IFERROR(IF(H270&lt;=0,0,ABS(PMT(C271/12,156,-H270))),0)</f>
        <v/>
      </c>
      <c r="E271" s="47">
        <f>IF(H270&lt;=0,0,H270*C271/12)</f>
        <v/>
      </c>
      <c r="F271" s="47">
        <f>IF(D271=0,0,D271-E271)</f>
        <v/>
      </c>
      <c r="G271" s="49" t="n"/>
      <c r="H271" s="75">
        <f>MAX(H270-F271-IFERROR(G271,0),0)</f>
        <v/>
      </c>
      <c r="I271" s="46" t="n"/>
      <c r="J271" s="116" t="n"/>
    </row>
    <row r="272" ht="18" customHeight="1">
      <c r="A272" s="32" t="n">
        <v>206</v>
      </c>
      <c r="B272" s="31">
        <f>DATE(YEAR($C$6),MONTH($C$6)+A272,MIN(30,DAY(EOMONTH(DATE(YEAR($C$6),MONTH($C$6)+A272,1),0))))</f>
        <v/>
      </c>
      <c r="C272" s="114">
        <f>IFERROR(INDEX($B$14:$B$53,MATCH(MAXIFS($A$14:$A$53,$A$14:$A$53,"&lt;="&amp;B272),$A$14:$A$53,0)),$B$14)</f>
        <v/>
      </c>
      <c r="D272" s="49">
        <f>IFERROR(IF(H271&lt;=0,0,ABS(PMT(C272/12,155,-H271))),0)</f>
        <v/>
      </c>
      <c r="E272" s="49">
        <f>IF(H271&lt;=0,0,H271*C272/12)</f>
        <v/>
      </c>
      <c r="F272" s="49">
        <f>IF(D272=0,0,D272-E272)</f>
        <v/>
      </c>
      <c r="G272" s="49" t="n"/>
      <c r="H272" s="125">
        <f>MAX(H271-F272-IFERROR(G272,0),0)</f>
        <v/>
      </c>
      <c r="I272" s="32" t="n"/>
      <c r="J272" s="101" t="n"/>
    </row>
    <row r="273" ht="18" customHeight="1">
      <c r="A273" s="46" t="n">
        <v>207</v>
      </c>
      <c r="B273" s="124">
        <f>DATE(YEAR($C$6),MONTH($C$6)+A273,MIN(30,DAY(EOMONTH(DATE(YEAR($C$6),MONTH($C$6)+A273,1),0))))</f>
        <v/>
      </c>
      <c r="C273" s="115">
        <f>IFERROR(INDEX($B$14:$B$53,MATCH(MAXIFS($A$14:$A$53,$A$14:$A$53,"&lt;="&amp;B273),$A$14:$A$53,0)),$B$14)</f>
        <v/>
      </c>
      <c r="D273" s="47">
        <f>IFERROR(IF(H272&lt;=0,0,ABS(PMT(C273/12,154,-H272))),0)</f>
        <v/>
      </c>
      <c r="E273" s="47">
        <f>IF(H272&lt;=0,0,H272*C273/12)</f>
        <v/>
      </c>
      <c r="F273" s="47">
        <f>IF(D273=0,0,D273-E273)</f>
        <v/>
      </c>
      <c r="G273" s="49" t="n"/>
      <c r="H273" s="75">
        <f>MAX(H272-F273-IFERROR(G273,0),0)</f>
        <v/>
      </c>
      <c r="I273" s="46" t="n"/>
      <c r="J273" s="116" t="n"/>
    </row>
    <row r="274" ht="18" customHeight="1">
      <c r="A274" s="32" t="n">
        <v>208</v>
      </c>
      <c r="B274" s="31">
        <f>DATE(YEAR($C$6),MONTH($C$6)+A274,MIN(30,DAY(EOMONTH(DATE(YEAR($C$6),MONTH($C$6)+A274,1),0))))</f>
        <v/>
      </c>
      <c r="C274" s="114">
        <f>IFERROR(INDEX($B$14:$B$53,MATCH(MAXIFS($A$14:$A$53,$A$14:$A$53,"&lt;="&amp;B274),$A$14:$A$53,0)),$B$14)</f>
        <v/>
      </c>
      <c r="D274" s="49">
        <f>IFERROR(IF(H273&lt;=0,0,ABS(PMT(C274/12,153,-H273))),0)</f>
        <v/>
      </c>
      <c r="E274" s="49">
        <f>IF(H273&lt;=0,0,H273*C274/12)</f>
        <v/>
      </c>
      <c r="F274" s="49">
        <f>IF(D274=0,0,D274-E274)</f>
        <v/>
      </c>
      <c r="G274" s="49" t="n"/>
      <c r="H274" s="125">
        <f>MAX(H273-F274-IFERROR(G274,0),0)</f>
        <v/>
      </c>
      <c r="I274" s="32" t="n"/>
      <c r="J274" s="101" t="n"/>
    </row>
    <row r="275" ht="18" customHeight="1">
      <c r="A275" s="46" t="n">
        <v>209</v>
      </c>
      <c r="B275" s="124">
        <f>DATE(YEAR($C$6),MONTH($C$6)+A275,MIN(30,DAY(EOMONTH(DATE(YEAR($C$6),MONTH($C$6)+A275,1),0))))</f>
        <v/>
      </c>
      <c r="C275" s="115">
        <f>IFERROR(INDEX($B$14:$B$53,MATCH(MAXIFS($A$14:$A$53,$A$14:$A$53,"&lt;="&amp;B275),$A$14:$A$53,0)),$B$14)</f>
        <v/>
      </c>
      <c r="D275" s="47">
        <f>IFERROR(IF(H274&lt;=0,0,ABS(PMT(C275/12,152,-H274))),0)</f>
        <v/>
      </c>
      <c r="E275" s="47">
        <f>IF(H274&lt;=0,0,H274*C275/12)</f>
        <v/>
      </c>
      <c r="F275" s="47">
        <f>IF(D275=0,0,D275-E275)</f>
        <v/>
      </c>
      <c r="G275" s="49" t="n"/>
      <c r="H275" s="75">
        <f>MAX(H274-F275-IFERROR(G275,0),0)</f>
        <v/>
      </c>
      <c r="I275" s="46" t="n"/>
      <c r="J275" s="116" t="n"/>
    </row>
    <row r="276" ht="18" customHeight="1">
      <c r="A276" s="32" t="n">
        <v>210</v>
      </c>
      <c r="B276" s="31">
        <f>DATE(YEAR($C$6),MONTH($C$6)+A276,MIN(30,DAY(EOMONTH(DATE(YEAR($C$6),MONTH($C$6)+A276,1),0))))</f>
        <v/>
      </c>
      <c r="C276" s="114">
        <f>IFERROR(INDEX($B$14:$B$53,MATCH(MAXIFS($A$14:$A$53,$A$14:$A$53,"&lt;="&amp;B276),$A$14:$A$53,0)),$B$14)</f>
        <v/>
      </c>
      <c r="D276" s="49">
        <f>IFERROR(IF(H275&lt;=0,0,ABS(PMT(C276/12,151,-H275))),0)</f>
        <v/>
      </c>
      <c r="E276" s="49">
        <f>IF(H275&lt;=0,0,H275*C276/12)</f>
        <v/>
      </c>
      <c r="F276" s="49">
        <f>IF(D276=0,0,D276-E276)</f>
        <v/>
      </c>
      <c r="G276" s="49" t="n"/>
      <c r="H276" s="125">
        <f>MAX(H275-F276-IFERROR(G276,0),0)</f>
        <v/>
      </c>
      <c r="I276" s="32" t="n"/>
      <c r="J276" s="101" t="n"/>
    </row>
    <row r="277" ht="18" customHeight="1">
      <c r="A277" s="46" t="n">
        <v>211</v>
      </c>
      <c r="B277" s="124">
        <f>DATE(YEAR($C$6),MONTH($C$6)+A277,MIN(30,DAY(EOMONTH(DATE(YEAR($C$6),MONTH($C$6)+A277,1),0))))</f>
        <v/>
      </c>
      <c r="C277" s="115">
        <f>IFERROR(INDEX($B$14:$B$53,MATCH(MAXIFS($A$14:$A$53,$A$14:$A$53,"&lt;="&amp;B277),$A$14:$A$53,0)),$B$14)</f>
        <v/>
      </c>
      <c r="D277" s="47">
        <f>IFERROR(IF(H276&lt;=0,0,ABS(PMT(C277/12,150,-H276))),0)</f>
        <v/>
      </c>
      <c r="E277" s="47">
        <f>IF(H276&lt;=0,0,H276*C277/12)</f>
        <v/>
      </c>
      <c r="F277" s="47">
        <f>IF(D277=0,0,D277-E277)</f>
        <v/>
      </c>
      <c r="G277" s="49" t="n"/>
      <c r="H277" s="75">
        <f>MAX(H276-F277-IFERROR(G277,0),0)</f>
        <v/>
      </c>
      <c r="I277" s="46" t="n"/>
      <c r="J277" s="116" t="n"/>
    </row>
    <row r="278" ht="18" customHeight="1">
      <c r="A278" s="32" t="n">
        <v>212</v>
      </c>
      <c r="B278" s="31">
        <f>DATE(YEAR($C$6),MONTH($C$6)+A278,MIN(30,DAY(EOMONTH(DATE(YEAR($C$6),MONTH($C$6)+A278,1),0))))</f>
        <v/>
      </c>
      <c r="C278" s="114">
        <f>IFERROR(INDEX($B$14:$B$53,MATCH(MAXIFS($A$14:$A$53,$A$14:$A$53,"&lt;="&amp;B278),$A$14:$A$53,0)),$B$14)</f>
        <v/>
      </c>
      <c r="D278" s="49">
        <f>IFERROR(IF(H277&lt;=0,0,ABS(PMT(C278/12,149,-H277))),0)</f>
        <v/>
      </c>
      <c r="E278" s="49">
        <f>IF(H277&lt;=0,0,H277*C278/12)</f>
        <v/>
      </c>
      <c r="F278" s="49">
        <f>IF(D278=0,0,D278-E278)</f>
        <v/>
      </c>
      <c r="G278" s="49" t="n"/>
      <c r="H278" s="125">
        <f>MAX(H277-F278-IFERROR(G278,0),0)</f>
        <v/>
      </c>
      <c r="I278" s="32" t="n"/>
      <c r="J278" s="101" t="n"/>
    </row>
    <row r="279" ht="18" customHeight="1">
      <c r="A279" s="46" t="n">
        <v>213</v>
      </c>
      <c r="B279" s="124">
        <f>DATE(YEAR($C$6),MONTH($C$6)+A279,MIN(30,DAY(EOMONTH(DATE(YEAR($C$6),MONTH($C$6)+A279,1),0))))</f>
        <v/>
      </c>
      <c r="C279" s="115">
        <f>IFERROR(INDEX($B$14:$B$53,MATCH(MAXIFS($A$14:$A$53,$A$14:$A$53,"&lt;="&amp;B279),$A$14:$A$53,0)),$B$14)</f>
        <v/>
      </c>
      <c r="D279" s="47">
        <f>IFERROR(IF(H278&lt;=0,0,ABS(PMT(C279/12,148,-H278))),0)</f>
        <v/>
      </c>
      <c r="E279" s="47">
        <f>IF(H278&lt;=0,0,H278*C279/12)</f>
        <v/>
      </c>
      <c r="F279" s="47">
        <f>IF(D279=0,0,D279-E279)</f>
        <v/>
      </c>
      <c r="G279" s="49" t="n"/>
      <c r="H279" s="75">
        <f>MAX(H278-F279-IFERROR(G279,0),0)</f>
        <v/>
      </c>
      <c r="I279" s="46" t="n"/>
      <c r="J279" s="116" t="n"/>
    </row>
    <row r="280" ht="18" customHeight="1">
      <c r="A280" s="32" t="n">
        <v>214</v>
      </c>
      <c r="B280" s="31">
        <f>DATE(YEAR($C$6),MONTH($C$6)+A280,MIN(30,DAY(EOMONTH(DATE(YEAR($C$6),MONTH($C$6)+A280,1),0))))</f>
        <v/>
      </c>
      <c r="C280" s="114">
        <f>IFERROR(INDEX($B$14:$B$53,MATCH(MAXIFS($A$14:$A$53,$A$14:$A$53,"&lt;="&amp;B280),$A$14:$A$53,0)),$B$14)</f>
        <v/>
      </c>
      <c r="D280" s="49">
        <f>IFERROR(IF(H279&lt;=0,0,ABS(PMT(C280/12,147,-H279))),0)</f>
        <v/>
      </c>
      <c r="E280" s="49">
        <f>IF(H279&lt;=0,0,H279*C280/12)</f>
        <v/>
      </c>
      <c r="F280" s="49">
        <f>IF(D280=0,0,D280-E280)</f>
        <v/>
      </c>
      <c r="G280" s="49" t="n"/>
      <c r="H280" s="125">
        <f>MAX(H279-F280-IFERROR(G280,0),0)</f>
        <v/>
      </c>
      <c r="I280" s="32" t="n"/>
      <c r="J280" s="101" t="n"/>
    </row>
    <row r="281" ht="18" customHeight="1">
      <c r="A281" s="46" t="n">
        <v>215</v>
      </c>
      <c r="B281" s="124">
        <f>DATE(YEAR($C$6),MONTH($C$6)+A281,MIN(30,DAY(EOMONTH(DATE(YEAR($C$6),MONTH($C$6)+A281,1),0))))</f>
        <v/>
      </c>
      <c r="C281" s="115">
        <f>IFERROR(INDEX($B$14:$B$53,MATCH(MAXIFS($A$14:$A$53,$A$14:$A$53,"&lt;="&amp;B281),$A$14:$A$53,0)),$B$14)</f>
        <v/>
      </c>
      <c r="D281" s="47">
        <f>IFERROR(IF(H280&lt;=0,0,ABS(PMT(C281/12,146,-H280))),0)</f>
        <v/>
      </c>
      <c r="E281" s="47">
        <f>IF(H280&lt;=0,0,H280*C281/12)</f>
        <v/>
      </c>
      <c r="F281" s="47">
        <f>IF(D281=0,0,D281-E281)</f>
        <v/>
      </c>
      <c r="G281" s="49" t="n"/>
      <c r="H281" s="75">
        <f>MAX(H280-F281-IFERROR(G281,0),0)</f>
        <v/>
      </c>
      <c r="I281" s="46" t="n"/>
      <c r="J281" s="116" t="n"/>
    </row>
    <row r="282" ht="18" customHeight="1">
      <c r="A282" s="32" t="n">
        <v>216</v>
      </c>
      <c r="B282" s="31">
        <f>DATE(YEAR($C$6),MONTH($C$6)+A282,MIN(30,DAY(EOMONTH(DATE(YEAR($C$6),MONTH($C$6)+A282,1),0))))</f>
        <v/>
      </c>
      <c r="C282" s="114">
        <f>IFERROR(INDEX($B$14:$B$53,MATCH(MAXIFS($A$14:$A$53,$A$14:$A$53,"&lt;="&amp;B282),$A$14:$A$53,0)),$B$14)</f>
        <v/>
      </c>
      <c r="D282" s="49">
        <f>IFERROR(IF(H281&lt;=0,0,ABS(PMT(C282/12,145,-H281))),0)</f>
        <v/>
      </c>
      <c r="E282" s="49">
        <f>IF(H281&lt;=0,0,H281*C282/12)</f>
        <v/>
      </c>
      <c r="F282" s="49">
        <f>IF(D282=0,0,D282-E282)</f>
        <v/>
      </c>
      <c r="G282" s="49" t="n"/>
      <c r="H282" s="125">
        <f>MAX(H281-F282-IFERROR(G282,0),0)</f>
        <v/>
      </c>
      <c r="I282" s="32" t="n"/>
      <c r="J282" s="101" t="n"/>
    </row>
    <row r="283" ht="18" customHeight="1">
      <c r="A283" s="46" t="n">
        <v>217</v>
      </c>
      <c r="B283" s="124">
        <f>DATE(YEAR($C$6),MONTH($C$6)+A283,MIN(30,DAY(EOMONTH(DATE(YEAR($C$6),MONTH($C$6)+A283,1),0))))</f>
        <v/>
      </c>
      <c r="C283" s="115">
        <f>IFERROR(INDEX($B$14:$B$53,MATCH(MAXIFS($A$14:$A$53,$A$14:$A$53,"&lt;="&amp;B283),$A$14:$A$53,0)),$B$14)</f>
        <v/>
      </c>
      <c r="D283" s="47">
        <f>IFERROR(IF(H282&lt;=0,0,ABS(PMT(C283/12,144,-H282))),0)</f>
        <v/>
      </c>
      <c r="E283" s="47">
        <f>IF(H282&lt;=0,0,H282*C283/12)</f>
        <v/>
      </c>
      <c r="F283" s="47">
        <f>IF(D283=0,0,D283-E283)</f>
        <v/>
      </c>
      <c r="G283" s="49" t="n"/>
      <c r="H283" s="75">
        <f>MAX(H282-F283-IFERROR(G283,0),0)</f>
        <v/>
      </c>
      <c r="I283" s="46" t="n"/>
      <c r="J283" s="116" t="n"/>
    </row>
    <row r="284" ht="18" customHeight="1">
      <c r="A284" s="32" t="n">
        <v>218</v>
      </c>
      <c r="B284" s="31">
        <f>DATE(YEAR($C$6),MONTH($C$6)+A284,MIN(30,DAY(EOMONTH(DATE(YEAR($C$6),MONTH($C$6)+A284,1),0))))</f>
        <v/>
      </c>
      <c r="C284" s="114">
        <f>IFERROR(INDEX($B$14:$B$53,MATCH(MAXIFS($A$14:$A$53,$A$14:$A$53,"&lt;="&amp;B284),$A$14:$A$53,0)),$B$14)</f>
        <v/>
      </c>
      <c r="D284" s="49">
        <f>IFERROR(IF(H283&lt;=0,0,ABS(PMT(C284/12,143,-H283))),0)</f>
        <v/>
      </c>
      <c r="E284" s="49">
        <f>IF(H283&lt;=0,0,H283*C284/12)</f>
        <v/>
      </c>
      <c r="F284" s="49">
        <f>IF(D284=0,0,D284-E284)</f>
        <v/>
      </c>
      <c r="G284" s="49" t="n"/>
      <c r="H284" s="125">
        <f>MAX(H283-F284-IFERROR(G284,0),0)</f>
        <v/>
      </c>
      <c r="I284" s="32" t="n"/>
      <c r="J284" s="101" t="n"/>
    </row>
    <row r="285" ht="18" customHeight="1">
      <c r="A285" s="46" t="n">
        <v>219</v>
      </c>
      <c r="B285" s="124">
        <f>DATE(YEAR($C$6),MONTH($C$6)+A285,MIN(30,DAY(EOMONTH(DATE(YEAR($C$6),MONTH($C$6)+A285,1),0))))</f>
        <v/>
      </c>
      <c r="C285" s="115">
        <f>IFERROR(INDEX($B$14:$B$53,MATCH(MAXIFS($A$14:$A$53,$A$14:$A$53,"&lt;="&amp;B285),$A$14:$A$53,0)),$B$14)</f>
        <v/>
      </c>
      <c r="D285" s="47">
        <f>IFERROR(IF(H284&lt;=0,0,ABS(PMT(C285/12,142,-H284))),0)</f>
        <v/>
      </c>
      <c r="E285" s="47">
        <f>IF(H284&lt;=0,0,H284*C285/12)</f>
        <v/>
      </c>
      <c r="F285" s="47">
        <f>IF(D285=0,0,D285-E285)</f>
        <v/>
      </c>
      <c r="G285" s="49" t="n"/>
      <c r="H285" s="75">
        <f>MAX(H284-F285-IFERROR(G285,0),0)</f>
        <v/>
      </c>
      <c r="I285" s="46" t="n"/>
      <c r="J285" s="116" t="n"/>
    </row>
    <row r="286" ht="18" customHeight="1">
      <c r="A286" s="32" t="n">
        <v>220</v>
      </c>
      <c r="B286" s="31">
        <f>DATE(YEAR($C$6),MONTH($C$6)+A286,MIN(30,DAY(EOMONTH(DATE(YEAR($C$6),MONTH($C$6)+A286,1),0))))</f>
        <v/>
      </c>
      <c r="C286" s="114">
        <f>IFERROR(INDEX($B$14:$B$53,MATCH(MAXIFS($A$14:$A$53,$A$14:$A$53,"&lt;="&amp;B286),$A$14:$A$53,0)),$B$14)</f>
        <v/>
      </c>
      <c r="D286" s="49">
        <f>IFERROR(IF(H285&lt;=0,0,ABS(PMT(C286/12,141,-H285))),0)</f>
        <v/>
      </c>
      <c r="E286" s="49">
        <f>IF(H285&lt;=0,0,H285*C286/12)</f>
        <v/>
      </c>
      <c r="F286" s="49">
        <f>IF(D286=0,0,D286-E286)</f>
        <v/>
      </c>
      <c r="G286" s="49" t="n"/>
      <c r="H286" s="125">
        <f>MAX(H285-F286-IFERROR(G286,0),0)</f>
        <v/>
      </c>
      <c r="I286" s="32" t="n"/>
      <c r="J286" s="101" t="n"/>
    </row>
    <row r="287" ht="18" customHeight="1">
      <c r="A287" s="46" t="n">
        <v>221</v>
      </c>
      <c r="B287" s="124">
        <f>DATE(YEAR($C$6),MONTH($C$6)+A287,MIN(30,DAY(EOMONTH(DATE(YEAR($C$6),MONTH($C$6)+A287,1),0))))</f>
        <v/>
      </c>
      <c r="C287" s="115">
        <f>IFERROR(INDEX($B$14:$B$53,MATCH(MAXIFS($A$14:$A$53,$A$14:$A$53,"&lt;="&amp;B287),$A$14:$A$53,0)),$B$14)</f>
        <v/>
      </c>
      <c r="D287" s="47">
        <f>IFERROR(IF(H286&lt;=0,0,ABS(PMT(C287/12,140,-H286))),0)</f>
        <v/>
      </c>
      <c r="E287" s="47">
        <f>IF(H286&lt;=0,0,H286*C287/12)</f>
        <v/>
      </c>
      <c r="F287" s="47">
        <f>IF(D287=0,0,D287-E287)</f>
        <v/>
      </c>
      <c r="G287" s="49" t="n"/>
      <c r="H287" s="75">
        <f>MAX(H286-F287-IFERROR(G287,0),0)</f>
        <v/>
      </c>
      <c r="I287" s="46" t="n"/>
      <c r="J287" s="116" t="n"/>
    </row>
    <row r="288" ht="18" customHeight="1">
      <c r="A288" s="32" t="n">
        <v>222</v>
      </c>
      <c r="B288" s="31">
        <f>DATE(YEAR($C$6),MONTH($C$6)+A288,MIN(30,DAY(EOMONTH(DATE(YEAR($C$6),MONTH($C$6)+A288,1),0))))</f>
        <v/>
      </c>
      <c r="C288" s="114">
        <f>IFERROR(INDEX($B$14:$B$53,MATCH(MAXIFS($A$14:$A$53,$A$14:$A$53,"&lt;="&amp;B288),$A$14:$A$53,0)),$B$14)</f>
        <v/>
      </c>
      <c r="D288" s="49">
        <f>IFERROR(IF(H287&lt;=0,0,ABS(PMT(C288/12,139,-H287))),0)</f>
        <v/>
      </c>
      <c r="E288" s="49">
        <f>IF(H287&lt;=0,0,H287*C288/12)</f>
        <v/>
      </c>
      <c r="F288" s="49">
        <f>IF(D288=0,0,D288-E288)</f>
        <v/>
      </c>
      <c r="G288" s="49" t="n"/>
      <c r="H288" s="125">
        <f>MAX(H287-F288-IFERROR(G288,0),0)</f>
        <v/>
      </c>
      <c r="I288" s="32" t="n"/>
      <c r="J288" s="101" t="n"/>
    </row>
    <row r="289" ht="18" customHeight="1">
      <c r="A289" s="46" t="n">
        <v>223</v>
      </c>
      <c r="B289" s="124">
        <f>DATE(YEAR($C$6),MONTH($C$6)+A289,MIN(30,DAY(EOMONTH(DATE(YEAR($C$6),MONTH($C$6)+A289,1),0))))</f>
        <v/>
      </c>
      <c r="C289" s="115">
        <f>IFERROR(INDEX($B$14:$B$53,MATCH(MAXIFS($A$14:$A$53,$A$14:$A$53,"&lt;="&amp;B289),$A$14:$A$53,0)),$B$14)</f>
        <v/>
      </c>
      <c r="D289" s="47">
        <f>IFERROR(IF(H288&lt;=0,0,ABS(PMT(C289/12,138,-H288))),0)</f>
        <v/>
      </c>
      <c r="E289" s="47">
        <f>IF(H288&lt;=0,0,H288*C289/12)</f>
        <v/>
      </c>
      <c r="F289" s="47">
        <f>IF(D289=0,0,D289-E289)</f>
        <v/>
      </c>
      <c r="G289" s="49" t="n"/>
      <c r="H289" s="75">
        <f>MAX(H288-F289-IFERROR(G289,0),0)</f>
        <v/>
      </c>
      <c r="I289" s="46" t="n"/>
      <c r="J289" s="116" t="n"/>
    </row>
    <row r="290" ht="18" customHeight="1">
      <c r="A290" s="32" t="n">
        <v>224</v>
      </c>
      <c r="B290" s="31">
        <f>DATE(YEAR($C$6),MONTH($C$6)+A290,MIN(30,DAY(EOMONTH(DATE(YEAR($C$6),MONTH($C$6)+A290,1),0))))</f>
        <v/>
      </c>
      <c r="C290" s="114">
        <f>IFERROR(INDEX($B$14:$B$53,MATCH(MAXIFS($A$14:$A$53,$A$14:$A$53,"&lt;="&amp;B290),$A$14:$A$53,0)),$B$14)</f>
        <v/>
      </c>
      <c r="D290" s="49">
        <f>IFERROR(IF(H289&lt;=0,0,ABS(PMT(C290/12,137,-H289))),0)</f>
        <v/>
      </c>
      <c r="E290" s="49">
        <f>IF(H289&lt;=0,0,H289*C290/12)</f>
        <v/>
      </c>
      <c r="F290" s="49">
        <f>IF(D290=0,0,D290-E290)</f>
        <v/>
      </c>
      <c r="G290" s="49" t="n"/>
      <c r="H290" s="125">
        <f>MAX(H289-F290-IFERROR(G290,0),0)</f>
        <v/>
      </c>
      <c r="I290" s="32" t="n"/>
      <c r="J290" s="101" t="n"/>
    </row>
    <row r="291" ht="18" customHeight="1">
      <c r="A291" s="46" t="n">
        <v>225</v>
      </c>
      <c r="B291" s="124">
        <f>DATE(YEAR($C$6),MONTH($C$6)+A291,MIN(30,DAY(EOMONTH(DATE(YEAR($C$6),MONTH($C$6)+A291,1),0))))</f>
        <v/>
      </c>
      <c r="C291" s="115">
        <f>IFERROR(INDEX($B$14:$B$53,MATCH(MAXIFS($A$14:$A$53,$A$14:$A$53,"&lt;="&amp;B291),$A$14:$A$53,0)),$B$14)</f>
        <v/>
      </c>
      <c r="D291" s="47">
        <f>IFERROR(IF(H290&lt;=0,0,ABS(PMT(C291/12,136,-H290))),0)</f>
        <v/>
      </c>
      <c r="E291" s="47">
        <f>IF(H290&lt;=0,0,H290*C291/12)</f>
        <v/>
      </c>
      <c r="F291" s="47">
        <f>IF(D291=0,0,D291-E291)</f>
        <v/>
      </c>
      <c r="G291" s="49" t="n"/>
      <c r="H291" s="75">
        <f>MAX(H290-F291-IFERROR(G291,0),0)</f>
        <v/>
      </c>
      <c r="I291" s="46" t="n"/>
      <c r="J291" s="116" t="n"/>
    </row>
    <row r="292" ht="18" customHeight="1">
      <c r="A292" s="32" t="n">
        <v>226</v>
      </c>
      <c r="B292" s="31">
        <f>DATE(YEAR($C$6),MONTH($C$6)+A292,MIN(30,DAY(EOMONTH(DATE(YEAR($C$6),MONTH($C$6)+A292,1),0))))</f>
        <v/>
      </c>
      <c r="C292" s="114">
        <f>IFERROR(INDEX($B$14:$B$53,MATCH(MAXIFS($A$14:$A$53,$A$14:$A$53,"&lt;="&amp;B292),$A$14:$A$53,0)),$B$14)</f>
        <v/>
      </c>
      <c r="D292" s="49">
        <f>IFERROR(IF(H291&lt;=0,0,ABS(PMT(C292/12,135,-H291))),0)</f>
        <v/>
      </c>
      <c r="E292" s="49">
        <f>IF(H291&lt;=0,0,H291*C292/12)</f>
        <v/>
      </c>
      <c r="F292" s="49">
        <f>IF(D292=0,0,D292-E292)</f>
        <v/>
      </c>
      <c r="G292" s="49" t="n"/>
      <c r="H292" s="125">
        <f>MAX(H291-F292-IFERROR(G292,0),0)</f>
        <v/>
      </c>
      <c r="I292" s="32" t="n"/>
      <c r="J292" s="101" t="n"/>
    </row>
    <row r="293" ht="18" customHeight="1">
      <c r="A293" s="46" t="n">
        <v>227</v>
      </c>
      <c r="B293" s="124">
        <f>DATE(YEAR($C$6),MONTH($C$6)+A293,MIN(30,DAY(EOMONTH(DATE(YEAR($C$6),MONTH($C$6)+A293,1),0))))</f>
        <v/>
      </c>
      <c r="C293" s="115">
        <f>IFERROR(INDEX($B$14:$B$53,MATCH(MAXIFS($A$14:$A$53,$A$14:$A$53,"&lt;="&amp;B293),$A$14:$A$53,0)),$B$14)</f>
        <v/>
      </c>
      <c r="D293" s="47">
        <f>IFERROR(IF(H292&lt;=0,0,ABS(PMT(C293/12,134,-H292))),0)</f>
        <v/>
      </c>
      <c r="E293" s="47">
        <f>IF(H292&lt;=0,0,H292*C293/12)</f>
        <v/>
      </c>
      <c r="F293" s="47">
        <f>IF(D293=0,0,D293-E293)</f>
        <v/>
      </c>
      <c r="G293" s="49" t="n"/>
      <c r="H293" s="75">
        <f>MAX(H292-F293-IFERROR(G293,0),0)</f>
        <v/>
      </c>
      <c r="I293" s="46" t="n"/>
      <c r="J293" s="116" t="n"/>
    </row>
    <row r="294" ht="18" customHeight="1">
      <c r="A294" s="32" t="n">
        <v>228</v>
      </c>
      <c r="B294" s="31">
        <f>DATE(YEAR($C$6),MONTH($C$6)+A294,MIN(30,DAY(EOMONTH(DATE(YEAR($C$6),MONTH($C$6)+A294,1),0))))</f>
        <v/>
      </c>
      <c r="C294" s="114">
        <f>IFERROR(INDEX($B$14:$B$53,MATCH(MAXIFS($A$14:$A$53,$A$14:$A$53,"&lt;="&amp;B294),$A$14:$A$53,0)),$B$14)</f>
        <v/>
      </c>
      <c r="D294" s="49">
        <f>IFERROR(IF(H293&lt;=0,0,ABS(PMT(C294/12,133,-H293))),0)</f>
        <v/>
      </c>
      <c r="E294" s="49">
        <f>IF(H293&lt;=0,0,H293*C294/12)</f>
        <v/>
      </c>
      <c r="F294" s="49">
        <f>IF(D294=0,0,D294-E294)</f>
        <v/>
      </c>
      <c r="G294" s="49" t="n"/>
      <c r="H294" s="125">
        <f>MAX(H293-F294-IFERROR(G294,0),0)</f>
        <v/>
      </c>
      <c r="I294" s="32" t="n"/>
      <c r="J294" s="101" t="n"/>
    </row>
    <row r="295" ht="18" customHeight="1">
      <c r="A295" s="46" t="n">
        <v>229</v>
      </c>
      <c r="B295" s="124">
        <f>DATE(YEAR($C$6),MONTH($C$6)+A295,MIN(30,DAY(EOMONTH(DATE(YEAR($C$6),MONTH($C$6)+A295,1),0))))</f>
        <v/>
      </c>
      <c r="C295" s="115">
        <f>IFERROR(INDEX($B$14:$B$53,MATCH(MAXIFS($A$14:$A$53,$A$14:$A$53,"&lt;="&amp;B295),$A$14:$A$53,0)),$B$14)</f>
        <v/>
      </c>
      <c r="D295" s="47">
        <f>IFERROR(IF(H294&lt;=0,0,ABS(PMT(C295/12,132,-H294))),0)</f>
        <v/>
      </c>
      <c r="E295" s="47">
        <f>IF(H294&lt;=0,0,H294*C295/12)</f>
        <v/>
      </c>
      <c r="F295" s="47">
        <f>IF(D295=0,0,D295-E295)</f>
        <v/>
      </c>
      <c r="G295" s="49" t="n"/>
      <c r="H295" s="75">
        <f>MAX(H294-F295-IFERROR(G295,0),0)</f>
        <v/>
      </c>
      <c r="I295" s="46" t="n"/>
      <c r="J295" s="116" t="n"/>
    </row>
    <row r="296" ht="18" customHeight="1">
      <c r="A296" s="32" t="n">
        <v>230</v>
      </c>
      <c r="B296" s="31">
        <f>DATE(YEAR($C$6),MONTH($C$6)+A296,MIN(30,DAY(EOMONTH(DATE(YEAR($C$6),MONTH($C$6)+A296,1),0))))</f>
        <v/>
      </c>
      <c r="C296" s="114">
        <f>IFERROR(INDEX($B$14:$B$53,MATCH(MAXIFS($A$14:$A$53,$A$14:$A$53,"&lt;="&amp;B296),$A$14:$A$53,0)),$B$14)</f>
        <v/>
      </c>
      <c r="D296" s="49">
        <f>IFERROR(IF(H295&lt;=0,0,ABS(PMT(C296/12,131,-H295))),0)</f>
        <v/>
      </c>
      <c r="E296" s="49">
        <f>IF(H295&lt;=0,0,H295*C296/12)</f>
        <v/>
      </c>
      <c r="F296" s="49">
        <f>IF(D296=0,0,D296-E296)</f>
        <v/>
      </c>
      <c r="G296" s="49" t="n"/>
      <c r="H296" s="125">
        <f>MAX(H295-F296-IFERROR(G296,0),0)</f>
        <v/>
      </c>
      <c r="I296" s="32" t="n"/>
      <c r="J296" s="101" t="n"/>
    </row>
    <row r="297" ht="18" customHeight="1">
      <c r="A297" s="46" t="n">
        <v>231</v>
      </c>
      <c r="B297" s="124">
        <f>DATE(YEAR($C$6),MONTH($C$6)+A297,MIN(30,DAY(EOMONTH(DATE(YEAR($C$6),MONTH($C$6)+A297,1),0))))</f>
        <v/>
      </c>
      <c r="C297" s="115">
        <f>IFERROR(INDEX($B$14:$B$53,MATCH(MAXIFS($A$14:$A$53,$A$14:$A$53,"&lt;="&amp;B297),$A$14:$A$53,0)),$B$14)</f>
        <v/>
      </c>
      <c r="D297" s="47">
        <f>IFERROR(IF(H296&lt;=0,0,ABS(PMT(C297/12,130,-H296))),0)</f>
        <v/>
      </c>
      <c r="E297" s="47">
        <f>IF(H296&lt;=0,0,H296*C297/12)</f>
        <v/>
      </c>
      <c r="F297" s="47">
        <f>IF(D297=0,0,D297-E297)</f>
        <v/>
      </c>
      <c r="G297" s="49" t="n"/>
      <c r="H297" s="75">
        <f>MAX(H296-F297-IFERROR(G297,0),0)</f>
        <v/>
      </c>
      <c r="I297" s="46" t="n"/>
      <c r="J297" s="116" t="n"/>
    </row>
    <row r="298" ht="18" customHeight="1">
      <c r="A298" s="32" t="n">
        <v>232</v>
      </c>
      <c r="B298" s="31">
        <f>DATE(YEAR($C$6),MONTH($C$6)+A298,MIN(30,DAY(EOMONTH(DATE(YEAR($C$6),MONTH($C$6)+A298,1),0))))</f>
        <v/>
      </c>
      <c r="C298" s="114">
        <f>IFERROR(INDEX($B$14:$B$53,MATCH(MAXIFS($A$14:$A$53,$A$14:$A$53,"&lt;="&amp;B298),$A$14:$A$53,0)),$B$14)</f>
        <v/>
      </c>
      <c r="D298" s="49">
        <f>IFERROR(IF(H297&lt;=0,0,ABS(PMT(C298/12,129,-H297))),0)</f>
        <v/>
      </c>
      <c r="E298" s="49">
        <f>IF(H297&lt;=0,0,H297*C298/12)</f>
        <v/>
      </c>
      <c r="F298" s="49">
        <f>IF(D298=0,0,D298-E298)</f>
        <v/>
      </c>
      <c r="G298" s="49" t="n"/>
      <c r="H298" s="125">
        <f>MAX(H297-F298-IFERROR(G298,0),0)</f>
        <v/>
      </c>
      <c r="I298" s="32" t="n"/>
      <c r="J298" s="101" t="n"/>
    </row>
    <row r="299" ht="18" customHeight="1">
      <c r="A299" s="46" t="n">
        <v>233</v>
      </c>
      <c r="B299" s="124">
        <f>DATE(YEAR($C$6),MONTH($C$6)+A299,MIN(30,DAY(EOMONTH(DATE(YEAR($C$6),MONTH($C$6)+A299,1),0))))</f>
        <v/>
      </c>
      <c r="C299" s="115">
        <f>IFERROR(INDEX($B$14:$B$53,MATCH(MAXIFS($A$14:$A$53,$A$14:$A$53,"&lt;="&amp;B299),$A$14:$A$53,0)),$B$14)</f>
        <v/>
      </c>
      <c r="D299" s="47">
        <f>IFERROR(IF(H298&lt;=0,0,ABS(PMT(C299/12,128,-H298))),0)</f>
        <v/>
      </c>
      <c r="E299" s="47">
        <f>IF(H298&lt;=0,0,H298*C299/12)</f>
        <v/>
      </c>
      <c r="F299" s="47">
        <f>IF(D299=0,0,D299-E299)</f>
        <v/>
      </c>
      <c r="G299" s="49" t="n"/>
      <c r="H299" s="75">
        <f>MAX(H298-F299-IFERROR(G299,0),0)</f>
        <v/>
      </c>
      <c r="I299" s="46" t="n"/>
      <c r="J299" s="116" t="n"/>
    </row>
    <row r="300" ht="18" customHeight="1">
      <c r="A300" s="32" t="n">
        <v>234</v>
      </c>
      <c r="B300" s="31">
        <f>DATE(YEAR($C$6),MONTH($C$6)+A300,MIN(30,DAY(EOMONTH(DATE(YEAR($C$6),MONTH($C$6)+A300,1),0))))</f>
        <v/>
      </c>
      <c r="C300" s="114">
        <f>IFERROR(INDEX($B$14:$B$53,MATCH(MAXIFS($A$14:$A$53,$A$14:$A$53,"&lt;="&amp;B300),$A$14:$A$53,0)),$B$14)</f>
        <v/>
      </c>
      <c r="D300" s="49">
        <f>IFERROR(IF(H299&lt;=0,0,ABS(PMT(C300/12,127,-H299))),0)</f>
        <v/>
      </c>
      <c r="E300" s="49">
        <f>IF(H299&lt;=0,0,H299*C300/12)</f>
        <v/>
      </c>
      <c r="F300" s="49">
        <f>IF(D300=0,0,D300-E300)</f>
        <v/>
      </c>
      <c r="G300" s="49" t="n"/>
      <c r="H300" s="125">
        <f>MAX(H299-F300-IFERROR(G300,0),0)</f>
        <v/>
      </c>
      <c r="I300" s="32" t="n"/>
      <c r="J300" s="101" t="n"/>
    </row>
    <row r="301" ht="18" customHeight="1">
      <c r="A301" s="46" t="n">
        <v>235</v>
      </c>
      <c r="B301" s="124">
        <f>DATE(YEAR($C$6),MONTH($C$6)+A301,MIN(30,DAY(EOMONTH(DATE(YEAR($C$6),MONTH($C$6)+A301,1),0))))</f>
        <v/>
      </c>
      <c r="C301" s="115">
        <f>IFERROR(INDEX($B$14:$B$53,MATCH(MAXIFS($A$14:$A$53,$A$14:$A$53,"&lt;="&amp;B301),$A$14:$A$53,0)),$B$14)</f>
        <v/>
      </c>
      <c r="D301" s="47">
        <f>IFERROR(IF(H300&lt;=0,0,ABS(PMT(C301/12,126,-H300))),0)</f>
        <v/>
      </c>
      <c r="E301" s="47">
        <f>IF(H300&lt;=0,0,H300*C301/12)</f>
        <v/>
      </c>
      <c r="F301" s="47">
        <f>IF(D301=0,0,D301-E301)</f>
        <v/>
      </c>
      <c r="G301" s="49" t="n"/>
      <c r="H301" s="75">
        <f>MAX(H300-F301-IFERROR(G301,0),0)</f>
        <v/>
      </c>
      <c r="I301" s="46" t="n"/>
      <c r="J301" s="116" t="n"/>
    </row>
    <row r="302" ht="18" customHeight="1">
      <c r="A302" s="32" t="n">
        <v>236</v>
      </c>
      <c r="B302" s="31">
        <f>DATE(YEAR($C$6),MONTH($C$6)+A302,MIN(30,DAY(EOMONTH(DATE(YEAR($C$6),MONTH($C$6)+A302,1),0))))</f>
        <v/>
      </c>
      <c r="C302" s="114">
        <f>IFERROR(INDEX($B$14:$B$53,MATCH(MAXIFS($A$14:$A$53,$A$14:$A$53,"&lt;="&amp;B302),$A$14:$A$53,0)),$B$14)</f>
        <v/>
      </c>
      <c r="D302" s="49">
        <f>IFERROR(IF(H301&lt;=0,0,ABS(PMT(C302/12,125,-H301))),0)</f>
        <v/>
      </c>
      <c r="E302" s="49">
        <f>IF(H301&lt;=0,0,H301*C302/12)</f>
        <v/>
      </c>
      <c r="F302" s="49">
        <f>IF(D302=0,0,D302-E302)</f>
        <v/>
      </c>
      <c r="G302" s="49" t="n"/>
      <c r="H302" s="125">
        <f>MAX(H301-F302-IFERROR(G302,0),0)</f>
        <v/>
      </c>
      <c r="I302" s="32" t="n"/>
      <c r="J302" s="101" t="n"/>
    </row>
    <row r="303" ht="18" customHeight="1">
      <c r="A303" s="46" t="n">
        <v>237</v>
      </c>
      <c r="B303" s="124">
        <f>DATE(YEAR($C$6),MONTH($C$6)+A303,MIN(30,DAY(EOMONTH(DATE(YEAR($C$6),MONTH($C$6)+A303,1),0))))</f>
        <v/>
      </c>
      <c r="C303" s="115">
        <f>IFERROR(INDEX($B$14:$B$53,MATCH(MAXIFS($A$14:$A$53,$A$14:$A$53,"&lt;="&amp;B303),$A$14:$A$53,0)),$B$14)</f>
        <v/>
      </c>
      <c r="D303" s="47">
        <f>IFERROR(IF(H302&lt;=0,0,ABS(PMT(C303/12,124,-H302))),0)</f>
        <v/>
      </c>
      <c r="E303" s="47">
        <f>IF(H302&lt;=0,0,H302*C303/12)</f>
        <v/>
      </c>
      <c r="F303" s="47">
        <f>IF(D303=0,0,D303-E303)</f>
        <v/>
      </c>
      <c r="G303" s="49" t="n"/>
      <c r="H303" s="75">
        <f>MAX(H302-F303-IFERROR(G303,0),0)</f>
        <v/>
      </c>
      <c r="I303" s="46" t="n"/>
      <c r="J303" s="116" t="n"/>
    </row>
    <row r="304" ht="18" customHeight="1">
      <c r="A304" s="32" t="n">
        <v>238</v>
      </c>
      <c r="B304" s="31">
        <f>DATE(YEAR($C$6),MONTH($C$6)+A304,MIN(30,DAY(EOMONTH(DATE(YEAR($C$6),MONTH($C$6)+A304,1),0))))</f>
        <v/>
      </c>
      <c r="C304" s="114">
        <f>IFERROR(INDEX($B$14:$B$53,MATCH(MAXIFS($A$14:$A$53,$A$14:$A$53,"&lt;="&amp;B304),$A$14:$A$53,0)),$B$14)</f>
        <v/>
      </c>
      <c r="D304" s="49">
        <f>IFERROR(IF(H303&lt;=0,0,ABS(PMT(C304/12,123,-H303))),0)</f>
        <v/>
      </c>
      <c r="E304" s="49">
        <f>IF(H303&lt;=0,0,H303*C304/12)</f>
        <v/>
      </c>
      <c r="F304" s="49">
        <f>IF(D304=0,0,D304-E304)</f>
        <v/>
      </c>
      <c r="G304" s="49" t="n"/>
      <c r="H304" s="125">
        <f>MAX(H303-F304-IFERROR(G304,0),0)</f>
        <v/>
      </c>
      <c r="I304" s="32" t="n"/>
      <c r="J304" s="101" t="n"/>
    </row>
    <row r="305" ht="18" customHeight="1">
      <c r="A305" s="46" t="n">
        <v>239</v>
      </c>
      <c r="B305" s="124">
        <f>DATE(YEAR($C$6),MONTH($C$6)+A305,MIN(30,DAY(EOMONTH(DATE(YEAR($C$6),MONTH($C$6)+A305,1),0))))</f>
        <v/>
      </c>
      <c r="C305" s="115">
        <f>IFERROR(INDEX($B$14:$B$53,MATCH(MAXIFS($A$14:$A$53,$A$14:$A$53,"&lt;="&amp;B305),$A$14:$A$53,0)),$B$14)</f>
        <v/>
      </c>
      <c r="D305" s="47">
        <f>IFERROR(IF(H304&lt;=0,0,ABS(PMT(C305/12,122,-H304))),0)</f>
        <v/>
      </c>
      <c r="E305" s="47">
        <f>IF(H304&lt;=0,0,H304*C305/12)</f>
        <v/>
      </c>
      <c r="F305" s="47">
        <f>IF(D305=0,0,D305-E305)</f>
        <v/>
      </c>
      <c r="G305" s="49" t="n"/>
      <c r="H305" s="75">
        <f>MAX(H304-F305-IFERROR(G305,0),0)</f>
        <v/>
      </c>
      <c r="I305" s="46" t="n"/>
      <c r="J305" s="116" t="n"/>
    </row>
    <row r="306" ht="18" customHeight="1">
      <c r="A306" s="32" t="n">
        <v>240</v>
      </c>
      <c r="B306" s="31">
        <f>DATE(YEAR($C$6),MONTH($C$6)+A306,MIN(30,DAY(EOMONTH(DATE(YEAR($C$6),MONTH($C$6)+A306,1),0))))</f>
        <v/>
      </c>
      <c r="C306" s="114">
        <f>IFERROR(INDEX($B$14:$B$53,MATCH(MAXIFS($A$14:$A$53,$A$14:$A$53,"&lt;="&amp;B306),$A$14:$A$53,0)),$B$14)</f>
        <v/>
      </c>
      <c r="D306" s="49">
        <f>IFERROR(IF(H305&lt;=0,0,ABS(PMT(C306/12,121,-H305))),0)</f>
        <v/>
      </c>
      <c r="E306" s="49">
        <f>IF(H305&lt;=0,0,H305*C306/12)</f>
        <v/>
      </c>
      <c r="F306" s="49">
        <f>IF(D306=0,0,D306-E306)</f>
        <v/>
      </c>
      <c r="G306" s="49" t="n"/>
      <c r="H306" s="125">
        <f>MAX(H305-F306-IFERROR(G306,0),0)</f>
        <v/>
      </c>
      <c r="I306" s="32" t="n"/>
      <c r="J306" s="101" t="n"/>
    </row>
    <row r="307" ht="18" customHeight="1">
      <c r="A307" s="46" t="n">
        <v>241</v>
      </c>
      <c r="B307" s="124">
        <f>DATE(YEAR($C$6),MONTH($C$6)+A307,MIN(30,DAY(EOMONTH(DATE(YEAR($C$6),MONTH($C$6)+A307,1),0))))</f>
        <v/>
      </c>
      <c r="C307" s="115">
        <f>IFERROR(INDEX($B$14:$B$53,MATCH(MAXIFS($A$14:$A$53,$A$14:$A$53,"&lt;="&amp;B307),$A$14:$A$53,0)),$B$14)</f>
        <v/>
      </c>
      <c r="D307" s="47">
        <f>IFERROR(IF(H306&lt;=0,0,ABS(PMT(C307/12,120,-H306))),0)</f>
        <v/>
      </c>
      <c r="E307" s="47">
        <f>IF(H306&lt;=0,0,H306*C307/12)</f>
        <v/>
      </c>
      <c r="F307" s="47">
        <f>IF(D307=0,0,D307-E307)</f>
        <v/>
      </c>
      <c r="G307" s="49" t="n"/>
      <c r="H307" s="75">
        <f>MAX(H306-F307-IFERROR(G307,0),0)</f>
        <v/>
      </c>
      <c r="I307" s="46" t="n"/>
      <c r="J307" s="116" t="n"/>
    </row>
    <row r="308" ht="18" customHeight="1">
      <c r="A308" s="32" t="n">
        <v>242</v>
      </c>
      <c r="B308" s="31">
        <f>DATE(YEAR($C$6),MONTH($C$6)+A308,MIN(30,DAY(EOMONTH(DATE(YEAR($C$6),MONTH($C$6)+A308,1),0))))</f>
        <v/>
      </c>
      <c r="C308" s="114">
        <f>IFERROR(INDEX($B$14:$B$53,MATCH(MAXIFS($A$14:$A$53,$A$14:$A$53,"&lt;="&amp;B308),$A$14:$A$53,0)),$B$14)</f>
        <v/>
      </c>
      <c r="D308" s="49">
        <f>IFERROR(IF(H307&lt;=0,0,ABS(PMT(C308/12,119,-H307))),0)</f>
        <v/>
      </c>
      <c r="E308" s="49">
        <f>IF(H307&lt;=0,0,H307*C308/12)</f>
        <v/>
      </c>
      <c r="F308" s="49">
        <f>IF(D308=0,0,D308-E308)</f>
        <v/>
      </c>
      <c r="G308" s="49" t="n"/>
      <c r="H308" s="125">
        <f>MAX(H307-F308-IFERROR(G308,0),0)</f>
        <v/>
      </c>
      <c r="I308" s="32" t="n"/>
      <c r="J308" s="101" t="n"/>
    </row>
    <row r="309" ht="18" customHeight="1">
      <c r="A309" s="46" t="n">
        <v>243</v>
      </c>
      <c r="B309" s="124">
        <f>DATE(YEAR($C$6),MONTH($C$6)+A309,MIN(30,DAY(EOMONTH(DATE(YEAR($C$6),MONTH($C$6)+A309,1),0))))</f>
        <v/>
      </c>
      <c r="C309" s="115">
        <f>IFERROR(INDEX($B$14:$B$53,MATCH(MAXIFS($A$14:$A$53,$A$14:$A$53,"&lt;="&amp;B309),$A$14:$A$53,0)),$B$14)</f>
        <v/>
      </c>
      <c r="D309" s="47">
        <f>IFERROR(IF(H308&lt;=0,0,ABS(PMT(C309/12,118,-H308))),0)</f>
        <v/>
      </c>
      <c r="E309" s="47">
        <f>IF(H308&lt;=0,0,H308*C309/12)</f>
        <v/>
      </c>
      <c r="F309" s="47">
        <f>IF(D309=0,0,D309-E309)</f>
        <v/>
      </c>
      <c r="G309" s="49" t="n"/>
      <c r="H309" s="75">
        <f>MAX(H308-F309-IFERROR(G309,0),0)</f>
        <v/>
      </c>
      <c r="I309" s="46" t="n"/>
      <c r="J309" s="116" t="n"/>
    </row>
    <row r="310" ht="18" customHeight="1">
      <c r="A310" s="32" t="n">
        <v>244</v>
      </c>
      <c r="B310" s="31">
        <f>DATE(YEAR($C$6),MONTH($C$6)+A310,MIN(30,DAY(EOMONTH(DATE(YEAR($C$6),MONTH($C$6)+A310,1),0))))</f>
        <v/>
      </c>
      <c r="C310" s="114">
        <f>IFERROR(INDEX($B$14:$B$53,MATCH(MAXIFS($A$14:$A$53,$A$14:$A$53,"&lt;="&amp;B310),$A$14:$A$53,0)),$B$14)</f>
        <v/>
      </c>
      <c r="D310" s="49">
        <f>IFERROR(IF(H309&lt;=0,0,ABS(PMT(C310/12,117,-H309))),0)</f>
        <v/>
      </c>
      <c r="E310" s="49">
        <f>IF(H309&lt;=0,0,H309*C310/12)</f>
        <v/>
      </c>
      <c r="F310" s="49">
        <f>IF(D310=0,0,D310-E310)</f>
        <v/>
      </c>
      <c r="G310" s="49" t="n"/>
      <c r="H310" s="125">
        <f>MAX(H309-F310-IFERROR(G310,0),0)</f>
        <v/>
      </c>
      <c r="I310" s="32" t="n"/>
      <c r="J310" s="101" t="n"/>
    </row>
    <row r="311" ht="18" customHeight="1">
      <c r="A311" s="46" t="n">
        <v>245</v>
      </c>
      <c r="B311" s="124">
        <f>DATE(YEAR($C$6),MONTH($C$6)+A311,MIN(30,DAY(EOMONTH(DATE(YEAR($C$6),MONTH($C$6)+A311,1),0))))</f>
        <v/>
      </c>
      <c r="C311" s="115">
        <f>IFERROR(INDEX($B$14:$B$53,MATCH(MAXIFS($A$14:$A$53,$A$14:$A$53,"&lt;="&amp;B311),$A$14:$A$53,0)),$B$14)</f>
        <v/>
      </c>
      <c r="D311" s="47">
        <f>IFERROR(IF(H310&lt;=0,0,ABS(PMT(C311/12,116,-H310))),0)</f>
        <v/>
      </c>
      <c r="E311" s="47">
        <f>IF(H310&lt;=0,0,H310*C311/12)</f>
        <v/>
      </c>
      <c r="F311" s="47">
        <f>IF(D311=0,0,D311-E311)</f>
        <v/>
      </c>
      <c r="G311" s="49" t="n"/>
      <c r="H311" s="75">
        <f>MAX(H310-F311-IFERROR(G311,0),0)</f>
        <v/>
      </c>
      <c r="I311" s="46" t="n"/>
      <c r="J311" s="116" t="n"/>
    </row>
    <row r="312" ht="18" customHeight="1">
      <c r="A312" s="32" t="n">
        <v>246</v>
      </c>
      <c r="B312" s="31">
        <f>DATE(YEAR($C$6),MONTH($C$6)+A312,MIN(30,DAY(EOMONTH(DATE(YEAR($C$6),MONTH($C$6)+A312,1),0))))</f>
        <v/>
      </c>
      <c r="C312" s="114">
        <f>IFERROR(INDEX($B$14:$B$53,MATCH(MAXIFS($A$14:$A$53,$A$14:$A$53,"&lt;="&amp;B312),$A$14:$A$53,0)),$B$14)</f>
        <v/>
      </c>
      <c r="D312" s="49">
        <f>IFERROR(IF(H311&lt;=0,0,ABS(PMT(C312/12,115,-H311))),0)</f>
        <v/>
      </c>
      <c r="E312" s="49">
        <f>IF(H311&lt;=0,0,H311*C312/12)</f>
        <v/>
      </c>
      <c r="F312" s="49">
        <f>IF(D312=0,0,D312-E312)</f>
        <v/>
      </c>
      <c r="G312" s="49" t="n"/>
      <c r="H312" s="125">
        <f>MAX(H311-F312-IFERROR(G312,0),0)</f>
        <v/>
      </c>
      <c r="I312" s="32" t="n"/>
      <c r="J312" s="101" t="n"/>
    </row>
    <row r="313" ht="18" customHeight="1">
      <c r="A313" s="46" t="n">
        <v>247</v>
      </c>
      <c r="B313" s="124">
        <f>DATE(YEAR($C$6),MONTH($C$6)+A313,MIN(30,DAY(EOMONTH(DATE(YEAR($C$6),MONTH($C$6)+A313,1),0))))</f>
        <v/>
      </c>
      <c r="C313" s="115">
        <f>IFERROR(INDEX($B$14:$B$53,MATCH(MAXIFS($A$14:$A$53,$A$14:$A$53,"&lt;="&amp;B313),$A$14:$A$53,0)),$B$14)</f>
        <v/>
      </c>
      <c r="D313" s="47">
        <f>IFERROR(IF(H312&lt;=0,0,ABS(PMT(C313/12,114,-H312))),0)</f>
        <v/>
      </c>
      <c r="E313" s="47">
        <f>IF(H312&lt;=0,0,H312*C313/12)</f>
        <v/>
      </c>
      <c r="F313" s="47">
        <f>IF(D313=0,0,D313-E313)</f>
        <v/>
      </c>
      <c r="G313" s="49" t="n"/>
      <c r="H313" s="75">
        <f>MAX(H312-F313-IFERROR(G313,0),0)</f>
        <v/>
      </c>
      <c r="I313" s="46" t="n"/>
      <c r="J313" s="116" t="n"/>
    </row>
    <row r="314" ht="18" customHeight="1">
      <c r="A314" s="32" t="n">
        <v>248</v>
      </c>
      <c r="B314" s="31">
        <f>DATE(YEAR($C$6),MONTH($C$6)+A314,MIN(30,DAY(EOMONTH(DATE(YEAR($C$6),MONTH($C$6)+A314,1),0))))</f>
        <v/>
      </c>
      <c r="C314" s="114">
        <f>IFERROR(INDEX($B$14:$B$53,MATCH(MAXIFS($A$14:$A$53,$A$14:$A$53,"&lt;="&amp;B314),$A$14:$A$53,0)),$B$14)</f>
        <v/>
      </c>
      <c r="D314" s="49">
        <f>IFERROR(IF(H313&lt;=0,0,ABS(PMT(C314/12,113,-H313))),0)</f>
        <v/>
      </c>
      <c r="E314" s="49">
        <f>IF(H313&lt;=0,0,H313*C314/12)</f>
        <v/>
      </c>
      <c r="F314" s="49">
        <f>IF(D314=0,0,D314-E314)</f>
        <v/>
      </c>
      <c r="G314" s="49" t="n"/>
      <c r="H314" s="125">
        <f>MAX(H313-F314-IFERROR(G314,0),0)</f>
        <v/>
      </c>
      <c r="I314" s="32" t="n"/>
      <c r="J314" s="101" t="n"/>
    </row>
    <row r="315" ht="18" customHeight="1">
      <c r="A315" s="46" t="n">
        <v>249</v>
      </c>
      <c r="B315" s="124">
        <f>DATE(YEAR($C$6),MONTH($C$6)+A315,MIN(30,DAY(EOMONTH(DATE(YEAR($C$6),MONTH($C$6)+A315,1),0))))</f>
        <v/>
      </c>
      <c r="C315" s="115">
        <f>IFERROR(INDEX($B$14:$B$53,MATCH(MAXIFS($A$14:$A$53,$A$14:$A$53,"&lt;="&amp;B315),$A$14:$A$53,0)),$B$14)</f>
        <v/>
      </c>
      <c r="D315" s="47">
        <f>IFERROR(IF(H314&lt;=0,0,ABS(PMT(C315/12,112,-H314))),0)</f>
        <v/>
      </c>
      <c r="E315" s="47">
        <f>IF(H314&lt;=0,0,H314*C315/12)</f>
        <v/>
      </c>
      <c r="F315" s="47">
        <f>IF(D315=0,0,D315-E315)</f>
        <v/>
      </c>
      <c r="G315" s="49" t="n"/>
      <c r="H315" s="75">
        <f>MAX(H314-F315-IFERROR(G315,0),0)</f>
        <v/>
      </c>
      <c r="I315" s="46" t="n"/>
      <c r="J315" s="116" t="n"/>
    </row>
    <row r="316" ht="18" customHeight="1">
      <c r="A316" s="32" t="n">
        <v>250</v>
      </c>
      <c r="B316" s="31">
        <f>DATE(YEAR($C$6),MONTH($C$6)+A316,MIN(30,DAY(EOMONTH(DATE(YEAR($C$6),MONTH($C$6)+A316,1),0))))</f>
        <v/>
      </c>
      <c r="C316" s="114">
        <f>IFERROR(INDEX($B$14:$B$53,MATCH(MAXIFS($A$14:$A$53,$A$14:$A$53,"&lt;="&amp;B316),$A$14:$A$53,0)),$B$14)</f>
        <v/>
      </c>
      <c r="D316" s="49">
        <f>IFERROR(IF(H315&lt;=0,0,ABS(PMT(C316/12,111,-H315))),0)</f>
        <v/>
      </c>
      <c r="E316" s="49">
        <f>IF(H315&lt;=0,0,H315*C316/12)</f>
        <v/>
      </c>
      <c r="F316" s="49">
        <f>IF(D316=0,0,D316-E316)</f>
        <v/>
      </c>
      <c r="G316" s="49" t="n"/>
      <c r="H316" s="125">
        <f>MAX(H315-F316-IFERROR(G316,0),0)</f>
        <v/>
      </c>
      <c r="I316" s="32" t="n"/>
      <c r="J316" s="101" t="n"/>
    </row>
    <row r="317" ht="18" customHeight="1">
      <c r="A317" s="46" t="n">
        <v>251</v>
      </c>
      <c r="B317" s="124">
        <f>DATE(YEAR($C$6),MONTH($C$6)+A317,MIN(30,DAY(EOMONTH(DATE(YEAR($C$6),MONTH($C$6)+A317,1),0))))</f>
        <v/>
      </c>
      <c r="C317" s="115">
        <f>IFERROR(INDEX($B$14:$B$53,MATCH(MAXIFS($A$14:$A$53,$A$14:$A$53,"&lt;="&amp;B317),$A$14:$A$53,0)),$B$14)</f>
        <v/>
      </c>
      <c r="D317" s="47">
        <f>IFERROR(IF(H316&lt;=0,0,ABS(PMT(C317/12,110,-H316))),0)</f>
        <v/>
      </c>
      <c r="E317" s="47">
        <f>IF(H316&lt;=0,0,H316*C317/12)</f>
        <v/>
      </c>
      <c r="F317" s="47">
        <f>IF(D317=0,0,D317-E317)</f>
        <v/>
      </c>
      <c r="G317" s="49" t="n"/>
      <c r="H317" s="75">
        <f>MAX(H316-F317-IFERROR(G317,0),0)</f>
        <v/>
      </c>
      <c r="I317" s="46" t="n"/>
      <c r="J317" s="116" t="n"/>
    </row>
    <row r="318" ht="18" customHeight="1">
      <c r="A318" s="32" t="n">
        <v>252</v>
      </c>
      <c r="B318" s="31">
        <f>DATE(YEAR($C$6),MONTH($C$6)+A318,MIN(30,DAY(EOMONTH(DATE(YEAR($C$6),MONTH($C$6)+A318,1),0))))</f>
        <v/>
      </c>
      <c r="C318" s="114">
        <f>IFERROR(INDEX($B$14:$B$53,MATCH(MAXIFS($A$14:$A$53,$A$14:$A$53,"&lt;="&amp;B318),$A$14:$A$53,0)),$B$14)</f>
        <v/>
      </c>
      <c r="D318" s="49">
        <f>IFERROR(IF(H317&lt;=0,0,ABS(PMT(C318/12,109,-H317))),0)</f>
        <v/>
      </c>
      <c r="E318" s="49">
        <f>IF(H317&lt;=0,0,H317*C318/12)</f>
        <v/>
      </c>
      <c r="F318" s="49">
        <f>IF(D318=0,0,D318-E318)</f>
        <v/>
      </c>
      <c r="G318" s="49" t="n"/>
      <c r="H318" s="125">
        <f>MAX(H317-F318-IFERROR(G318,0),0)</f>
        <v/>
      </c>
      <c r="I318" s="32" t="n"/>
      <c r="J318" s="101" t="n"/>
    </row>
    <row r="319" ht="18" customHeight="1">
      <c r="A319" s="46" t="n">
        <v>253</v>
      </c>
      <c r="B319" s="124">
        <f>DATE(YEAR($C$6),MONTH($C$6)+A319,MIN(30,DAY(EOMONTH(DATE(YEAR($C$6),MONTH($C$6)+A319,1),0))))</f>
        <v/>
      </c>
      <c r="C319" s="115">
        <f>IFERROR(INDEX($B$14:$B$53,MATCH(MAXIFS($A$14:$A$53,$A$14:$A$53,"&lt;="&amp;B319),$A$14:$A$53,0)),$B$14)</f>
        <v/>
      </c>
      <c r="D319" s="47">
        <f>IFERROR(IF(H318&lt;=0,0,ABS(PMT(C319/12,108,-H318))),0)</f>
        <v/>
      </c>
      <c r="E319" s="47">
        <f>IF(H318&lt;=0,0,H318*C319/12)</f>
        <v/>
      </c>
      <c r="F319" s="47">
        <f>IF(D319=0,0,D319-E319)</f>
        <v/>
      </c>
      <c r="G319" s="49" t="n"/>
      <c r="H319" s="75">
        <f>MAX(H318-F319-IFERROR(G319,0),0)</f>
        <v/>
      </c>
      <c r="I319" s="46" t="n"/>
      <c r="J319" s="116" t="n"/>
    </row>
    <row r="320" ht="18" customHeight="1">
      <c r="A320" s="32" t="n">
        <v>254</v>
      </c>
      <c r="B320" s="31">
        <f>DATE(YEAR($C$6),MONTH($C$6)+A320,MIN(30,DAY(EOMONTH(DATE(YEAR($C$6),MONTH($C$6)+A320,1),0))))</f>
        <v/>
      </c>
      <c r="C320" s="114">
        <f>IFERROR(INDEX($B$14:$B$53,MATCH(MAXIFS($A$14:$A$53,$A$14:$A$53,"&lt;="&amp;B320),$A$14:$A$53,0)),$B$14)</f>
        <v/>
      </c>
      <c r="D320" s="49">
        <f>IFERROR(IF(H319&lt;=0,0,ABS(PMT(C320/12,107,-H319))),0)</f>
        <v/>
      </c>
      <c r="E320" s="49">
        <f>IF(H319&lt;=0,0,H319*C320/12)</f>
        <v/>
      </c>
      <c r="F320" s="49">
        <f>IF(D320=0,0,D320-E320)</f>
        <v/>
      </c>
      <c r="G320" s="49" t="n"/>
      <c r="H320" s="125">
        <f>MAX(H319-F320-IFERROR(G320,0),0)</f>
        <v/>
      </c>
      <c r="I320" s="32" t="n"/>
      <c r="J320" s="101" t="n"/>
    </row>
    <row r="321" ht="18" customHeight="1">
      <c r="A321" s="46" t="n">
        <v>255</v>
      </c>
      <c r="B321" s="124">
        <f>DATE(YEAR($C$6),MONTH($C$6)+A321,MIN(30,DAY(EOMONTH(DATE(YEAR($C$6),MONTH($C$6)+A321,1),0))))</f>
        <v/>
      </c>
      <c r="C321" s="115">
        <f>IFERROR(INDEX($B$14:$B$53,MATCH(MAXIFS($A$14:$A$53,$A$14:$A$53,"&lt;="&amp;B321),$A$14:$A$53,0)),$B$14)</f>
        <v/>
      </c>
      <c r="D321" s="47">
        <f>IFERROR(IF(H320&lt;=0,0,ABS(PMT(C321/12,106,-H320))),0)</f>
        <v/>
      </c>
      <c r="E321" s="47">
        <f>IF(H320&lt;=0,0,H320*C321/12)</f>
        <v/>
      </c>
      <c r="F321" s="47">
        <f>IF(D321=0,0,D321-E321)</f>
        <v/>
      </c>
      <c r="G321" s="49" t="n"/>
      <c r="H321" s="75">
        <f>MAX(H320-F321-IFERROR(G321,0),0)</f>
        <v/>
      </c>
      <c r="I321" s="46" t="n"/>
      <c r="J321" s="116" t="n"/>
    </row>
    <row r="322" ht="18" customHeight="1">
      <c r="A322" s="32" t="n">
        <v>256</v>
      </c>
      <c r="B322" s="31">
        <f>DATE(YEAR($C$6),MONTH($C$6)+A322,MIN(30,DAY(EOMONTH(DATE(YEAR($C$6),MONTH($C$6)+A322,1),0))))</f>
        <v/>
      </c>
      <c r="C322" s="114">
        <f>IFERROR(INDEX($B$14:$B$53,MATCH(MAXIFS($A$14:$A$53,$A$14:$A$53,"&lt;="&amp;B322),$A$14:$A$53,0)),$B$14)</f>
        <v/>
      </c>
      <c r="D322" s="49">
        <f>IFERROR(IF(H321&lt;=0,0,ABS(PMT(C322/12,105,-H321))),0)</f>
        <v/>
      </c>
      <c r="E322" s="49">
        <f>IF(H321&lt;=0,0,H321*C322/12)</f>
        <v/>
      </c>
      <c r="F322" s="49">
        <f>IF(D322=0,0,D322-E322)</f>
        <v/>
      </c>
      <c r="G322" s="49" t="n"/>
      <c r="H322" s="125">
        <f>MAX(H321-F322-IFERROR(G322,0),0)</f>
        <v/>
      </c>
      <c r="I322" s="32" t="n"/>
      <c r="J322" s="101" t="n"/>
    </row>
    <row r="323" ht="18" customHeight="1">
      <c r="A323" s="46" t="n">
        <v>257</v>
      </c>
      <c r="B323" s="124">
        <f>DATE(YEAR($C$6),MONTH($C$6)+A323,MIN(30,DAY(EOMONTH(DATE(YEAR($C$6),MONTH($C$6)+A323,1),0))))</f>
        <v/>
      </c>
      <c r="C323" s="115">
        <f>IFERROR(INDEX($B$14:$B$53,MATCH(MAXIFS($A$14:$A$53,$A$14:$A$53,"&lt;="&amp;B323),$A$14:$A$53,0)),$B$14)</f>
        <v/>
      </c>
      <c r="D323" s="47">
        <f>IFERROR(IF(H322&lt;=0,0,ABS(PMT(C323/12,104,-H322))),0)</f>
        <v/>
      </c>
      <c r="E323" s="47">
        <f>IF(H322&lt;=0,0,H322*C323/12)</f>
        <v/>
      </c>
      <c r="F323" s="47">
        <f>IF(D323=0,0,D323-E323)</f>
        <v/>
      </c>
      <c r="G323" s="49" t="n"/>
      <c r="H323" s="75">
        <f>MAX(H322-F323-IFERROR(G323,0),0)</f>
        <v/>
      </c>
      <c r="I323" s="46" t="n"/>
      <c r="J323" s="116" t="n"/>
    </row>
    <row r="324" ht="18" customHeight="1">
      <c r="A324" s="32" t="n">
        <v>258</v>
      </c>
      <c r="B324" s="31">
        <f>DATE(YEAR($C$6),MONTH($C$6)+A324,MIN(30,DAY(EOMONTH(DATE(YEAR($C$6),MONTH($C$6)+A324,1),0))))</f>
        <v/>
      </c>
      <c r="C324" s="114">
        <f>IFERROR(INDEX($B$14:$B$53,MATCH(MAXIFS($A$14:$A$53,$A$14:$A$53,"&lt;="&amp;B324),$A$14:$A$53,0)),$B$14)</f>
        <v/>
      </c>
      <c r="D324" s="49">
        <f>IFERROR(IF(H323&lt;=0,0,ABS(PMT(C324/12,103,-H323))),0)</f>
        <v/>
      </c>
      <c r="E324" s="49">
        <f>IF(H323&lt;=0,0,H323*C324/12)</f>
        <v/>
      </c>
      <c r="F324" s="49">
        <f>IF(D324=0,0,D324-E324)</f>
        <v/>
      </c>
      <c r="G324" s="49" t="n"/>
      <c r="H324" s="125">
        <f>MAX(H323-F324-IFERROR(G324,0),0)</f>
        <v/>
      </c>
      <c r="I324" s="32" t="n"/>
      <c r="J324" s="101" t="n"/>
    </row>
    <row r="325" ht="18" customHeight="1">
      <c r="A325" s="46" t="n">
        <v>259</v>
      </c>
      <c r="B325" s="124">
        <f>DATE(YEAR($C$6),MONTH($C$6)+A325,MIN(30,DAY(EOMONTH(DATE(YEAR($C$6),MONTH($C$6)+A325,1),0))))</f>
        <v/>
      </c>
      <c r="C325" s="115">
        <f>IFERROR(INDEX($B$14:$B$53,MATCH(MAXIFS($A$14:$A$53,$A$14:$A$53,"&lt;="&amp;B325),$A$14:$A$53,0)),$B$14)</f>
        <v/>
      </c>
      <c r="D325" s="47">
        <f>IFERROR(IF(H324&lt;=0,0,ABS(PMT(C325/12,102,-H324))),0)</f>
        <v/>
      </c>
      <c r="E325" s="47">
        <f>IF(H324&lt;=0,0,H324*C325/12)</f>
        <v/>
      </c>
      <c r="F325" s="47">
        <f>IF(D325=0,0,D325-E325)</f>
        <v/>
      </c>
      <c r="G325" s="49" t="n"/>
      <c r="H325" s="75">
        <f>MAX(H324-F325-IFERROR(G325,0),0)</f>
        <v/>
      </c>
      <c r="I325" s="46" t="n"/>
      <c r="J325" s="116" t="n"/>
    </row>
    <row r="326" ht="18" customHeight="1">
      <c r="A326" s="32" t="n">
        <v>260</v>
      </c>
      <c r="B326" s="31">
        <f>DATE(YEAR($C$6),MONTH($C$6)+A326,MIN(30,DAY(EOMONTH(DATE(YEAR($C$6),MONTH($C$6)+A326,1),0))))</f>
        <v/>
      </c>
      <c r="C326" s="114">
        <f>IFERROR(INDEX($B$14:$B$53,MATCH(MAXIFS($A$14:$A$53,$A$14:$A$53,"&lt;="&amp;B326),$A$14:$A$53,0)),$B$14)</f>
        <v/>
      </c>
      <c r="D326" s="49">
        <f>IFERROR(IF(H325&lt;=0,0,ABS(PMT(C326/12,101,-H325))),0)</f>
        <v/>
      </c>
      <c r="E326" s="49">
        <f>IF(H325&lt;=0,0,H325*C326/12)</f>
        <v/>
      </c>
      <c r="F326" s="49">
        <f>IF(D326=0,0,D326-E326)</f>
        <v/>
      </c>
      <c r="G326" s="49" t="n"/>
      <c r="H326" s="125">
        <f>MAX(H325-F326-IFERROR(G326,0),0)</f>
        <v/>
      </c>
      <c r="I326" s="32" t="n"/>
      <c r="J326" s="101" t="n"/>
    </row>
    <row r="327" ht="18" customHeight="1">
      <c r="A327" s="46" t="n">
        <v>261</v>
      </c>
      <c r="B327" s="124">
        <f>DATE(YEAR($C$6),MONTH($C$6)+A327,MIN(30,DAY(EOMONTH(DATE(YEAR($C$6),MONTH($C$6)+A327,1),0))))</f>
        <v/>
      </c>
      <c r="C327" s="115">
        <f>IFERROR(INDEX($B$14:$B$53,MATCH(MAXIFS($A$14:$A$53,$A$14:$A$53,"&lt;="&amp;B327),$A$14:$A$53,0)),$B$14)</f>
        <v/>
      </c>
      <c r="D327" s="47">
        <f>IFERROR(IF(H326&lt;=0,0,ABS(PMT(C327/12,100,-H326))),0)</f>
        <v/>
      </c>
      <c r="E327" s="47">
        <f>IF(H326&lt;=0,0,H326*C327/12)</f>
        <v/>
      </c>
      <c r="F327" s="47">
        <f>IF(D327=0,0,D327-E327)</f>
        <v/>
      </c>
      <c r="G327" s="49" t="n"/>
      <c r="H327" s="75">
        <f>MAX(H326-F327-IFERROR(G327,0),0)</f>
        <v/>
      </c>
      <c r="I327" s="46" t="n"/>
      <c r="J327" s="116" t="n"/>
    </row>
    <row r="328" ht="18" customHeight="1">
      <c r="A328" s="32" t="n">
        <v>262</v>
      </c>
      <c r="B328" s="31">
        <f>DATE(YEAR($C$6),MONTH($C$6)+A328,MIN(30,DAY(EOMONTH(DATE(YEAR($C$6),MONTH($C$6)+A328,1),0))))</f>
        <v/>
      </c>
      <c r="C328" s="114">
        <f>IFERROR(INDEX($B$14:$B$53,MATCH(MAXIFS($A$14:$A$53,$A$14:$A$53,"&lt;="&amp;B328),$A$14:$A$53,0)),$B$14)</f>
        <v/>
      </c>
      <c r="D328" s="49">
        <f>IFERROR(IF(H327&lt;=0,0,ABS(PMT(C328/12,99,-H327))),0)</f>
        <v/>
      </c>
      <c r="E328" s="49">
        <f>IF(H327&lt;=0,0,H327*C328/12)</f>
        <v/>
      </c>
      <c r="F328" s="49">
        <f>IF(D328=0,0,D328-E328)</f>
        <v/>
      </c>
      <c r="G328" s="49" t="n"/>
      <c r="H328" s="125">
        <f>MAX(H327-F328-IFERROR(G328,0),0)</f>
        <v/>
      </c>
      <c r="I328" s="32" t="n"/>
      <c r="J328" s="101" t="n"/>
    </row>
    <row r="329" ht="18" customHeight="1">
      <c r="A329" s="46" t="n">
        <v>263</v>
      </c>
      <c r="B329" s="124">
        <f>DATE(YEAR($C$6),MONTH($C$6)+A329,MIN(30,DAY(EOMONTH(DATE(YEAR($C$6),MONTH($C$6)+A329,1),0))))</f>
        <v/>
      </c>
      <c r="C329" s="115">
        <f>IFERROR(INDEX($B$14:$B$53,MATCH(MAXIFS($A$14:$A$53,$A$14:$A$53,"&lt;="&amp;B329),$A$14:$A$53,0)),$B$14)</f>
        <v/>
      </c>
      <c r="D329" s="47">
        <f>IFERROR(IF(H328&lt;=0,0,ABS(PMT(C329/12,98,-H328))),0)</f>
        <v/>
      </c>
      <c r="E329" s="47">
        <f>IF(H328&lt;=0,0,H328*C329/12)</f>
        <v/>
      </c>
      <c r="F329" s="47">
        <f>IF(D329=0,0,D329-E329)</f>
        <v/>
      </c>
      <c r="G329" s="49" t="n"/>
      <c r="H329" s="75">
        <f>MAX(H328-F329-IFERROR(G329,0),0)</f>
        <v/>
      </c>
      <c r="I329" s="46" t="n"/>
      <c r="J329" s="116" t="n"/>
    </row>
    <row r="330" ht="18" customHeight="1">
      <c r="A330" s="32" t="n">
        <v>264</v>
      </c>
      <c r="B330" s="31">
        <f>DATE(YEAR($C$6),MONTH($C$6)+A330,MIN(30,DAY(EOMONTH(DATE(YEAR($C$6),MONTH($C$6)+A330,1),0))))</f>
        <v/>
      </c>
      <c r="C330" s="114">
        <f>IFERROR(INDEX($B$14:$B$53,MATCH(MAXIFS($A$14:$A$53,$A$14:$A$53,"&lt;="&amp;B330),$A$14:$A$53,0)),$B$14)</f>
        <v/>
      </c>
      <c r="D330" s="49">
        <f>IFERROR(IF(H329&lt;=0,0,ABS(PMT(C330/12,97,-H329))),0)</f>
        <v/>
      </c>
      <c r="E330" s="49">
        <f>IF(H329&lt;=0,0,H329*C330/12)</f>
        <v/>
      </c>
      <c r="F330" s="49">
        <f>IF(D330=0,0,D330-E330)</f>
        <v/>
      </c>
      <c r="G330" s="49" t="n"/>
      <c r="H330" s="125">
        <f>MAX(H329-F330-IFERROR(G330,0),0)</f>
        <v/>
      </c>
      <c r="I330" s="32" t="n"/>
      <c r="J330" s="101" t="n"/>
    </row>
    <row r="331" ht="18" customHeight="1">
      <c r="A331" s="46" t="n">
        <v>265</v>
      </c>
      <c r="B331" s="124">
        <f>DATE(YEAR($C$6),MONTH($C$6)+A331,MIN(30,DAY(EOMONTH(DATE(YEAR($C$6),MONTH($C$6)+A331,1),0))))</f>
        <v/>
      </c>
      <c r="C331" s="115">
        <f>IFERROR(INDEX($B$14:$B$53,MATCH(MAXIFS($A$14:$A$53,$A$14:$A$53,"&lt;="&amp;B331),$A$14:$A$53,0)),$B$14)</f>
        <v/>
      </c>
      <c r="D331" s="47">
        <f>IFERROR(IF(H330&lt;=0,0,ABS(PMT(C331/12,96,-H330))),0)</f>
        <v/>
      </c>
      <c r="E331" s="47">
        <f>IF(H330&lt;=0,0,H330*C331/12)</f>
        <v/>
      </c>
      <c r="F331" s="47">
        <f>IF(D331=0,0,D331-E331)</f>
        <v/>
      </c>
      <c r="G331" s="49" t="n"/>
      <c r="H331" s="75">
        <f>MAX(H330-F331-IFERROR(G331,0),0)</f>
        <v/>
      </c>
      <c r="I331" s="46" t="n"/>
      <c r="J331" s="116" t="n"/>
    </row>
    <row r="332" ht="18" customHeight="1">
      <c r="A332" s="32" t="n">
        <v>266</v>
      </c>
      <c r="B332" s="31">
        <f>DATE(YEAR($C$6),MONTH($C$6)+A332,MIN(30,DAY(EOMONTH(DATE(YEAR($C$6),MONTH($C$6)+A332,1),0))))</f>
        <v/>
      </c>
      <c r="C332" s="114">
        <f>IFERROR(INDEX($B$14:$B$53,MATCH(MAXIFS($A$14:$A$53,$A$14:$A$53,"&lt;="&amp;B332),$A$14:$A$53,0)),$B$14)</f>
        <v/>
      </c>
      <c r="D332" s="49">
        <f>IFERROR(IF(H331&lt;=0,0,ABS(PMT(C332/12,95,-H331))),0)</f>
        <v/>
      </c>
      <c r="E332" s="49">
        <f>IF(H331&lt;=0,0,H331*C332/12)</f>
        <v/>
      </c>
      <c r="F332" s="49">
        <f>IF(D332=0,0,D332-E332)</f>
        <v/>
      </c>
      <c r="G332" s="49" t="n"/>
      <c r="H332" s="125">
        <f>MAX(H331-F332-IFERROR(G332,0),0)</f>
        <v/>
      </c>
      <c r="I332" s="32" t="n"/>
      <c r="J332" s="101" t="n"/>
    </row>
    <row r="333" ht="18" customHeight="1">
      <c r="A333" s="46" t="n">
        <v>267</v>
      </c>
      <c r="B333" s="124">
        <f>DATE(YEAR($C$6),MONTH($C$6)+A333,MIN(30,DAY(EOMONTH(DATE(YEAR($C$6),MONTH($C$6)+A333,1),0))))</f>
        <v/>
      </c>
      <c r="C333" s="115">
        <f>IFERROR(INDEX($B$14:$B$53,MATCH(MAXIFS($A$14:$A$53,$A$14:$A$53,"&lt;="&amp;B333),$A$14:$A$53,0)),$B$14)</f>
        <v/>
      </c>
      <c r="D333" s="47">
        <f>IFERROR(IF(H332&lt;=0,0,ABS(PMT(C333/12,94,-H332))),0)</f>
        <v/>
      </c>
      <c r="E333" s="47">
        <f>IF(H332&lt;=0,0,H332*C333/12)</f>
        <v/>
      </c>
      <c r="F333" s="47">
        <f>IF(D333=0,0,D333-E333)</f>
        <v/>
      </c>
      <c r="G333" s="49" t="n"/>
      <c r="H333" s="75">
        <f>MAX(H332-F333-IFERROR(G333,0),0)</f>
        <v/>
      </c>
      <c r="I333" s="46" t="n"/>
      <c r="J333" s="116" t="n"/>
    </row>
    <row r="334" ht="18" customHeight="1">
      <c r="A334" s="32" t="n">
        <v>268</v>
      </c>
      <c r="B334" s="31">
        <f>DATE(YEAR($C$6),MONTH($C$6)+A334,MIN(30,DAY(EOMONTH(DATE(YEAR($C$6),MONTH($C$6)+A334,1),0))))</f>
        <v/>
      </c>
      <c r="C334" s="114">
        <f>IFERROR(INDEX($B$14:$B$53,MATCH(MAXIFS($A$14:$A$53,$A$14:$A$53,"&lt;="&amp;B334),$A$14:$A$53,0)),$B$14)</f>
        <v/>
      </c>
      <c r="D334" s="49">
        <f>IFERROR(IF(H333&lt;=0,0,ABS(PMT(C334/12,93,-H333))),0)</f>
        <v/>
      </c>
      <c r="E334" s="49">
        <f>IF(H333&lt;=0,0,H333*C334/12)</f>
        <v/>
      </c>
      <c r="F334" s="49">
        <f>IF(D334=0,0,D334-E334)</f>
        <v/>
      </c>
      <c r="G334" s="49" t="n"/>
      <c r="H334" s="125">
        <f>MAX(H333-F334-IFERROR(G334,0),0)</f>
        <v/>
      </c>
      <c r="I334" s="32" t="n"/>
      <c r="J334" s="101" t="n"/>
    </row>
    <row r="335" ht="18" customHeight="1">
      <c r="A335" s="46" t="n">
        <v>269</v>
      </c>
      <c r="B335" s="124">
        <f>DATE(YEAR($C$6),MONTH($C$6)+A335,MIN(30,DAY(EOMONTH(DATE(YEAR($C$6),MONTH($C$6)+A335,1),0))))</f>
        <v/>
      </c>
      <c r="C335" s="115">
        <f>IFERROR(INDEX($B$14:$B$53,MATCH(MAXIFS($A$14:$A$53,$A$14:$A$53,"&lt;="&amp;B335),$A$14:$A$53,0)),$B$14)</f>
        <v/>
      </c>
      <c r="D335" s="47">
        <f>IFERROR(IF(H334&lt;=0,0,ABS(PMT(C335/12,92,-H334))),0)</f>
        <v/>
      </c>
      <c r="E335" s="47">
        <f>IF(H334&lt;=0,0,H334*C335/12)</f>
        <v/>
      </c>
      <c r="F335" s="47">
        <f>IF(D335=0,0,D335-E335)</f>
        <v/>
      </c>
      <c r="G335" s="49" t="n"/>
      <c r="H335" s="75">
        <f>MAX(H334-F335-IFERROR(G335,0),0)</f>
        <v/>
      </c>
      <c r="I335" s="46" t="n"/>
      <c r="J335" s="116" t="n"/>
    </row>
    <row r="336" ht="18" customHeight="1">
      <c r="A336" s="32" t="n">
        <v>270</v>
      </c>
      <c r="B336" s="31">
        <f>DATE(YEAR($C$6),MONTH($C$6)+A336,MIN(30,DAY(EOMONTH(DATE(YEAR($C$6),MONTH($C$6)+A336,1),0))))</f>
        <v/>
      </c>
      <c r="C336" s="114">
        <f>IFERROR(INDEX($B$14:$B$53,MATCH(MAXIFS($A$14:$A$53,$A$14:$A$53,"&lt;="&amp;B336),$A$14:$A$53,0)),$B$14)</f>
        <v/>
      </c>
      <c r="D336" s="49">
        <f>IFERROR(IF(H335&lt;=0,0,ABS(PMT(C336/12,91,-H335))),0)</f>
        <v/>
      </c>
      <c r="E336" s="49">
        <f>IF(H335&lt;=0,0,H335*C336/12)</f>
        <v/>
      </c>
      <c r="F336" s="49">
        <f>IF(D336=0,0,D336-E336)</f>
        <v/>
      </c>
      <c r="G336" s="49" t="n"/>
      <c r="H336" s="125">
        <f>MAX(H335-F336-IFERROR(G336,0),0)</f>
        <v/>
      </c>
      <c r="I336" s="32" t="n"/>
      <c r="J336" s="101" t="n"/>
    </row>
    <row r="337" ht="18" customHeight="1">
      <c r="A337" s="46" t="n">
        <v>271</v>
      </c>
      <c r="B337" s="124">
        <f>DATE(YEAR($C$6),MONTH($C$6)+A337,MIN(30,DAY(EOMONTH(DATE(YEAR($C$6),MONTH($C$6)+A337,1),0))))</f>
        <v/>
      </c>
      <c r="C337" s="115">
        <f>IFERROR(INDEX($B$14:$B$53,MATCH(MAXIFS($A$14:$A$53,$A$14:$A$53,"&lt;="&amp;B337),$A$14:$A$53,0)),$B$14)</f>
        <v/>
      </c>
      <c r="D337" s="47">
        <f>IFERROR(IF(H336&lt;=0,0,ABS(PMT(C337/12,90,-H336))),0)</f>
        <v/>
      </c>
      <c r="E337" s="47">
        <f>IF(H336&lt;=0,0,H336*C337/12)</f>
        <v/>
      </c>
      <c r="F337" s="47">
        <f>IF(D337=0,0,D337-E337)</f>
        <v/>
      </c>
      <c r="G337" s="49" t="n"/>
      <c r="H337" s="75">
        <f>MAX(H336-F337-IFERROR(G337,0),0)</f>
        <v/>
      </c>
      <c r="I337" s="46" t="n"/>
      <c r="J337" s="116" t="n"/>
    </row>
    <row r="338" ht="18" customHeight="1">
      <c r="A338" s="32" t="n">
        <v>272</v>
      </c>
      <c r="B338" s="31">
        <f>DATE(YEAR($C$6),MONTH($C$6)+A338,MIN(30,DAY(EOMONTH(DATE(YEAR($C$6),MONTH($C$6)+A338,1),0))))</f>
        <v/>
      </c>
      <c r="C338" s="114">
        <f>IFERROR(INDEX($B$14:$B$53,MATCH(MAXIFS($A$14:$A$53,$A$14:$A$53,"&lt;="&amp;B338),$A$14:$A$53,0)),$B$14)</f>
        <v/>
      </c>
      <c r="D338" s="49">
        <f>IFERROR(IF(H337&lt;=0,0,ABS(PMT(C338/12,89,-H337))),0)</f>
        <v/>
      </c>
      <c r="E338" s="49">
        <f>IF(H337&lt;=0,0,H337*C338/12)</f>
        <v/>
      </c>
      <c r="F338" s="49">
        <f>IF(D338=0,0,D338-E338)</f>
        <v/>
      </c>
      <c r="G338" s="49" t="n"/>
      <c r="H338" s="125">
        <f>MAX(H337-F338-IFERROR(G338,0),0)</f>
        <v/>
      </c>
      <c r="I338" s="32" t="n"/>
      <c r="J338" s="101" t="n"/>
    </row>
    <row r="339" ht="18" customHeight="1">
      <c r="A339" s="46" t="n">
        <v>273</v>
      </c>
      <c r="B339" s="124">
        <f>DATE(YEAR($C$6),MONTH($C$6)+A339,MIN(30,DAY(EOMONTH(DATE(YEAR($C$6),MONTH($C$6)+A339,1),0))))</f>
        <v/>
      </c>
      <c r="C339" s="115">
        <f>IFERROR(INDEX($B$14:$B$53,MATCH(MAXIFS($A$14:$A$53,$A$14:$A$53,"&lt;="&amp;B339),$A$14:$A$53,0)),$B$14)</f>
        <v/>
      </c>
      <c r="D339" s="47">
        <f>IFERROR(IF(H338&lt;=0,0,ABS(PMT(C339/12,88,-H338))),0)</f>
        <v/>
      </c>
      <c r="E339" s="47">
        <f>IF(H338&lt;=0,0,H338*C339/12)</f>
        <v/>
      </c>
      <c r="F339" s="47">
        <f>IF(D339=0,0,D339-E339)</f>
        <v/>
      </c>
      <c r="G339" s="49" t="n"/>
      <c r="H339" s="75">
        <f>MAX(H338-F339-IFERROR(G339,0),0)</f>
        <v/>
      </c>
      <c r="I339" s="46" t="n"/>
      <c r="J339" s="116" t="n"/>
    </row>
    <row r="340" ht="18" customHeight="1">
      <c r="A340" s="32" t="n">
        <v>274</v>
      </c>
      <c r="B340" s="31">
        <f>DATE(YEAR($C$6),MONTH($C$6)+A340,MIN(30,DAY(EOMONTH(DATE(YEAR($C$6),MONTH($C$6)+A340,1),0))))</f>
        <v/>
      </c>
      <c r="C340" s="114">
        <f>IFERROR(INDEX($B$14:$B$53,MATCH(MAXIFS($A$14:$A$53,$A$14:$A$53,"&lt;="&amp;B340),$A$14:$A$53,0)),$B$14)</f>
        <v/>
      </c>
      <c r="D340" s="49">
        <f>IFERROR(IF(H339&lt;=0,0,ABS(PMT(C340/12,87,-H339))),0)</f>
        <v/>
      </c>
      <c r="E340" s="49">
        <f>IF(H339&lt;=0,0,H339*C340/12)</f>
        <v/>
      </c>
      <c r="F340" s="49">
        <f>IF(D340=0,0,D340-E340)</f>
        <v/>
      </c>
      <c r="G340" s="49" t="n"/>
      <c r="H340" s="125">
        <f>MAX(H339-F340-IFERROR(G340,0),0)</f>
        <v/>
      </c>
      <c r="I340" s="32" t="n"/>
      <c r="J340" s="101" t="n"/>
    </row>
    <row r="341" ht="18" customHeight="1">
      <c r="A341" s="46" t="n">
        <v>275</v>
      </c>
      <c r="B341" s="124">
        <f>DATE(YEAR($C$6),MONTH($C$6)+A341,MIN(30,DAY(EOMONTH(DATE(YEAR($C$6),MONTH($C$6)+A341,1),0))))</f>
        <v/>
      </c>
      <c r="C341" s="115">
        <f>IFERROR(INDEX($B$14:$B$53,MATCH(MAXIFS($A$14:$A$53,$A$14:$A$53,"&lt;="&amp;B341),$A$14:$A$53,0)),$B$14)</f>
        <v/>
      </c>
      <c r="D341" s="47">
        <f>IFERROR(IF(H340&lt;=0,0,ABS(PMT(C341/12,86,-H340))),0)</f>
        <v/>
      </c>
      <c r="E341" s="47">
        <f>IF(H340&lt;=0,0,H340*C341/12)</f>
        <v/>
      </c>
      <c r="F341" s="47">
        <f>IF(D341=0,0,D341-E341)</f>
        <v/>
      </c>
      <c r="G341" s="49" t="n"/>
      <c r="H341" s="75">
        <f>MAX(H340-F341-IFERROR(G341,0),0)</f>
        <v/>
      </c>
      <c r="I341" s="46" t="n"/>
      <c r="J341" s="116" t="n"/>
    </row>
    <row r="342" ht="18" customHeight="1">
      <c r="A342" s="32" t="n">
        <v>276</v>
      </c>
      <c r="B342" s="31">
        <f>DATE(YEAR($C$6),MONTH($C$6)+A342,MIN(30,DAY(EOMONTH(DATE(YEAR($C$6),MONTH($C$6)+A342,1),0))))</f>
        <v/>
      </c>
      <c r="C342" s="114">
        <f>IFERROR(INDEX($B$14:$B$53,MATCH(MAXIFS($A$14:$A$53,$A$14:$A$53,"&lt;="&amp;B342),$A$14:$A$53,0)),$B$14)</f>
        <v/>
      </c>
      <c r="D342" s="49">
        <f>IFERROR(IF(H341&lt;=0,0,ABS(PMT(C342/12,85,-H341))),0)</f>
        <v/>
      </c>
      <c r="E342" s="49">
        <f>IF(H341&lt;=0,0,H341*C342/12)</f>
        <v/>
      </c>
      <c r="F342" s="49">
        <f>IF(D342=0,0,D342-E342)</f>
        <v/>
      </c>
      <c r="G342" s="49" t="n"/>
      <c r="H342" s="125">
        <f>MAX(H341-F342-IFERROR(G342,0),0)</f>
        <v/>
      </c>
      <c r="I342" s="32" t="n"/>
      <c r="J342" s="101" t="n"/>
    </row>
    <row r="343" ht="18" customHeight="1">
      <c r="A343" s="46" t="n">
        <v>277</v>
      </c>
      <c r="B343" s="124">
        <f>DATE(YEAR($C$6),MONTH($C$6)+A343,MIN(30,DAY(EOMONTH(DATE(YEAR($C$6),MONTH($C$6)+A343,1),0))))</f>
        <v/>
      </c>
      <c r="C343" s="115">
        <f>IFERROR(INDEX($B$14:$B$53,MATCH(MAXIFS($A$14:$A$53,$A$14:$A$53,"&lt;="&amp;B343),$A$14:$A$53,0)),$B$14)</f>
        <v/>
      </c>
      <c r="D343" s="47">
        <f>IFERROR(IF(H342&lt;=0,0,ABS(PMT(C343/12,84,-H342))),0)</f>
        <v/>
      </c>
      <c r="E343" s="47">
        <f>IF(H342&lt;=0,0,H342*C343/12)</f>
        <v/>
      </c>
      <c r="F343" s="47">
        <f>IF(D343=0,0,D343-E343)</f>
        <v/>
      </c>
      <c r="G343" s="49" t="n"/>
      <c r="H343" s="75">
        <f>MAX(H342-F343-IFERROR(G343,0),0)</f>
        <v/>
      </c>
      <c r="I343" s="46" t="n"/>
      <c r="J343" s="116" t="n"/>
    </row>
    <row r="344" ht="18" customHeight="1">
      <c r="A344" s="32" t="n">
        <v>278</v>
      </c>
      <c r="B344" s="31">
        <f>DATE(YEAR($C$6),MONTH($C$6)+A344,MIN(30,DAY(EOMONTH(DATE(YEAR($C$6),MONTH($C$6)+A344,1),0))))</f>
        <v/>
      </c>
      <c r="C344" s="114">
        <f>IFERROR(INDEX($B$14:$B$53,MATCH(MAXIFS($A$14:$A$53,$A$14:$A$53,"&lt;="&amp;B344),$A$14:$A$53,0)),$B$14)</f>
        <v/>
      </c>
      <c r="D344" s="49">
        <f>IFERROR(IF(H343&lt;=0,0,ABS(PMT(C344/12,83,-H343))),0)</f>
        <v/>
      </c>
      <c r="E344" s="49">
        <f>IF(H343&lt;=0,0,H343*C344/12)</f>
        <v/>
      </c>
      <c r="F344" s="49">
        <f>IF(D344=0,0,D344-E344)</f>
        <v/>
      </c>
      <c r="G344" s="49" t="n"/>
      <c r="H344" s="125">
        <f>MAX(H343-F344-IFERROR(G344,0),0)</f>
        <v/>
      </c>
      <c r="I344" s="32" t="n"/>
      <c r="J344" s="101" t="n"/>
    </row>
    <row r="345" ht="18" customHeight="1">
      <c r="A345" s="46" t="n">
        <v>279</v>
      </c>
      <c r="B345" s="124">
        <f>DATE(YEAR($C$6),MONTH($C$6)+A345,MIN(30,DAY(EOMONTH(DATE(YEAR($C$6),MONTH($C$6)+A345,1),0))))</f>
        <v/>
      </c>
      <c r="C345" s="115">
        <f>IFERROR(INDEX($B$14:$B$53,MATCH(MAXIFS($A$14:$A$53,$A$14:$A$53,"&lt;="&amp;B345),$A$14:$A$53,0)),$B$14)</f>
        <v/>
      </c>
      <c r="D345" s="47">
        <f>IFERROR(IF(H344&lt;=0,0,ABS(PMT(C345/12,82,-H344))),0)</f>
        <v/>
      </c>
      <c r="E345" s="47">
        <f>IF(H344&lt;=0,0,H344*C345/12)</f>
        <v/>
      </c>
      <c r="F345" s="47">
        <f>IF(D345=0,0,D345-E345)</f>
        <v/>
      </c>
      <c r="G345" s="49" t="n"/>
      <c r="H345" s="75">
        <f>MAX(H344-F345-IFERROR(G345,0),0)</f>
        <v/>
      </c>
      <c r="I345" s="46" t="n"/>
      <c r="J345" s="116" t="n"/>
    </row>
    <row r="346" ht="18" customHeight="1">
      <c r="A346" s="32" t="n">
        <v>280</v>
      </c>
      <c r="B346" s="31">
        <f>DATE(YEAR($C$6),MONTH($C$6)+A346,MIN(30,DAY(EOMONTH(DATE(YEAR($C$6),MONTH($C$6)+A346,1),0))))</f>
        <v/>
      </c>
      <c r="C346" s="114">
        <f>IFERROR(INDEX($B$14:$B$53,MATCH(MAXIFS($A$14:$A$53,$A$14:$A$53,"&lt;="&amp;B346),$A$14:$A$53,0)),$B$14)</f>
        <v/>
      </c>
      <c r="D346" s="49">
        <f>IFERROR(IF(H345&lt;=0,0,ABS(PMT(C346/12,81,-H345))),0)</f>
        <v/>
      </c>
      <c r="E346" s="49">
        <f>IF(H345&lt;=0,0,H345*C346/12)</f>
        <v/>
      </c>
      <c r="F346" s="49">
        <f>IF(D346=0,0,D346-E346)</f>
        <v/>
      </c>
      <c r="G346" s="49" t="n"/>
      <c r="H346" s="125">
        <f>MAX(H345-F346-IFERROR(G346,0),0)</f>
        <v/>
      </c>
      <c r="I346" s="32" t="n"/>
      <c r="J346" s="101" t="n"/>
    </row>
    <row r="347" ht="18" customHeight="1">
      <c r="A347" s="46" t="n">
        <v>281</v>
      </c>
      <c r="B347" s="124">
        <f>DATE(YEAR($C$6),MONTH($C$6)+A347,MIN(30,DAY(EOMONTH(DATE(YEAR($C$6),MONTH($C$6)+A347,1),0))))</f>
        <v/>
      </c>
      <c r="C347" s="115">
        <f>IFERROR(INDEX($B$14:$B$53,MATCH(MAXIFS($A$14:$A$53,$A$14:$A$53,"&lt;="&amp;B347),$A$14:$A$53,0)),$B$14)</f>
        <v/>
      </c>
      <c r="D347" s="47">
        <f>IFERROR(IF(H346&lt;=0,0,ABS(PMT(C347/12,80,-H346))),0)</f>
        <v/>
      </c>
      <c r="E347" s="47">
        <f>IF(H346&lt;=0,0,H346*C347/12)</f>
        <v/>
      </c>
      <c r="F347" s="47">
        <f>IF(D347=0,0,D347-E347)</f>
        <v/>
      </c>
      <c r="G347" s="49" t="n"/>
      <c r="H347" s="75">
        <f>MAX(H346-F347-IFERROR(G347,0),0)</f>
        <v/>
      </c>
      <c r="I347" s="46" t="n"/>
      <c r="J347" s="116" t="n"/>
    </row>
    <row r="348" ht="18" customHeight="1">
      <c r="A348" s="32" t="n">
        <v>282</v>
      </c>
      <c r="B348" s="31">
        <f>DATE(YEAR($C$6),MONTH($C$6)+A348,MIN(30,DAY(EOMONTH(DATE(YEAR($C$6),MONTH($C$6)+A348,1),0))))</f>
        <v/>
      </c>
      <c r="C348" s="114">
        <f>IFERROR(INDEX($B$14:$B$53,MATCH(MAXIFS($A$14:$A$53,$A$14:$A$53,"&lt;="&amp;B348),$A$14:$A$53,0)),$B$14)</f>
        <v/>
      </c>
      <c r="D348" s="49">
        <f>IFERROR(IF(H347&lt;=0,0,ABS(PMT(C348/12,79,-H347))),0)</f>
        <v/>
      </c>
      <c r="E348" s="49">
        <f>IF(H347&lt;=0,0,H347*C348/12)</f>
        <v/>
      </c>
      <c r="F348" s="49">
        <f>IF(D348=0,0,D348-E348)</f>
        <v/>
      </c>
      <c r="G348" s="49" t="n"/>
      <c r="H348" s="125">
        <f>MAX(H347-F348-IFERROR(G348,0),0)</f>
        <v/>
      </c>
      <c r="I348" s="32" t="n"/>
      <c r="J348" s="101" t="n"/>
    </row>
    <row r="349" ht="18" customHeight="1">
      <c r="A349" s="46" t="n">
        <v>283</v>
      </c>
      <c r="B349" s="124">
        <f>DATE(YEAR($C$6),MONTH($C$6)+A349,MIN(30,DAY(EOMONTH(DATE(YEAR($C$6),MONTH($C$6)+A349,1),0))))</f>
        <v/>
      </c>
      <c r="C349" s="115">
        <f>IFERROR(INDEX($B$14:$B$53,MATCH(MAXIFS($A$14:$A$53,$A$14:$A$53,"&lt;="&amp;B349),$A$14:$A$53,0)),$B$14)</f>
        <v/>
      </c>
      <c r="D349" s="47">
        <f>IFERROR(IF(H348&lt;=0,0,ABS(PMT(C349/12,78,-H348))),0)</f>
        <v/>
      </c>
      <c r="E349" s="47">
        <f>IF(H348&lt;=0,0,H348*C349/12)</f>
        <v/>
      </c>
      <c r="F349" s="47">
        <f>IF(D349=0,0,D349-E349)</f>
        <v/>
      </c>
      <c r="G349" s="49" t="n"/>
      <c r="H349" s="75">
        <f>MAX(H348-F349-IFERROR(G349,0),0)</f>
        <v/>
      </c>
      <c r="I349" s="46" t="n"/>
      <c r="J349" s="116" t="n"/>
    </row>
    <row r="350" ht="18" customHeight="1">
      <c r="A350" s="32" t="n">
        <v>284</v>
      </c>
      <c r="B350" s="31">
        <f>DATE(YEAR($C$6),MONTH($C$6)+A350,MIN(30,DAY(EOMONTH(DATE(YEAR($C$6),MONTH($C$6)+A350,1),0))))</f>
        <v/>
      </c>
      <c r="C350" s="114">
        <f>IFERROR(INDEX($B$14:$B$53,MATCH(MAXIFS($A$14:$A$53,$A$14:$A$53,"&lt;="&amp;B350),$A$14:$A$53,0)),$B$14)</f>
        <v/>
      </c>
      <c r="D350" s="49">
        <f>IFERROR(IF(H349&lt;=0,0,ABS(PMT(C350/12,77,-H349))),0)</f>
        <v/>
      </c>
      <c r="E350" s="49">
        <f>IF(H349&lt;=0,0,H349*C350/12)</f>
        <v/>
      </c>
      <c r="F350" s="49">
        <f>IF(D350=0,0,D350-E350)</f>
        <v/>
      </c>
      <c r="G350" s="49" t="n"/>
      <c r="H350" s="125">
        <f>MAX(H349-F350-IFERROR(G350,0),0)</f>
        <v/>
      </c>
      <c r="I350" s="32" t="n"/>
      <c r="J350" s="101" t="n"/>
    </row>
    <row r="351" ht="18" customHeight="1">
      <c r="A351" s="46" t="n">
        <v>285</v>
      </c>
      <c r="B351" s="124">
        <f>DATE(YEAR($C$6),MONTH($C$6)+A351,MIN(30,DAY(EOMONTH(DATE(YEAR($C$6),MONTH($C$6)+A351,1),0))))</f>
        <v/>
      </c>
      <c r="C351" s="115">
        <f>IFERROR(INDEX($B$14:$B$53,MATCH(MAXIFS($A$14:$A$53,$A$14:$A$53,"&lt;="&amp;B351),$A$14:$A$53,0)),$B$14)</f>
        <v/>
      </c>
      <c r="D351" s="47">
        <f>IFERROR(IF(H350&lt;=0,0,ABS(PMT(C351/12,76,-H350))),0)</f>
        <v/>
      </c>
      <c r="E351" s="47">
        <f>IF(H350&lt;=0,0,H350*C351/12)</f>
        <v/>
      </c>
      <c r="F351" s="47">
        <f>IF(D351=0,0,D351-E351)</f>
        <v/>
      </c>
      <c r="G351" s="49" t="n"/>
      <c r="H351" s="75">
        <f>MAX(H350-F351-IFERROR(G351,0),0)</f>
        <v/>
      </c>
      <c r="I351" s="46" t="n"/>
      <c r="J351" s="116" t="n"/>
    </row>
    <row r="352" ht="18" customHeight="1">
      <c r="A352" s="32" t="n">
        <v>286</v>
      </c>
      <c r="B352" s="31">
        <f>DATE(YEAR($C$6),MONTH($C$6)+A352,MIN(30,DAY(EOMONTH(DATE(YEAR($C$6),MONTH($C$6)+A352,1),0))))</f>
        <v/>
      </c>
      <c r="C352" s="114">
        <f>IFERROR(INDEX($B$14:$B$53,MATCH(MAXIFS($A$14:$A$53,$A$14:$A$53,"&lt;="&amp;B352),$A$14:$A$53,0)),$B$14)</f>
        <v/>
      </c>
      <c r="D352" s="49">
        <f>IFERROR(IF(H351&lt;=0,0,ABS(PMT(C352/12,75,-H351))),0)</f>
        <v/>
      </c>
      <c r="E352" s="49">
        <f>IF(H351&lt;=0,0,H351*C352/12)</f>
        <v/>
      </c>
      <c r="F352" s="49">
        <f>IF(D352=0,0,D352-E352)</f>
        <v/>
      </c>
      <c r="G352" s="49" t="n"/>
      <c r="H352" s="125">
        <f>MAX(H351-F352-IFERROR(G352,0),0)</f>
        <v/>
      </c>
      <c r="I352" s="32" t="n"/>
      <c r="J352" s="101" t="n"/>
    </row>
    <row r="353" ht="18" customHeight="1">
      <c r="A353" s="46" t="n">
        <v>287</v>
      </c>
      <c r="B353" s="124">
        <f>DATE(YEAR($C$6),MONTH($C$6)+A353,MIN(30,DAY(EOMONTH(DATE(YEAR($C$6),MONTH($C$6)+A353,1),0))))</f>
        <v/>
      </c>
      <c r="C353" s="115">
        <f>IFERROR(INDEX($B$14:$B$53,MATCH(MAXIFS($A$14:$A$53,$A$14:$A$53,"&lt;="&amp;B353),$A$14:$A$53,0)),$B$14)</f>
        <v/>
      </c>
      <c r="D353" s="47">
        <f>IFERROR(IF(H352&lt;=0,0,ABS(PMT(C353/12,74,-H352))),0)</f>
        <v/>
      </c>
      <c r="E353" s="47">
        <f>IF(H352&lt;=0,0,H352*C353/12)</f>
        <v/>
      </c>
      <c r="F353" s="47">
        <f>IF(D353=0,0,D353-E353)</f>
        <v/>
      </c>
      <c r="G353" s="49" t="n"/>
      <c r="H353" s="75">
        <f>MAX(H352-F353-IFERROR(G353,0),0)</f>
        <v/>
      </c>
      <c r="I353" s="46" t="n"/>
      <c r="J353" s="116" t="n"/>
    </row>
    <row r="354" ht="18" customHeight="1">
      <c r="A354" s="32" t="n">
        <v>288</v>
      </c>
      <c r="B354" s="31">
        <f>DATE(YEAR($C$6),MONTH($C$6)+A354,MIN(30,DAY(EOMONTH(DATE(YEAR($C$6),MONTH($C$6)+A354,1),0))))</f>
        <v/>
      </c>
      <c r="C354" s="114">
        <f>IFERROR(INDEX($B$14:$B$53,MATCH(MAXIFS($A$14:$A$53,$A$14:$A$53,"&lt;="&amp;B354),$A$14:$A$53,0)),$B$14)</f>
        <v/>
      </c>
      <c r="D354" s="49">
        <f>IFERROR(IF(H353&lt;=0,0,ABS(PMT(C354/12,73,-H353))),0)</f>
        <v/>
      </c>
      <c r="E354" s="49">
        <f>IF(H353&lt;=0,0,H353*C354/12)</f>
        <v/>
      </c>
      <c r="F354" s="49">
        <f>IF(D354=0,0,D354-E354)</f>
        <v/>
      </c>
      <c r="G354" s="49" t="n"/>
      <c r="H354" s="125">
        <f>MAX(H353-F354-IFERROR(G354,0),0)</f>
        <v/>
      </c>
      <c r="I354" s="32" t="n"/>
      <c r="J354" s="101" t="n"/>
    </row>
    <row r="355" ht="18" customHeight="1">
      <c r="A355" s="46" t="n">
        <v>289</v>
      </c>
      <c r="B355" s="124">
        <f>DATE(YEAR($C$6),MONTH($C$6)+A355,MIN(30,DAY(EOMONTH(DATE(YEAR($C$6),MONTH($C$6)+A355,1),0))))</f>
        <v/>
      </c>
      <c r="C355" s="115">
        <f>IFERROR(INDEX($B$14:$B$53,MATCH(MAXIFS($A$14:$A$53,$A$14:$A$53,"&lt;="&amp;B355),$A$14:$A$53,0)),$B$14)</f>
        <v/>
      </c>
      <c r="D355" s="47">
        <f>IFERROR(IF(H354&lt;=0,0,ABS(PMT(C355/12,72,-H354))),0)</f>
        <v/>
      </c>
      <c r="E355" s="47">
        <f>IF(H354&lt;=0,0,H354*C355/12)</f>
        <v/>
      </c>
      <c r="F355" s="47">
        <f>IF(D355=0,0,D355-E355)</f>
        <v/>
      </c>
      <c r="G355" s="49" t="n"/>
      <c r="H355" s="75">
        <f>MAX(H354-F355-IFERROR(G355,0),0)</f>
        <v/>
      </c>
      <c r="I355" s="46" t="n"/>
      <c r="J355" s="116" t="n"/>
    </row>
    <row r="356" ht="18" customHeight="1">
      <c r="A356" s="32" t="n">
        <v>290</v>
      </c>
      <c r="B356" s="31">
        <f>DATE(YEAR($C$6),MONTH($C$6)+A356,MIN(30,DAY(EOMONTH(DATE(YEAR($C$6),MONTH($C$6)+A356,1),0))))</f>
        <v/>
      </c>
      <c r="C356" s="114">
        <f>IFERROR(INDEX($B$14:$B$53,MATCH(MAXIFS($A$14:$A$53,$A$14:$A$53,"&lt;="&amp;B356),$A$14:$A$53,0)),$B$14)</f>
        <v/>
      </c>
      <c r="D356" s="49">
        <f>IFERROR(IF(H355&lt;=0,0,ABS(PMT(C356/12,71,-H355))),0)</f>
        <v/>
      </c>
      <c r="E356" s="49">
        <f>IF(H355&lt;=0,0,H355*C356/12)</f>
        <v/>
      </c>
      <c r="F356" s="49">
        <f>IF(D356=0,0,D356-E356)</f>
        <v/>
      </c>
      <c r="G356" s="49" t="n"/>
      <c r="H356" s="125">
        <f>MAX(H355-F356-IFERROR(G356,0),0)</f>
        <v/>
      </c>
      <c r="I356" s="32" t="n"/>
      <c r="J356" s="101" t="n"/>
    </row>
    <row r="357" ht="18" customHeight="1">
      <c r="A357" s="46" t="n">
        <v>291</v>
      </c>
      <c r="B357" s="124">
        <f>DATE(YEAR($C$6),MONTH($C$6)+A357,MIN(30,DAY(EOMONTH(DATE(YEAR($C$6),MONTH($C$6)+A357,1),0))))</f>
        <v/>
      </c>
      <c r="C357" s="115">
        <f>IFERROR(INDEX($B$14:$B$53,MATCH(MAXIFS($A$14:$A$53,$A$14:$A$53,"&lt;="&amp;B357),$A$14:$A$53,0)),$B$14)</f>
        <v/>
      </c>
      <c r="D357" s="47">
        <f>IFERROR(IF(H356&lt;=0,0,ABS(PMT(C357/12,70,-H356))),0)</f>
        <v/>
      </c>
      <c r="E357" s="47">
        <f>IF(H356&lt;=0,0,H356*C357/12)</f>
        <v/>
      </c>
      <c r="F357" s="47">
        <f>IF(D357=0,0,D357-E357)</f>
        <v/>
      </c>
      <c r="G357" s="49" t="n"/>
      <c r="H357" s="75">
        <f>MAX(H356-F357-IFERROR(G357,0),0)</f>
        <v/>
      </c>
      <c r="I357" s="46" t="n"/>
      <c r="J357" s="116" t="n"/>
    </row>
    <row r="358" ht="18" customHeight="1">
      <c r="A358" s="32" t="n">
        <v>292</v>
      </c>
      <c r="B358" s="31">
        <f>DATE(YEAR($C$6),MONTH($C$6)+A358,MIN(30,DAY(EOMONTH(DATE(YEAR($C$6),MONTH($C$6)+A358,1),0))))</f>
        <v/>
      </c>
      <c r="C358" s="114">
        <f>IFERROR(INDEX($B$14:$B$53,MATCH(MAXIFS($A$14:$A$53,$A$14:$A$53,"&lt;="&amp;B358),$A$14:$A$53,0)),$B$14)</f>
        <v/>
      </c>
      <c r="D358" s="49">
        <f>IFERROR(IF(H357&lt;=0,0,ABS(PMT(C358/12,69,-H357))),0)</f>
        <v/>
      </c>
      <c r="E358" s="49">
        <f>IF(H357&lt;=0,0,H357*C358/12)</f>
        <v/>
      </c>
      <c r="F358" s="49">
        <f>IF(D358=0,0,D358-E358)</f>
        <v/>
      </c>
      <c r="G358" s="49" t="n"/>
      <c r="H358" s="125">
        <f>MAX(H357-F358-IFERROR(G358,0),0)</f>
        <v/>
      </c>
      <c r="I358" s="32" t="n"/>
      <c r="J358" s="101" t="n"/>
    </row>
    <row r="359" ht="18" customHeight="1">
      <c r="A359" s="46" t="n">
        <v>293</v>
      </c>
      <c r="B359" s="124">
        <f>DATE(YEAR($C$6),MONTH($C$6)+A359,MIN(30,DAY(EOMONTH(DATE(YEAR($C$6),MONTH($C$6)+A359,1),0))))</f>
        <v/>
      </c>
      <c r="C359" s="115">
        <f>IFERROR(INDEX($B$14:$B$53,MATCH(MAXIFS($A$14:$A$53,$A$14:$A$53,"&lt;="&amp;B359),$A$14:$A$53,0)),$B$14)</f>
        <v/>
      </c>
      <c r="D359" s="47">
        <f>IFERROR(IF(H358&lt;=0,0,ABS(PMT(C359/12,68,-H358))),0)</f>
        <v/>
      </c>
      <c r="E359" s="47">
        <f>IF(H358&lt;=0,0,H358*C359/12)</f>
        <v/>
      </c>
      <c r="F359" s="47">
        <f>IF(D359=0,0,D359-E359)</f>
        <v/>
      </c>
      <c r="G359" s="49" t="n"/>
      <c r="H359" s="75">
        <f>MAX(H358-F359-IFERROR(G359,0),0)</f>
        <v/>
      </c>
      <c r="I359" s="46" t="n"/>
      <c r="J359" s="116" t="n"/>
    </row>
    <row r="360" ht="18" customHeight="1">
      <c r="A360" s="32" t="n">
        <v>294</v>
      </c>
      <c r="B360" s="31">
        <f>DATE(YEAR($C$6),MONTH($C$6)+A360,MIN(30,DAY(EOMONTH(DATE(YEAR($C$6),MONTH($C$6)+A360,1),0))))</f>
        <v/>
      </c>
      <c r="C360" s="114">
        <f>IFERROR(INDEX($B$14:$B$53,MATCH(MAXIFS($A$14:$A$53,$A$14:$A$53,"&lt;="&amp;B360),$A$14:$A$53,0)),$B$14)</f>
        <v/>
      </c>
      <c r="D360" s="49">
        <f>IFERROR(IF(H359&lt;=0,0,ABS(PMT(C360/12,67,-H359))),0)</f>
        <v/>
      </c>
      <c r="E360" s="49">
        <f>IF(H359&lt;=0,0,H359*C360/12)</f>
        <v/>
      </c>
      <c r="F360" s="49">
        <f>IF(D360=0,0,D360-E360)</f>
        <v/>
      </c>
      <c r="G360" s="49" t="n"/>
      <c r="H360" s="125">
        <f>MAX(H359-F360-IFERROR(G360,0),0)</f>
        <v/>
      </c>
      <c r="I360" s="32" t="n"/>
      <c r="J360" s="101" t="n"/>
    </row>
    <row r="361" ht="18" customHeight="1">
      <c r="A361" s="46" t="n">
        <v>295</v>
      </c>
      <c r="B361" s="124">
        <f>DATE(YEAR($C$6),MONTH($C$6)+A361,MIN(30,DAY(EOMONTH(DATE(YEAR($C$6),MONTH($C$6)+A361,1),0))))</f>
        <v/>
      </c>
      <c r="C361" s="115">
        <f>IFERROR(INDEX($B$14:$B$53,MATCH(MAXIFS($A$14:$A$53,$A$14:$A$53,"&lt;="&amp;B361),$A$14:$A$53,0)),$B$14)</f>
        <v/>
      </c>
      <c r="D361" s="47">
        <f>IFERROR(IF(H360&lt;=0,0,ABS(PMT(C361/12,66,-H360))),0)</f>
        <v/>
      </c>
      <c r="E361" s="47">
        <f>IF(H360&lt;=0,0,H360*C361/12)</f>
        <v/>
      </c>
      <c r="F361" s="47">
        <f>IF(D361=0,0,D361-E361)</f>
        <v/>
      </c>
      <c r="G361" s="49" t="n"/>
      <c r="H361" s="75">
        <f>MAX(H360-F361-IFERROR(G361,0),0)</f>
        <v/>
      </c>
      <c r="I361" s="46" t="n"/>
      <c r="J361" s="116" t="n"/>
    </row>
    <row r="362" ht="18" customHeight="1">
      <c r="A362" s="32" t="n">
        <v>296</v>
      </c>
      <c r="B362" s="31">
        <f>DATE(YEAR($C$6),MONTH($C$6)+A362,MIN(30,DAY(EOMONTH(DATE(YEAR($C$6),MONTH($C$6)+A362,1),0))))</f>
        <v/>
      </c>
      <c r="C362" s="114">
        <f>IFERROR(INDEX($B$14:$B$53,MATCH(MAXIFS($A$14:$A$53,$A$14:$A$53,"&lt;="&amp;B362),$A$14:$A$53,0)),$B$14)</f>
        <v/>
      </c>
      <c r="D362" s="49">
        <f>IFERROR(IF(H361&lt;=0,0,ABS(PMT(C362/12,65,-H361))),0)</f>
        <v/>
      </c>
      <c r="E362" s="49">
        <f>IF(H361&lt;=0,0,H361*C362/12)</f>
        <v/>
      </c>
      <c r="F362" s="49">
        <f>IF(D362=0,0,D362-E362)</f>
        <v/>
      </c>
      <c r="G362" s="49" t="n"/>
      <c r="H362" s="125">
        <f>MAX(H361-F362-IFERROR(G362,0),0)</f>
        <v/>
      </c>
      <c r="I362" s="32" t="n"/>
      <c r="J362" s="101" t="n"/>
    </row>
    <row r="363" ht="18" customHeight="1">
      <c r="A363" s="46" t="n">
        <v>297</v>
      </c>
      <c r="B363" s="124">
        <f>DATE(YEAR($C$6),MONTH($C$6)+A363,MIN(30,DAY(EOMONTH(DATE(YEAR($C$6),MONTH($C$6)+A363,1),0))))</f>
        <v/>
      </c>
      <c r="C363" s="115">
        <f>IFERROR(INDEX($B$14:$B$53,MATCH(MAXIFS($A$14:$A$53,$A$14:$A$53,"&lt;="&amp;B363),$A$14:$A$53,0)),$B$14)</f>
        <v/>
      </c>
      <c r="D363" s="47">
        <f>IFERROR(IF(H362&lt;=0,0,ABS(PMT(C363/12,64,-H362))),0)</f>
        <v/>
      </c>
      <c r="E363" s="47">
        <f>IF(H362&lt;=0,0,H362*C363/12)</f>
        <v/>
      </c>
      <c r="F363" s="47">
        <f>IF(D363=0,0,D363-E363)</f>
        <v/>
      </c>
      <c r="G363" s="49" t="n"/>
      <c r="H363" s="75">
        <f>MAX(H362-F363-IFERROR(G363,0),0)</f>
        <v/>
      </c>
      <c r="I363" s="46" t="n"/>
      <c r="J363" s="116" t="n"/>
    </row>
    <row r="364" ht="18" customHeight="1">
      <c r="A364" s="32" t="n">
        <v>298</v>
      </c>
      <c r="B364" s="31">
        <f>DATE(YEAR($C$6),MONTH($C$6)+A364,MIN(30,DAY(EOMONTH(DATE(YEAR($C$6),MONTH($C$6)+A364,1),0))))</f>
        <v/>
      </c>
      <c r="C364" s="114">
        <f>IFERROR(INDEX($B$14:$B$53,MATCH(MAXIFS($A$14:$A$53,$A$14:$A$53,"&lt;="&amp;B364),$A$14:$A$53,0)),$B$14)</f>
        <v/>
      </c>
      <c r="D364" s="49">
        <f>IFERROR(IF(H363&lt;=0,0,ABS(PMT(C364/12,63,-H363))),0)</f>
        <v/>
      </c>
      <c r="E364" s="49">
        <f>IF(H363&lt;=0,0,H363*C364/12)</f>
        <v/>
      </c>
      <c r="F364" s="49">
        <f>IF(D364=0,0,D364-E364)</f>
        <v/>
      </c>
      <c r="G364" s="49" t="n"/>
      <c r="H364" s="125">
        <f>MAX(H363-F364-IFERROR(G364,0),0)</f>
        <v/>
      </c>
      <c r="I364" s="32" t="n"/>
      <c r="J364" s="101" t="n"/>
    </row>
    <row r="365" ht="18" customHeight="1">
      <c r="A365" s="46" t="n">
        <v>299</v>
      </c>
      <c r="B365" s="124">
        <f>DATE(YEAR($C$6),MONTH($C$6)+A365,MIN(30,DAY(EOMONTH(DATE(YEAR($C$6),MONTH($C$6)+A365,1),0))))</f>
        <v/>
      </c>
      <c r="C365" s="115">
        <f>IFERROR(INDEX($B$14:$B$53,MATCH(MAXIFS($A$14:$A$53,$A$14:$A$53,"&lt;="&amp;B365),$A$14:$A$53,0)),$B$14)</f>
        <v/>
      </c>
      <c r="D365" s="47">
        <f>IFERROR(IF(H364&lt;=0,0,ABS(PMT(C365/12,62,-H364))),0)</f>
        <v/>
      </c>
      <c r="E365" s="47">
        <f>IF(H364&lt;=0,0,H364*C365/12)</f>
        <v/>
      </c>
      <c r="F365" s="47">
        <f>IF(D365=0,0,D365-E365)</f>
        <v/>
      </c>
      <c r="G365" s="49" t="n"/>
      <c r="H365" s="75">
        <f>MAX(H364-F365-IFERROR(G365,0),0)</f>
        <v/>
      </c>
      <c r="I365" s="46" t="n"/>
      <c r="J365" s="116" t="n"/>
    </row>
    <row r="366" ht="18" customHeight="1">
      <c r="A366" s="32" t="n">
        <v>300</v>
      </c>
      <c r="B366" s="31">
        <f>DATE(YEAR($C$6),MONTH($C$6)+A366,MIN(30,DAY(EOMONTH(DATE(YEAR($C$6),MONTH($C$6)+A366,1),0))))</f>
        <v/>
      </c>
      <c r="C366" s="114">
        <f>IFERROR(INDEX($B$14:$B$53,MATCH(MAXIFS($A$14:$A$53,$A$14:$A$53,"&lt;="&amp;B366),$A$14:$A$53,0)),$B$14)</f>
        <v/>
      </c>
      <c r="D366" s="49">
        <f>IFERROR(IF(H365&lt;=0,0,ABS(PMT(C366/12,61,-H365))),0)</f>
        <v/>
      </c>
      <c r="E366" s="49">
        <f>IF(H365&lt;=0,0,H365*C366/12)</f>
        <v/>
      </c>
      <c r="F366" s="49">
        <f>IF(D366=0,0,D366-E366)</f>
        <v/>
      </c>
      <c r="G366" s="49" t="n"/>
      <c r="H366" s="125">
        <f>MAX(H365-F366-IFERROR(G366,0),0)</f>
        <v/>
      </c>
      <c r="I366" s="32" t="n"/>
      <c r="J366" s="101" t="n"/>
    </row>
    <row r="367" ht="18" customHeight="1">
      <c r="A367" s="46" t="n">
        <v>301</v>
      </c>
      <c r="B367" s="124">
        <f>DATE(YEAR($C$6),MONTH($C$6)+A367,MIN(30,DAY(EOMONTH(DATE(YEAR($C$6),MONTH($C$6)+A367,1),0))))</f>
        <v/>
      </c>
      <c r="C367" s="115">
        <f>IFERROR(INDEX($B$14:$B$53,MATCH(MAXIFS($A$14:$A$53,$A$14:$A$53,"&lt;="&amp;B367),$A$14:$A$53,0)),$B$14)</f>
        <v/>
      </c>
      <c r="D367" s="47">
        <f>IFERROR(IF(H366&lt;=0,0,ABS(PMT(C367/12,60,-H366))),0)</f>
        <v/>
      </c>
      <c r="E367" s="47">
        <f>IF(H366&lt;=0,0,H366*C367/12)</f>
        <v/>
      </c>
      <c r="F367" s="47">
        <f>IF(D367=0,0,D367-E367)</f>
        <v/>
      </c>
      <c r="G367" s="49" t="n"/>
      <c r="H367" s="75">
        <f>MAX(H366-F367-IFERROR(G367,0),0)</f>
        <v/>
      </c>
      <c r="I367" s="46" t="n"/>
      <c r="J367" s="116" t="n"/>
    </row>
    <row r="368" ht="18" customHeight="1">
      <c r="A368" s="32" t="n">
        <v>302</v>
      </c>
      <c r="B368" s="31">
        <f>DATE(YEAR($C$6),MONTH($C$6)+A368,MIN(30,DAY(EOMONTH(DATE(YEAR($C$6),MONTH($C$6)+A368,1),0))))</f>
        <v/>
      </c>
      <c r="C368" s="114">
        <f>IFERROR(INDEX($B$14:$B$53,MATCH(MAXIFS($A$14:$A$53,$A$14:$A$53,"&lt;="&amp;B368),$A$14:$A$53,0)),$B$14)</f>
        <v/>
      </c>
      <c r="D368" s="49">
        <f>IFERROR(IF(H367&lt;=0,0,ABS(PMT(C368/12,59,-H367))),0)</f>
        <v/>
      </c>
      <c r="E368" s="49">
        <f>IF(H367&lt;=0,0,H367*C368/12)</f>
        <v/>
      </c>
      <c r="F368" s="49">
        <f>IF(D368=0,0,D368-E368)</f>
        <v/>
      </c>
      <c r="G368" s="49" t="n"/>
      <c r="H368" s="125">
        <f>MAX(H367-F368-IFERROR(G368,0),0)</f>
        <v/>
      </c>
      <c r="I368" s="32" t="n"/>
      <c r="J368" s="101" t="n"/>
    </row>
    <row r="369" ht="18" customHeight="1">
      <c r="A369" s="46" t="n">
        <v>303</v>
      </c>
      <c r="B369" s="124">
        <f>DATE(YEAR($C$6),MONTH($C$6)+A369,MIN(30,DAY(EOMONTH(DATE(YEAR($C$6),MONTH($C$6)+A369,1),0))))</f>
        <v/>
      </c>
      <c r="C369" s="115">
        <f>IFERROR(INDEX($B$14:$B$53,MATCH(MAXIFS($A$14:$A$53,$A$14:$A$53,"&lt;="&amp;B369),$A$14:$A$53,0)),$B$14)</f>
        <v/>
      </c>
      <c r="D369" s="47">
        <f>IFERROR(IF(H368&lt;=0,0,ABS(PMT(C369/12,58,-H368))),0)</f>
        <v/>
      </c>
      <c r="E369" s="47">
        <f>IF(H368&lt;=0,0,H368*C369/12)</f>
        <v/>
      </c>
      <c r="F369" s="47">
        <f>IF(D369=0,0,D369-E369)</f>
        <v/>
      </c>
      <c r="G369" s="49" t="n"/>
      <c r="H369" s="75">
        <f>MAX(H368-F369-IFERROR(G369,0),0)</f>
        <v/>
      </c>
      <c r="I369" s="46" t="n"/>
      <c r="J369" s="116" t="n"/>
    </row>
    <row r="370" ht="18" customHeight="1">
      <c r="A370" s="32" t="n">
        <v>304</v>
      </c>
      <c r="B370" s="31">
        <f>DATE(YEAR($C$6),MONTH($C$6)+A370,MIN(30,DAY(EOMONTH(DATE(YEAR($C$6),MONTH($C$6)+A370,1),0))))</f>
        <v/>
      </c>
      <c r="C370" s="114">
        <f>IFERROR(INDEX($B$14:$B$53,MATCH(MAXIFS($A$14:$A$53,$A$14:$A$53,"&lt;="&amp;B370),$A$14:$A$53,0)),$B$14)</f>
        <v/>
      </c>
      <c r="D370" s="49">
        <f>IFERROR(IF(H369&lt;=0,0,ABS(PMT(C370/12,57,-H369))),0)</f>
        <v/>
      </c>
      <c r="E370" s="49">
        <f>IF(H369&lt;=0,0,H369*C370/12)</f>
        <v/>
      </c>
      <c r="F370" s="49">
        <f>IF(D370=0,0,D370-E370)</f>
        <v/>
      </c>
      <c r="G370" s="49" t="n"/>
      <c r="H370" s="125">
        <f>MAX(H369-F370-IFERROR(G370,0),0)</f>
        <v/>
      </c>
      <c r="I370" s="32" t="n"/>
      <c r="J370" s="101" t="n"/>
    </row>
    <row r="371" ht="18" customHeight="1">
      <c r="A371" s="46" t="n">
        <v>305</v>
      </c>
      <c r="B371" s="124">
        <f>DATE(YEAR($C$6),MONTH($C$6)+A371,MIN(30,DAY(EOMONTH(DATE(YEAR($C$6),MONTH($C$6)+A371,1),0))))</f>
        <v/>
      </c>
      <c r="C371" s="115">
        <f>IFERROR(INDEX($B$14:$B$53,MATCH(MAXIFS($A$14:$A$53,$A$14:$A$53,"&lt;="&amp;B371),$A$14:$A$53,0)),$B$14)</f>
        <v/>
      </c>
      <c r="D371" s="47">
        <f>IFERROR(IF(H370&lt;=0,0,ABS(PMT(C371/12,56,-H370))),0)</f>
        <v/>
      </c>
      <c r="E371" s="47">
        <f>IF(H370&lt;=0,0,H370*C371/12)</f>
        <v/>
      </c>
      <c r="F371" s="47">
        <f>IF(D371=0,0,D371-E371)</f>
        <v/>
      </c>
      <c r="G371" s="49" t="n"/>
      <c r="H371" s="75">
        <f>MAX(H370-F371-IFERROR(G371,0),0)</f>
        <v/>
      </c>
      <c r="I371" s="46" t="n"/>
      <c r="J371" s="116" t="n"/>
    </row>
    <row r="372" ht="18" customHeight="1">
      <c r="A372" s="32" t="n">
        <v>306</v>
      </c>
      <c r="B372" s="31">
        <f>DATE(YEAR($C$6),MONTH($C$6)+A372,MIN(30,DAY(EOMONTH(DATE(YEAR($C$6),MONTH($C$6)+A372,1),0))))</f>
        <v/>
      </c>
      <c r="C372" s="114">
        <f>IFERROR(INDEX($B$14:$B$53,MATCH(MAXIFS($A$14:$A$53,$A$14:$A$53,"&lt;="&amp;B372),$A$14:$A$53,0)),$B$14)</f>
        <v/>
      </c>
      <c r="D372" s="49">
        <f>IFERROR(IF(H371&lt;=0,0,ABS(PMT(C372/12,55,-H371))),0)</f>
        <v/>
      </c>
      <c r="E372" s="49">
        <f>IF(H371&lt;=0,0,H371*C372/12)</f>
        <v/>
      </c>
      <c r="F372" s="49">
        <f>IF(D372=0,0,D372-E372)</f>
        <v/>
      </c>
      <c r="G372" s="49" t="n"/>
      <c r="H372" s="125">
        <f>MAX(H371-F372-IFERROR(G372,0),0)</f>
        <v/>
      </c>
      <c r="I372" s="32" t="n"/>
      <c r="J372" s="101" t="n"/>
    </row>
    <row r="373" ht="18" customHeight="1">
      <c r="A373" s="46" t="n">
        <v>307</v>
      </c>
      <c r="B373" s="124">
        <f>DATE(YEAR($C$6),MONTH($C$6)+A373,MIN(30,DAY(EOMONTH(DATE(YEAR($C$6),MONTH($C$6)+A373,1),0))))</f>
        <v/>
      </c>
      <c r="C373" s="115">
        <f>IFERROR(INDEX($B$14:$B$53,MATCH(MAXIFS($A$14:$A$53,$A$14:$A$53,"&lt;="&amp;B373),$A$14:$A$53,0)),$B$14)</f>
        <v/>
      </c>
      <c r="D373" s="47">
        <f>IFERROR(IF(H372&lt;=0,0,ABS(PMT(C373/12,54,-H372))),0)</f>
        <v/>
      </c>
      <c r="E373" s="47">
        <f>IF(H372&lt;=0,0,H372*C373/12)</f>
        <v/>
      </c>
      <c r="F373" s="47">
        <f>IF(D373=0,0,D373-E373)</f>
        <v/>
      </c>
      <c r="G373" s="49" t="n"/>
      <c r="H373" s="75">
        <f>MAX(H372-F373-IFERROR(G373,0),0)</f>
        <v/>
      </c>
      <c r="I373" s="46" t="n"/>
      <c r="J373" s="116" t="n"/>
    </row>
    <row r="374" ht="18" customHeight="1">
      <c r="A374" s="32" t="n">
        <v>308</v>
      </c>
      <c r="B374" s="31">
        <f>DATE(YEAR($C$6),MONTH($C$6)+A374,MIN(30,DAY(EOMONTH(DATE(YEAR($C$6),MONTH($C$6)+A374,1),0))))</f>
        <v/>
      </c>
      <c r="C374" s="114">
        <f>IFERROR(INDEX($B$14:$B$53,MATCH(MAXIFS($A$14:$A$53,$A$14:$A$53,"&lt;="&amp;B374),$A$14:$A$53,0)),$B$14)</f>
        <v/>
      </c>
      <c r="D374" s="49">
        <f>IFERROR(IF(H373&lt;=0,0,ABS(PMT(C374/12,53,-H373))),0)</f>
        <v/>
      </c>
      <c r="E374" s="49">
        <f>IF(H373&lt;=0,0,H373*C374/12)</f>
        <v/>
      </c>
      <c r="F374" s="49">
        <f>IF(D374=0,0,D374-E374)</f>
        <v/>
      </c>
      <c r="G374" s="49" t="n"/>
      <c r="H374" s="125">
        <f>MAX(H373-F374-IFERROR(G374,0),0)</f>
        <v/>
      </c>
      <c r="I374" s="32" t="n"/>
      <c r="J374" s="101" t="n"/>
    </row>
    <row r="375" ht="18" customHeight="1">
      <c r="A375" s="46" t="n">
        <v>309</v>
      </c>
      <c r="B375" s="124">
        <f>DATE(YEAR($C$6),MONTH($C$6)+A375,MIN(30,DAY(EOMONTH(DATE(YEAR($C$6),MONTH($C$6)+A375,1),0))))</f>
        <v/>
      </c>
      <c r="C375" s="115">
        <f>IFERROR(INDEX($B$14:$B$53,MATCH(MAXIFS($A$14:$A$53,$A$14:$A$53,"&lt;="&amp;B375),$A$14:$A$53,0)),$B$14)</f>
        <v/>
      </c>
      <c r="D375" s="47">
        <f>IFERROR(IF(H374&lt;=0,0,ABS(PMT(C375/12,52,-H374))),0)</f>
        <v/>
      </c>
      <c r="E375" s="47">
        <f>IF(H374&lt;=0,0,H374*C375/12)</f>
        <v/>
      </c>
      <c r="F375" s="47">
        <f>IF(D375=0,0,D375-E375)</f>
        <v/>
      </c>
      <c r="G375" s="49" t="n"/>
      <c r="H375" s="75">
        <f>MAX(H374-F375-IFERROR(G375,0),0)</f>
        <v/>
      </c>
      <c r="I375" s="46" t="n"/>
      <c r="J375" s="116" t="n"/>
    </row>
    <row r="376" ht="18" customHeight="1">
      <c r="A376" s="32" t="n">
        <v>310</v>
      </c>
      <c r="B376" s="31">
        <f>DATE(YEAR($C$6),MONTH($C$6)+A376,MIN(30,DAY(EOMONTH(DATE(YEAR($C$6),MONTH($C$6)+A376,1),0))))</f>
        <v/>
      </c>
      <c r="C376" s="114">
        <f>IFERROR(INDEX($B$14:$B$53,MATCH(MAXIFS($A$14:$A$53,$A$14:$A$53,"&lt;="&amp;B376),$A$14:$A$53,0)),$B$14)</f>
        <v/>
      </c>
      <c r="D376" s="49">
        <f>IFERROR(IF(H375&lt;=0,0,ABS(PMT(C376/12,51,-H375))),0)</f>
        <v/>
      </c>
      <c r="E376" s="49">
        <f>IF(H375&lt;=0,0,H375*C376/12)</f>
        <v/>
      </c>
      <c r="F376" s="49">
        <f>IF(D376=0,0,D376-E376)</f>
        <v/>
      </c>
      <c r="G376" s="49" t="n"/>
      <c r="H376" s="125">
        <f>MAX(H375-F376-IFERROR(G376,0),0)</f>
        <v/>
      </c>
      <c r="I376" s="32" t="n"/>
      <c r="J376" s="101" t="n"/>
    </row>
    <row r="377" ht="18" customHeight="1">
      <c r="A377" s="46" t="n">
        <v>311</v>
      </c>
      <c r="B377" s="124">
        <f>DATE(YEAR($C$6),MONTH($C$6)+A377,MIN(30,DAY(EOMONTH(DATE(YEAR($C$6),MONTH($C$6)+A377,1),0))))</f>
        <v/>
      </c>
      <c r="C377" s="115">
        <f>IFERROR(INDEX($B$14:$B$53,MATCH(MAXIFS($A$14:$A$53,$A$14:$A$53,"&lt;="&amp;B377),$A$14:$A$53,0)),$B$14)</f>
        <v/>
      </c>
      <c r="D377" s="47">
        <f>IFERROR(IF(H376&lt;=0,0,ABS(PMT(C377/12,50,-H376))),0)</f>
        <v/>
      </c>
      <c r="E377" s="47">
        <f>IF(H376&lt;=0,0,H376*C377/12)</f>
        <v/>
      </c>
      <c r="F377" s="47">
        <f>IF(D377=0,0,D377-E377)</f>
        <v/>
      </c>
      <c r="G377" s="49" t="n"/>
      <c r="H377" s="75">
        <f>MAX(H376-F377-IFERROR(G377,0),0)</f>
        <v/>
      </c>
      <c r="I377" s="46" t="n"/>
      <c r="J377" s="116" t="n"/>
    </row>
    <row r="378" ht="18" customHeight="1">
      <c r="A378" s="32" t="n">
        <v>312</v>
      </c>
      <c r="B378" s="31">
        <f>DATE(YEAR($C$6),MONTH($C$6)+A378,MIN(30,DAY(EOMONTH(DATE(YEAR($C$6),MONTH($C$6)+A378,1),0))))</f>
        <v/>
      </c>
      <c r="C378" s="114">
        <f>IFERROR(INDEX($B$14:$B$53,MATCH(MAXIFS($A$14:$A$53,$A$14:$A$53,"&lt;="&amp;B378),$A$14:$A$53,0)),$B$14)</f>
        <v/>
      </c>
      <c r="D378" s="49">
        <f>IFERROR(IF(H377&lt;=0,0,ABS(PMT(C378/12,49,-H377))),0)</f>
        <v/>
      </c>
      <c r="E378" s="49">
        <f>IF(H377&lt;=0,0,H377*C378/12)</f>
        <v/>
      </c>
      <c r="F378" s="49">
        <f>IF(D378=0,0,D378-E378)</f>
        <v/>
      </c>
      <c r="G378" s="49" t="n"/>
      <c r="H378" s="125">
        <f>MAX(H377-F378-IFERROR(G378,0),0)</f>
        <v/>
      </c>
      <c r="I378" s="32" t="n"/>
      <c r="J378" s="101" t="n"/>
    </row>
    <row r="379" ht="18" customHeight="1">
      <c r="A379" s="46" t="n">
        <v>313</v>
      </c>
      <c r="B379" s="124">
        <f>DATE(YEAR($C$6),MONTH($C$6)+A379,MIN(30,DAY(EOMONTH(DATE(YEAR($C$6),MONTH($C$6)+A379,1),0))))</f>
        <v/>
      </c>
      <c r="C379" s="115">
        <f>IFERROR(INDEX($B$14:$B$53,MATCH(MAXIFS($A$14:$A$53,$A$14:$A$53,"&lt;="&amp;B379),$A$14:$A$53,0)),$B$14)</f>
        <v/>
      </c>
      <c r="D379" s="47">
        <f>IFERROR(IF(H378&lt;=0,0,ABS(PMT(C379/12,48,-H378))),0)</f>
        <v/>
      </c>
      <c r="E379" s="47">
        <f>IF(H378&lt;=0,0,H378*C379/12)</f>
        <v/>
      </c>
      <c r="F379" s="47">
        <f>IF(D379=0,0,D379-E379)</f>
        <v/>
      </c>
      <c r="G379" s="49" t="n"/>
      <c r="H379" s="75">
        <f>MAX(H378-F379-IFERROR(G379,0),0)</f>
        <v/>
      </c>
      <c r="I379" s="46" t="n"/>
      <c r="J379" s="116" t="n"/>
    </row>
    <row r="380" ht="18" customHeight="1">
      <c r="A380" s="32" t="n">
        <v>314</v>
      </c>
      <c r="B380" s="31">
        <f>DATE(YEAR($C$6),MONTH($C$6)+A380,MIN(30,DAY(EOMONTH(DATE(YEAR($C$6),MONTH($C$6)+A380,1),0))))</f>
        <v/>
      </c>
      <c r="C380" s="114">
        <f>IFERROR(INDEX($B$14:$B$53,MATCH(MAXIFS($A$14:$A$53,$A$14:$A$53,"&lt;="&amp;B380),$A$14:$A$53,0)),$B$14)</f>
        <v/>
      </c>
      <c r="D380" s="49">
        <f>IFERROR(IF(H379&lt;=0,0,ABS(PMT(C380/12,47,-H379))),0)</f>
        <v/>
      </c>
      <c r="E380" s="49">
        <f>IF(H379&lt;=0,0,H379*C380/12)</f>
        <v/>
      </c>
      <c r="F380" s="49">
        <f>IF(D380=0,0,D380-E380)</f>
        <v/>
      </c>
      <c r="G380" s="49" t="n"/>
      <c r="H380" s="125">
        <f>MAX(H379-F380-IFERROR(G380,0),0)</f>
        <v/>
      </c>
      <c r="I380" s="32" t="n"/>
      <c r="J380" s="101" t="n"/>
    </row>
    <row r="381" ht="18" customHeight="1">
      <c r="A381" s="46" t="n">
        <v>315</v>
      </c>
      <c r="B381" s="124">
        <f>DATE(YEAR($C$6),MONTH($C$6)+A381,MIN(30,DAY(EOMONTH(DATE(YEAR($C$6),MONTH($C$6)+A381,1),0))))</f>
        <v/>
      </c>
      <c r="C381" s="115">
        <f>IFERROR(INDEX($B$14:$B$53,MATCH(MAXIFS($A$14:$A$53,$A$14:$A$53,"&lt;="&amp;B381),$A$14:$A$53,0)),$B$14)</f>
        <v/>
      </c>
      <c r="D381" s="47">
        <f>IFERROR(IF(H380&lt;=0,0,ABS(PMT(C381/12,46,-H380))),0)</f>
        <v/>
      </c>
      <c r="E381" s="47">
        <f>IF(H380&lt;=0,0,H380*C381/12)</f>
        <v/>
      </c>
      <c r="F381" s="47">
        <f>IF(D381=0,0,D381-E381)</f>
        <v/>
      </c>
      <c r="G381" s="49" t="n"/>
      <c r="H381" s="75">
        <f>MAX(H380-F381-IFERROR(G381,0),0)</f>
        <v/>
      </c>
      <c r="I381" s="46" t="n"/>
      <c r="J381" s="116" t="n"/>
    </row>
    <row r="382" ht="18" customHeight="1">
      <c r="A382" s="32" t="n">
        <v>316</v>
      </c>
      <c r="B382" s="31">
        <f>DATE(YEAR($C$6),MONTH($C$6)+A382,MIN(30,DAY(EOMONTH(DATE(YEAR($C$6),MONTH($C$6)+A382,1),0))))</f>
        <v/>
      </c>
      <c r="C382" s="114">
        <f>IFERROR(INDEX($B$14:$B$53,MATCH(MAXIFS($A$14:$A$53,$A$14:$A$53,"&lt;="&amp;B382),$A$14:$A$53,0)),$B$14)</f>
        <v/>
      </c>
      <c r="D382" s="49">
        <f>IFERROR(IF(H381&lt;=0,0,ABS(PMT(C382/12,45,-H381))),0)</f>
        <v/>
      </c>
      <c r="E382" s="49">
        <f>IF(H381&lt;=0,0,H381*C382/12)</f>
        <v/>
      </c>
      <c r="F382" s="49">
        <f>IF(D382=0,0,D382-E382)</f>
        <v/>
      </c>
      <c r="G382" s="49" t="n"/>
      <c r="H382" s="125">
        <f>MAX(H381-F382-IFERROR(G382,0),0)</f>
        <v/>
      </c>
      <c r="I382" s="32" t="n"/>
      <c r="J382" s="101" t="n"/>
    </row>
    <row r="383" ht="18" customHeight="1">
      <c r="A383" s="46" t="n">
        <v>317</v>
      </c>
      <c r="B383" s="124">
        <f>DATE(YEAR($C$6),MONTH($C$6)+A383,MIN(30,DAY(EOMONTH(DATE(YEAR($C$6),MONTH($C$6)+A383,1),0))))</f>
        <v/>
      </c>
      <c r="C383" s="115">
        <f>IFERROR(INDEX($B$14:$B$53,MATCH(MAXIFS($A$14:$A$53,$A$14:$A$53,"&lt;="&amp;B383),$A$14:$A$53,0)),$B$14)</f>
        <v/>
      </c>
      <c r="D383" s="47">
        <f>IFERROR(IF(H382&lt;=0,0,ABS(PMT(C383/12,44,-H382))),0)</f>
        <v/>
      </c>
      <c r="E383" s="47">
        <f>IF(H382&lt;=0,0,H382*C383/12)</f>
        <v/>
      </c>
      <c r="F383" s="47">
        <f>IF(D383=0,0,D383-E383)</f>
        <v/>
      </c>
      <c r="G383" s="49" t="n"/>
      <c r="H383" s="75">
        <f>MAX(H382-F383-IFERROR(G383,0),0)</f>
        <v/>
      </c>
      <c r="I383" s="46" t="n"/>
      <c r="J383" s="116" t="n"/>
    </row>
    <row r="384" ht="18" customHeight="1">
      <c r="A384" s="32" t="n">
        <v>318</v>
      </c>
      <c r="B384" s="31">
        <f>DATE(YEAR($C$6),MONTH($C$6)+A384,MIN(30,DAY(EOMONTH(DATE(YEAR($C$6),MONTH($C$6)+A384,1),0))))</f>
        <v/>
      </c>
      <c r="C384" s="114">
        <f>IFERROR(INDEX($B$14:$B$53,MATCH(MAXIFS($A$14:$A$53,$A$14:$A$53,"&lt;="&amp;B384),$A$14:$A$53,0)),$B$14)</f>
        <v/>
      </c>
      <c r="D384" s="49">
        <f>IFERROR(IF(H383&lt;=0,0,ABS(PMT(C384/12,43,-H383))),0)</f>
        <v/>
      </c>
      <c r="E384" s="49">
        <f>IF(H383&lt;=0,0,H383*C384/12)</f>
        <v/>
      </c>
      <c r="F384" s="49">
        <f>IF(D384=0,0,D384-E384)</f>
        <v/>
      </c>
      <c r="G384" s="49" t="n"/>
      <c r="H384" s="125">
        <f>MAX(H383-F384-IFERROR(G384,0),0)</f>
        <v/>
      </c>
      <c r="I384" s="32" t="n"/>
      <c r="J384" s="101" t="n"/>
    </row>
    <row r="385" ht="18" customHeight="1">
      <c r="A385" s="46" t="n">
        <v>319</v>
      </c>
      <c r="B385" s="124">
        <f>DATE(YEAR($C$6),MONTH($C$6)+A385,MIN(30,DAY(EOMONTH(DATE(YEAR($C$6),MONTH($C$6)+A385,1),0))))</f>
        <v/>
      </c>
      <c r="C385" s="115">
        <f>IFERROR(INDEX($B$14:$B$53,MATCH(MAXIFS($A$14:$A$53,$A$14:$A$53,"&lt;="&amp;B385),$A$14:$A$53,0)),$B$14)</f>
        <v/>
      </c>
      <c r="D385" s="47">
        <f>IFERROR(IF(H384&lt;=0,0,ABS(PMT(C385/12,42,-H384))),0)</f>
        <v/>
      </c>
      <c r="E385" s="47">
        <f>IF(H384&lt;=0,0,H384*C385/12)</f>
        <v/>
      </c>
      <c r="F385" s="47">
        <f>IF(D385=0,0,D385-E385)</f>
        <v/>
      </c>
      <c r="G385" s="49" t="n"/>
      <c r="H385" s="75">
        <f>MAX(H384-F385-IFERROR(G385,0),0)</f>
        <v/>
      </c>
      <c r="I385" s="46" t="n"/>
      <c r="J385" s="116" t="n"/>
    </row>
    <row r="386" ht="18" customHeight="1">
      <c r="A386" s="32" t="n">
        <v>320</v>
      </c>
      <c r="B386" s="31">
        <f>DATE(YEAR($C$6),MONTH($C$6)+A386,MIN(30,DAY(EOMONTH(DATE(YEAR($C$6),MONTH($C$6)+A386,1),0))))</f>
        <v/>
      </c>
      <c r="C386" s="114">
        <f>IFERROR(INDEX($B$14:$B$53,MATCH(MAXIFS($A$14:$A$53,$A$14:$A$53,"&lt;="&amp;B386),$A$14:$A$53,0)),$B$14)</f>
        <v/>
      </c>
      <c r="D386" s="49">
        <f>IFERROR(IF(H385&lt;=0,0,ABS(PMT(C386/12,41,-H385))),0)</f>
        <v/>
      </c>
      <c r="E386" s="49">
        <f>IF(H385&lt;=0,0,H385*C386/12)</f>
        <v/>
      </c>
      <c r="F386" s="49">
        <f>IF(D386=0,0,D386-E386)</f>
        <v/>
      </c>
      <c r="G386" s="49" t="n"/>
      <c r="H386" s="125">
        <f>MAX(H385-F386-IFERROR(G386,0),0)</f>
        <v/>
      </c>
      <c r="I386" s="32" t="n"/>
      <c r="J386" s="101" t="n"/>
    </row>
    <row r="387" ht="18" customHeight="1">
      <c r="A387" s="46" t="n">
        <v>321</v>
      </c>
      <c r="B387" s="124">
        <f>DATE(YEAR($C$6),MONTH($C$6)+A387,MIN(30,DAY(EOMONTH(DATE(YEAR($C$6),MONTH($C$6)+A387,1),0))))</f>
        <v/>
      </c>
      <c r="C387" s="115">
        <f>IFERROR(INDEX($B$14:$B$53,MATCH(MAXIFS($A$14:$A$53,$A$14:$A$53,"&lt;="&amp;B387),$A$14:$A$53,0)),$B$14)</f>
        <v/>
      </c>
      <c r="D387" s="47">
        <f>IFERROR(IF(H386&lt;=0,0,ABS(PMT(C387/12,40,-H386))),0)</f>
        <v/>
      </c>
      <c r="E387" s="47">
        <f>IF(H386&lt;=0,0,H386*C387/12)</f>
        <v/>
      </c>
      <c r="F387" s="47">
        <f>IF(D387=0,0,D387-E387)</f>
        <v/>
      </c>
      <c r="G387" s="49" t="n"/>
      <c r="H387" s="75">
        <f>MAX(H386-F387-IFERROR(G387,0),0)</f>
        <v/>
      </c>
      <c r="I387" s="46" t="n"/>
      <c r="J387" s="116" t="n"/>
    </row>
    <row r="388" ht="18" customHeight="1">
      <c r="A388" s="32" t="n">
        <v>322</v>
      </c>
      <c r="B388" s="31">
        <f>DATE(YEAR($C$6),MONTH($C$6)+A388,MIN(30,DAY(EOMONTH(DATE(YEAR($C$6),MONTH($C$6)+A388,1),0))))</f>
        <v/>
      </c>
      <c r="C388" s="114">
        <f>IFERROR(INDEX($B$14:$B$53,MATCH(MAXIFS($A$14:$A$53,$A$14:$A$53,"&lt;="&amp;B388),$A$14:$A$53,0)),$B$14)</f>
        <v/>
      </c>
      <c r="D388" s="49">
        <f>IFERROR(IF(H387&lt;=0,0,ABS(PMT(C388/12,39,-H387))),0)</f>
        <v/>
      </c>
      <c r="E388" s="49">
        <f>IF(H387&lt;=0,0,H387*C388/12)</f>
        <v/>
      </c>
      <c r="F388" s="49">
        <f>IF(D388=0,0,D388-E388)</f>
        <v/>
      </c>
      <c r="G388" s="49" t="n"/>
      <c r="H388" s="125">
        <f>MAX(H387-F388-IFERROR(G388,0),0)</f>
        <v/>
      </c>
      <c r="I388" s="32" t="n"/>
      <c r="J388" s="101" t="n"/>
    </row>
    <row r="389" ht="18" customHeight="1">
      <c r="A389" s="46" t="n">
        <v>323</v>
      </c>
      <c r="B389" s="124">
        <f>DATE(YEAR($C$6),MONTH($C$6)+A389,MIN(30,DAY(EOMONTH(DATE(YEAR($C$6),MONTH($C$6)+A389,1),0))))</f>
        <v/>
      </c>
      <c r="C389" s="115">
        <f>IFERROR(INDEX($B$14:$B$53,MATCH(MAXIFS($A$14:$A$53,$A$14:$A$53,"&lt;="&amp;B389),$A$14:$A$53,0)),$B$14)</f>
        <v/>
      </c>
      <c r="D389" s="47">
        <f>IFERROR(IF(H388&lt;=0,0,ABS(PMT(C389/12,38,-H388))),0)</f>
        <v/>
      </c>
      <c r="E389" s="47">
        <f>IF(H388&lt;=0,0,H388*C389/12)</f>
        <v/>
      </c>
      <c r="F389" s="47">
        <f>IF(D389=0,0,D389-E389)</f>
        <v/>
      </c>
      <c r="G389" s="49" t="n"/>
      <c r="H389" s="75">
        <f>MAX(H388-F389-IFERROR(G389,0),0)</f>
        <v/>
      </c>
      <c r="I389" s="46" t="n"/>
      <c r="J389" s="116" t="n"/>
    </row>
    <row r="390" ht="18" customHeight="1">
      <c r="A390" s="32" t="n">
        <v>324</v>
      </c>
      <c r="B390" s="31">
        <f>DATE(YEAR($C$6),MONTH($C$6)+A390,MIN(30,DAY(EOMONTH(DATE(YEAR($C$6),MONTH($C$6)+A390,1),0))))</f>
        <v/>
      </c>
      <c r="C390" s="114">
        <f>IFERROR(INDEX($B$14:$B$53,MATCH(MAXIFS($A$14:$A$53,$A$14:$A$53,"&lt;="&amp;B390),$A$14:$A$53,0)),$B$14)</f>
        <v/>
      </c>
      <c r="D390" s="49">
        <f>IFERROR(IF(H389&lt;=0,0,ABS(PMT(C390/12,37,-H389))),0)</f>
        <v/>
      </c>
      <c r="E390" s="49">
        <f>IF(H389&lt;=0,0,H389*C390/12)</f>
        <v/>
      </c>
      <c r="F390" s="49">
        <f>IF(D390=0,0,D390-E390)</f>
        <v/>
      </c>
      <c r="G390" s="49" t="n"/>
      <c r="H390" s="125">
        <f>MAX(H389-F390-IFERROR(G390,0),0)</f>
        <v/>
      </c>
      <c r="I390" s="32" t="n"/>
      <c r="J390" s="101" t="n"/>
    </row>
    <row r="391" ht="18" customHeight="1">
      <c r="A391" s="46" t="n">
        <v>325</v>
      </c>
      <c r="B391" s="124">
        <f>DATE(YEAR($C$6),MONTH($C$6)+A391,MIN(30,DAY(EOMONTH(DATE(YEAR($C$6),MONTH($C$6)+A391,1),0))))</f>
        <v/>
      </c>
      <c r="C391" s="115">
        <f>IFERROR(INDEX($B$14:$B$53,MATCH(MAXIFS($A$14:$A$53,$A$14:$A$53,"&lt;="&amp;B391),$A$14:$A$53,0)),$B$14)</f>
        <v/>
      </c>
      <c r="D391" s="47">
        <f>IFERROR(IF(H390&lt;=0,0,ABS(PMT(C391/12,36,-H390))),0)</f>
        <v/>
      </c>
      <c r="E391" s="47">
        <f>IF(H390&lt;=0,0,H390*C391/12)</f>
        <v/>
      </c>
      <c r="F391" s="47">
        <f>IF(D391=0,0,D391-E391)</f>
        <v/>
      </c>
      <c r="G391" s="49" t="n"/>
      <c r="H391" s="75">
        <f>MAX(H390-F391-IFERROR(G391,0),0)</f>
        <v/>
      </c>
      <c r="I391" s="46" t="n"/>
      <c r="J391" s="116" t="n"/>
    </row>
    <row r="392" ht="18" customHeight="1">
      <c r="A392" s="32" t="n">
        <v>326</v>
      </c>
      <c r="B392" s="31">
        <f>DATE(YEAR($C$6),MONTH($C$6)+A392,MIN(30,DAY(EOMONTH(DATE(YEAR($C$6),MONTH($C$6)+A392,1),0))))</f>
        <v/>
      </c>
      <c r="C392" s="114">
        <f>IFERROR(INDEX($B$14:$B$53,MATCH(MAXIFS($A$14:$A$53,$A$14:$A$53,"&lt;="&amp;B392),$A$14:$A$53,0)),$B$14)</f>
        <v/>
      </c>
      <c r="D392" s="49">
        <f>IFERROR(IF(H391&lt;=0,0,ABS(PMT(C392/12,35,-H391))),0)</f>
        <v/>
      </c>
      <c r="E392" s="49">
        <f>IF(H391&lt;=0,0,H391*C392/12)</f>
        <v/>
      </c>
      <c r="F392" s="49">
        <f>IF(D392=0,0,D392-E392)</f>
        <v/>
      </c>
      <c r="G392" s="49" t="n"/>
      <c r="H392" s="125">
        <f>MAX(H391-F392-IFERROR(G392,0),0)</f>
        <v/>
      </c>
      <c r="I392" s="32" t="n"/>
      <c r="J392" s="101" t="n"/>
    </row>
    <row r="393" ht="18" customHeight="1">
      <c r="A393" s="46" t="n">
        <v>327</v>
      </c>
      <c r="B393" s="124">
        <f>DATE(YEAR($C$6),MONTH($C$6)+A393,MIN(30,DAY(EOMONTH(DATE(YEAR($C$6),MONTH($C$6)+A393,1),0))))</f>
        <v/>
      </c>
      <c r="C393" s="115">
        <f>IFERROR(INDEX($B$14:$B$53,MATCH(MAXIFS($A$14:$A$53,$A$14:$A$53,"&lt;="&amp;B393),$A$14:$A$53,0)),$B$14)</f>
        <v/>
      </c>
      <c r="D393" s="47">
        <f>IFERROR(IF(H392&lt;=0,0,ABS(PMT(C393/12,34,-H392))),0)</f>
        <v/>
      </c>
      <c r="E393" s="47">
        <f>IF(H392&lt;=0,0,H392*C393/12)</f>
        <v/>
      </c>
      <c r="F393" s="47">
        <f>IF(D393=0,0,D393-E393)</f>
        <v/>
      </c>
      <c r="G393" s="49" t="n"/>
      <c r="H393" s="75">
        <f>MAX(H392-F393-IFERROR(G393,0),0)</f>
        <v/>
      </c>
      <c r="I393" s="46" t="n"/>
      <c r="J393" s="116" t="n"/>
    </row>
    <row r="394" ht="18" customHeight="1">
      <c r="A394" s="32" t="n">
        <v>328</v>
      </c>
      <c r="B394" s="31">
        <f>DATE(YEAR($C$6),MONTH($C$6)+A394,MIN(30,DAY(EOMONTH(DATE(YEAR($C$6),MONTH($C$6)+A394,1),0))))</f>
        <v/>
      </c>
      <c r="C394" s="114">
        <f>IFERROR(INDEX($B$14:$B$53,MATCH(MAXIFS($A$14:$A$53,$A$14:$A$53,"&lt;="&amp;B394),$A$14:$A$53,0)),$B$14)</f>
        <v/>
      </c>
      <c r="D394" s="49">
        <f>IFERROR(IF(H393&lt;=0,0,ABS(PMT(C394/12,33,-H393))),0)</f>
        <v/>
      </c>
      <c r="E394" s="49">
        <f>IF(H393&lt;=0,0,H393*C394/12)</f>
        <v/>
      </c>
      <c r="F394" s="49">
        <f>IF(D394=0,0,D394-E394)</f>
        <v/>
      </c>
      <c r="G394" s="49" t="n"/>
      <c r="H394" s="125">
        <f>MAX(H393-F394-IFERROR(G394,0),0)</f>
        <v/>
      </c>
      <c r="I394" s="32" t="n"/>
      <c r="J394" s="101" t="n"/>
    </row>
    <row r="395" ht="18" customHeight="1">
      <c r="A395" s="46" t="n">
        <v>329</v>
      </c>
      <c r="B395" s="124">
        <f>DATE(YEAR($C$6),MONTH($C$6)+A395,MIN(30,DAY(EOMONTH(DATE(YEAR($C$6),MONTH($C$6)+A395,1),0))))</f>
        <v/>
      </c>
      <c r="C395" s="115">
        <f>IFERROR(INDEX($B$14:$B$53,MATCH(MAXIFS($A$14:$A$53,$A$14:$A$53,"&lt;="&amp;B395),$A$14:$A$53,0)),$B$14)</f>
        <v/>
      </c>
      <c r="D395" s="47">
        <f>IFERROR(IF(H394&lt;=0,0,ABS(PMT(C395/12,32,-H394))),0)</f>
        <v/>
      </c>
      <c r="E395" s="47">
        <f>IF(H394&lt;=0,0,H394*C395/12)</f>
        <v/>
      </c>
      <c r="F395" s="47">
        <f>IF(D395=0,0,D395-E395)</f>
        <v/>
      </c>
      <c r="G395" s="49" t="n"/>
      <c r="H395" s="75">
        <f>MAX(H394-F395-IFERROR(G395,0),0)</f>
        <v/>
      </c>
      <c r="I395" s="46" t="n"/>
      <c r="J395" s="116" t="n"/>
    </row>
    <row r="396" ht="18" customHeight="1">
      <c r="A396" s="32" t="n">
        <v>330</v>
      </c>
      <c r="B396" s="31">
        <f>DATE(YEAR($C$6),MONTH($C$6)+A396,MIN(30,DAY(EOMONTH(DATE(YEAR($C$6),MONTH($C$6)+A396,1),0))))</f>
        <v/>
      </c>
      <c r="C396" s="114">
        <f>IFERROR(INDEX($B$14:$B$53,MATCH(MAXIFS($A$14:$A$53,$A$14:$A$53,"&lt;="&amp;B396),$A$14:$A$53,0)),$B$14)</f>
        <v/>
      </c>
      <c r="D396" s="49">
        <f>IFERROR(IF(H395&lt;=0,0,ABS(PMT(C396/12,31,-H395))),0)</f>
        <v/>
      </c>
      <c r="E396" s="49">
        <f>IF(H395&lt;=0,0,H395*C396/12)</f>
        <v/>
      </c>
      <c r="F396" s="49">
        <f>IF(D396=0,0,D396-E396)</f>
        <v/>
      </c>
      <c r="G396" s="49" t="n"/>
      <c r="H396" s="125">
        <f>MAX(H395-F396-IFERROR(G396,0),0)</f>
        <v/>
      </c>
      <c r="I396" s="32" t="n"/>
      <c r="J396" s="101" t="n"/>
    </row>
    <row r="397" ht="18" customHeight="1">
      <c r="A397" s="46" t="n">
        <v>331</v>
      </c>
      <c r="B397" s="124">
        <f>DATE(YEAR($C$6),MONTH($C$6)+A397,MIN(30,DAY(EOMONTH(DATE(YEAR($C$6),MONTH($C$6)+A397,1),0))))</f>
        <v/>
      </c>
      <c r="C397" s="115">
        <f>IFERROR(INDEX($B$14:$B$53,MATCH(MAXIFS($A$14:$A$53,$A$14:$A$53,"&lt;="&amp;B397),$A$14:$A$53,0)),$B$14)</f>
        <v/>
      </c>
      <c r="D397" s="47">
        <f>IFERROR(IF(H396&lt;=0,0,ABS(PMT(C397/12,30,-H396))),0)</f>
        <v/>
      </c>
      <c r="E397" s="47">
        <f>IF(H396&lt;=0,0,H396*C397/12)</f>
        <v/>
      </c>
      <c r="F397" s="47">
        <f>IF(D397=0,0,D397-E397)</f>
        <v/>
      </c>
      <c r="G397" s="49" t="n"/>
      <c r="H397" s="75">
        <f>MAX(H396-F397-IFERROR(G397,0),0)</f>
        <v/>
      </c>
      <c r="I397" s="46" t="n"/>
      <c r="J397" s="116" t="n"/>
    </row>
    <row r="398" ht="18" customHeight="1">
      <c r="A398" s="32" t="n">
        <v>332</v>
      </c>
      <c r="B398" s="31">
        <f>DATE(YEAR($C$6),MONTH($C$6)+A398,MIN(30,DAY(EOMONTH(DATE(YEAR($C$6),MONTH($C$6)+A398,1),0))))</f>
        <v/>
      </c>
      <c r="C398" s="114">
        <f>IFERROR(INDEX($B$14:$B$53,MATCH(MAXIFS($A$14:$A$53,$A$14:$A$53,"&lt;="&amp;B398),$A$14:$A$53,0)),$B$14)</f>
        <v/>
      </c>
      <c r="D398" s="49">
        <f>IFERROR(IF(H397&lt;=0,0,ABS(PMT(C398/12,29,-H397))),0)</f>
        <v/>
      </c>
      <c r="E398" s="49">
        <f>IF(H397&lt;=0,0,H397*C398/12)</f>
        <v/>
      </c>
      <c r="F398" s="49">
        <f>IF(D398=0,0,D398-E398)</f>
        <v/>
      </c>
      <c r="G398" s="49" t="n"/>
      <c r="H398" s="125">
        <f>MAX(H397-F398-IFERROR(G398,0),0)</f>
        <v/>
      </c>
      <c r="I398" s="32" t="n"/>
      <c r="J398" s="101" t="n"/>
    </row>
    <row r="399" ht="18" customHeight="1">
      <c r="A399" s="46" t="n">
        <v>333</v>
      </c>
      <c r="B399" s="124">
        <f>DATE(YEAR($C$6),MONTH($C$6)+A399,MIN(30,DAY(EOMONTH(DATE(YEAR($C$6),MONTH($C$6)+A399,1),0))))</f>
        <v/>
      </c>
      <c r="C399" s="115">
        <f>IFERROR(INDEX($B$14:$B$53,MATCH(MAXIFS($A$14:$A$53,$A$14:$A$53,"&lt;="&amp;B399),$A$14:$A$53,0)),$B$14)</f>
        <v/>
      </c>
      <c r="D399" s="47">
        <f>IFERROR(IF(H398&lt;=0,0,ABS(PMT(C399/12,28,-H398))),0)</f>
        <v/>
      </c>
      <c r="E399" s="47">
        <f>IF(H398&lt;=0,0,H398*C399/12)</f>
        <v/>
      </c>
      <c r="F399" s="47">
        <f>IF(D399=0,0,D399-E399)</f>
        <v/>
      </c>
      <c r="G399" s="49" t="n"/>
      <c r="H399" s="75">
        <f>MAX(H398-F399-IFERROR(G399,0),0)</f>
        <v/>
      </c>
      <c r="I399" s="46" t="n"/>
      <c r="J399" s="116" t="n"/>
    </row>
    <row r="400" ht="18" customHeight="1">
      <c r="A400" s="32" t="n">
        <v>334</v>
      </c>
      <c r="B400" s="31">
        <f>DATE(YEAR($C$6),MONTH($C$6)+A400,MIN(30,DAY(EOMONTH(DATE(YEAR($C$6),MONTH($C$6)+A400,1),0))))</f>
        <v/>
      </c>
      <c r="C400" s="114">
        <f>IFERROR(INDEX($B$14:$B$53,MATCH(MAXIFS($A$14:$A$53,$A$14:$A$53,"&lt;="&amp;B400),$A$14:$A$53,0)),$B$14)</f>
        <v/>
      </c>
      <c r="D400" s="49">
        <f>IFERROR(IF(H399&lt;=0,0,ABS(PMT(C400/12,27,-H399))),0)</f>
        <v/>
      </c>
      <c r="E400" s="49">
        <f>IF(H399&lt;=0,0,H399*C400/12)</f>
        <v/>
      </c>
      <c r="F400" s="49">
        <f>IF(D400=0,0,D400-E400)</f>
        <v/>
      </c>
      <c r="G400" s="49" t="n"/>
      <c r="H400" s="125">
        <f>MAX(H399-F400-IFERROR(G400,0),0)</f>
        <v/>
      </c>
      <c r="I400" s="32" t="n"/>
      <c r="J400" s="101" t="n"/>
    </row>
    <row r="401" ht="18" customHeight="1">
      <c r="A401" s="46" t="n">
        <v>335</v>
      </c>
      <c r="B401" s="124">
        <f>DATE(YEAR($C$6),MONTH($C$6)+A401,MIN(30,DAY(EOMONTH(DATE(YEAR($C$6),MONTH($C$6)+A401,1),0))))</f>
        <v/>
      </c>
      <c r="C401" s="115">
        <f>IFERROR(INDEX($B$14:$B$53,MATCH(MAXIFS($A$14:$A$53,$A$14:$A$53,"&lt;="&amp;B401),$A$14:$A$53,0)),$B$14)</f>
        <v/>
      </c>
      <c r="D401" s="47">
        <f>IFERROR(IF(H400&lt;=0,0,ABS(PMT(C401/12,26,-H400))),0)</f>
        <v/>
      </c>
      <c r="E401" s="47">
        <f>IF(H400&lt;=0,0,H400*C401/12)</f>
        <v/>
      </c>
      <c r="F401" s="47">
        <f>IF(D401=0,0,D401-E401)</f>
        <v/>
      </c>
      <c r="G401" s="49" t="n"/>
      <c r="H401" s="75">
        <f>MAX(H400-F401-IFERROR(G401,0),0)</f>
        <v/>
      </c>
      <c r="I401" s="46" t="n"/>
      <c r="J401" s="116" t="n"/>
    </row>
    <row r="402" ht="18" customHeight="1">
      <c r="A402" s="32" t="n">
        <v>336</v>
      </c>
      <c r="B402" s="31">
        <f>DATE(YEAR($C$6),MONTH($C$6)+A402,MIN(30,DAY(EOMONTH(DATE(YEAR($C$6),MONTH($C$6)+A402,1),0))))</f>
        <v/>
      </c>
      <c r="C402" s="114">
        <f>IFERROR(INDEX($B$14:$B$53,MATCH(MAXIFS($A$14:$A$53,$A$14:$A$53,"&lt;="&amp;B402),$A$14:$A$53,0)),$B$14)</f>
        <v/>
      </c>
      <c r="D402" s="49">
        <f>IFERROR(IF(H401&lt;=0,0,ABS(PMT(C402/12,25,-H401))),0)</f>
        <v/>
      </c>
      <c r="E402" s="49">
        <f>IF(H401&lt;=0,0,H401*C402/12)</f>
        <v/>
      </c>
      <c r="F402" s="49">
        <f>IF(D402=0,0,D402-E402)</f>
        <v/>
      </c>
      <c r="G402" s="49" t="n"/>
      <c r="H402" s="125">
        <f>MAX(H401-F402-IFERROR(G402,0),0)</f>
        <v/>
      </c>
      <c r="I402" s="32" t="n"/>
      <c r="J402" s="101" t="n"/>
    </row>
    <row r="403" ht="18" customHeight="1">
      <c r="A403" s="46" t="n">
        <v>337</v>
      </c>
      <c r="B403" s="124">
        <f>DATE(YEAR($C$6),MONTH($C$6)+A403,MIN(30,DAY(EOMONTH(DATE(YEAR($C$6),MONTH($C$6)+A403,1),0))))</f>
        <v/>
      </c>
      <c r="C403" s="115">
        <f>IFERROR(INDEX($B$14:$B$53,MATCH(MAXIFS($A$14:$A$53,$A$14:$A$53,"&lt;="&amp;B403),$A$14:$A$53,0)),$B$14)</f>
        <v/>
      </c>
      <c r="D403" s="47">
        <f>IFERROR(IF(H402&lt;=0,0,ABS(PMT(C403/12,24,-H402))),0)</f>
        <v/>
      </c>
      <c r="E403" s="47">
        <f>IF(H402&lt;=0,0,H402*C403/12)</f>
        <v/>
      </c>
      <c r="F403" s="47">
        <f>IF(D403=0,0,D403-E403)</f>
        <v/>
      </c>
      <c r="G403" s="49" t="n"/>
      <c r="H403" s="75">
        <f>MAX(H402-F403-IFERROR(G403,0),0)</f>
        <v/>
      </c>
      <c r="I403" s="46" t="n"/>
      <c r="J403" s="116" t="n"/>
    </row>
    <row r="404" ht="18" customHeight="1">
      <c r="A404" s="32" t="n">
        <v>338</v>
      </c>
      <c r="B404" s="31">
        <f>DATE(YEAR($C$6),MONTH($C$6)+A404,MIN(30,DAY(EOMONTH(DATE(YEAR($C$6),MONTH($C$6)+A404,1),0))))</f>
        <v/>
      </c>
      <c r="C404" s="114">
        <f>IFERROR(INDEX($B$14:$B$53,MATCH(MAXIFS($A$14:$A$53,$A$14:$A$53,"&lt;="&amp;B404),$A$14:$A$53,0)),$B$14)</f>
        <v/>
      </c>
      <c r="D404" s="49">
        <f>IFERROR(IF(H403&lt;=0,0,ABS(PMT(C404/12,23,-H403))),0)</f>
        <v/>
      </c>
      <c r="E404" s="49">
        <f>IF(H403&lt;=0,0,H403*C404/12)</f>
        <v/>
      </c>
      <c r="F404" s="49">
        <f>IF(D404=0,0,D404-E404)</f>
        <v/>
      </c>
      <c r="G404" s="49" t="n"/>
      <c r="H404" s="125">
        <f>MAX(H403-F404-IFERROR(G404,0),0)</f>
        <v/>
      </c>
      <c r="I404" s="32" t="n"/>
      <c r="J404" s="101" t="n"/>
    </row>
    <row r="405" ht="18" customHeight="1">
      <c r="A405" s="46" t="n">
        <v>339</v>
      </c>
      <c r="B405" s="124">
        <f>DATE(YEAR($C$6),MONTH($C$6)+A405,MIN(30,DAY(EOMONTH(DATE(YEAR($C$6),MONTH($C$6)+A405,1),0))))</f>
        <v/>
      </c>
      <c r="C405" s="115">
        <f>IFERROR(INDEX($B$14:$B$53,MATCH(MAXIFS($A$14:$A$53,$A$14:$A$53,"&lt;="&amp;B405),$A$14:$A$53,0)),$B$14)</f>
        <v/>
      </c>
      <c r="D405" s="47">
        <f>IFERROR(IF(H404&lt;=0,0,ABS(PMT(C405/12,22,-H404))),0)</f>
        <v/>
      </c>
      <c r="E405" s="47">
        <f>IF(H404&lt;=0,0,H404*C405/12)</f>
        <v/>
      </c>
      <c r="F405" s="47">
        <f>IF(D405=0,0,D405-E405)</f>
        <v/>
      </c>
      <c r="G405" s="49" t="n"/>
      <c r="H405" s="75">
        <f>MAX(H404-F405-IFERROR(G405,0),0)</f>
        <v/>
      </c>
      <c r="I405" s="46" t="n"/>
      <c r="J405" s="116" t="n"/>
    </row>
    <row r="406" ht="18" customHeight="1">
      <c r="A406" s="32" t="n">
        <v>340</v>
      </c>
      <c r="B406" s="31">
        <f>DATE(YEAR($C$6),MONTH($C$6)+A406,MIN(30,DAY(EOMONTH(DATE(YEAR($C$6),MONTH($C$6)+A406,1),0))))</f>
        <v/>
      </c>
      <c r="C406" s="114">
        <f>IFERROR(INDEX($B$14:$B$53,MATCH(MAXIFS($A$14:$A$53,$A$14:$A$53,"&lt;="&amp;B406),$A$14:$A$53,0)),$B$14)</f>
        <v/>
      </c>
      <c r="D406" s="49">
        <f>IFERROR(IF(H405&lt;=0,0,ABS(PMT(C406/12,21,-H405))),0)</f>
        <v/>
      </c>
      <c r="E406" s="49">
        <f>IF(H405&lt;=0,0,H405*C406/12)</f>
        <v/>
      </c>
      <c r="F406" s="49">
        <f>IF(D406=0,0,D406-E406)</f>
        <v/>
      </c>
      <c r="G406" s="49" t="n"/>
      <c r="H406" s="125">
        <f>MAX(H405-F406-IFERROR(G406,0),0)</f>
        <v/>
      </c>
      <c r="I406" s="32" t="n"/>
      <c r="J406" s="101" t="n"/>
    </row>
    <row r="407" ht="18" customHeight="1">
      <c r="A407" s="46" t="n">
        <v>341</v>
      </c>
      <c r="B407" s="124">
        <f>DATE(YEAR($C$6),MONTH($C$6)+A407,MIN(30,DAY(EOMONTH(DATE(YEAR($C$6),MONTH($C$6)+A407,1),0))))</f>
        <v/>
      </c>
      <c r="C407" s="115">
        <f>IFERROR(INDEX($B$14:$B$53,MATCH(MAXIFS($A$14:$A$53,$A$14:$A$53,"&lt;="&amp;B407),$A$14:$A$53,0)),$B$14)</f>
        <v/>
      </c>
      <c r="D407" s="47">
        <f>IFERROR(IF(H406&lt;=0,0,ABS(PMT(C407/12,20,-H406))),0)</f>
        <v/>
      </c>
      <c r="E407" s="47">
        <f>IF(H406&lt;=0,0,H406*C407/12)</f>
        <v/>
      </c>
      <c r="F407" s="47">
        <f>IF(D407=0,0,D407-E407)</f>
        <v/>
      </c>
      <c r="G407" s="49" t="n"/>
      <c r="H407" s="75">
        <f>MAX(H406-F407-IFERROR(G407,0),0)</f>
        <v/>
      </c>
      <c r="I407" s="46" t="n"/>
      <c r="J407" s="116" t="n"/>
    </row>
    <row r="408" ht="18" customHeight="1">
      <c r="A408" s="32" t="n">
        <v>342</v>
      </c>
      <c r="B408" s="31">
        <f>DATE(YEAR($C$6),MONTH($C$6)+A408,MIN(30,DAY(EOMONTH(DATE(YEAR($C$6),MONTH($C$6)+A408,1),0))))</f>
        <v/>
      </c>
      <c r="C408" s="114">
        <f>IFERROR(INDEX($B$14:$B$53,MATCH(MAXIFS($A$14:$A$53,$A$14:$A$53,"&lt;="&amp;B408),$A$14:$A$53,0)),$B$14)</f>
        <v/>
      </c>
      <c r="D408" s="49">
        <f>IFERROR(IF(H407&lt;=0,0,ABS(PMT(C408/12,19,-H407))),0)</f>
        <v/>
      </c>
      <c r="E408" s="49">
        <f>IF(H407&lt;=0,0,H407*C408/12)</f>
        <v/>
      </c>
      <c r="F408" s="49">
        <f>IF(D408=0,0,D408-E408)</f>
        <v/>
      </c>
      <c r="G408" s="49" t="n"/>
      <c r="H408" s="125">
        <f>MAX(H407-F408-IFERROR(G408,0),0)</f>
        <v/>
      </c>
      <c r="I408" s="32" t="n"/>
      <c r="J408" s="101" t="n"/>
    </row>
    <row r="409" ht="18" customHeight="1">
      <c r="A409" s="46" t="n">
        <v>343</v>
      </c>
      <c r="B409" s="124">
        <f>DATE(YEAR($C$6),MONTH($C$6)+A409,MIN(30,DAY(EOMONTH(DATE(YEAR($C$6),MONTH($C$6)+A409,1),0))))</f>
        <v/>
      </c>
      <c r="C409" s="115">
        <f>IFERROR(INDEX($B$14:$B$53,MATCH(MAXIFS($A$14:$A$53,$A$14:$A$53,"&lt;="&amp;B409),$A$14:$A$53,0)),$B$14)</f>
        <v/>
      </c>
      <c r="D409" s="47">
        <f>IFERROR(IF(H408&lt;=0,0,ABS(PMT(C409/12,18,-H408))),0)</f>
        <v/>
      </c>
      <c r="E409" s="47">
        <f>IF(H408&lt;=0,0,H408*C409/12)</f>
        <v/>
      </c>
      <c r="F409" s="47">
        <f>IF(D409=0,0,D409-E409)</f>
        <v/>
      </c>
      <c r="G409" s="49" t="n"/>
      <c r="H409" s="75">
        <f>MAX(H408-F409-IFERROR(G409,0),0)</f>
        <v/>
      </c>
      <c r="I409" s="46" t="n"/>
      <c r="J409" s="116" t="n"/>
    </row>
    <row r="410" ht="18" customHeight="1">
      <c r="A410" s="32" t="n">
        <v>344</v>
      </c>
      <c r="B410" s="31">
        <f>DATE(YEAR($C$6),MONTH($C$6)+A410,MIN(30,DAY(EOMONTH(DATE(YEAR($C$6),MONTH($C$6)+A410,1),0))))</f>
        <v/>
      </c>
      <c r="C410" s="114">
        <f>IFERROR(INDEX($B$14:$B$53,MATCH(MAXIFS($A$14:$A$53,$A$14:$A$53,"&lt;="&amp;B410),$A$14:$A$53,0)),$B$14)</f>
        <v/>
      </c>
      <c r="D410" s="49">
        <f>IFERROR(IF(H409&lt;=0,0,ABS(PMT(C410/12,17,-H409))),0)</f>
        <v/>
      </c>
      <c r="E410" s="49">
        <f>IF(H409&lt;=0,0,H409*C410/12)</f>
        <v/>
      </c>
      <c r="F410" s="49">
        <f>IF(D410=0,0,D410-E410)</f>
        <v/>
      </c>
      <c r="G410" s="49" t="n"/>
      <c r="H410" s="125">
        <f>MAX(H409-F410-IFERROR(G410,0),0)</f>
        <v/>
      </c>
      <c r="I410" s="32" t="n"/>
      <c r="J410" s="101" t="n"/>
    </row>
    <row r="411" ht="18" customHeight="1">
      <c r="A411" s="46" t="n">
        <v>345</v>
      </c>
      <c r="B411" s="124">
        <f>DATE(YEAR($C$6),MONTH($C$6)+A411,MIN(30,DAY(EOMONTH(DATE(YEAR($C$6),MONTH($C$6)+A411,1),0))))</f>
        <v/>
      </c>
      <c r="C411" s="115">
        <f>IFERROR(INDEX($B$14:$B$53,MATCH(MAXIFS($A$14:$A$53,$A$14:$A$53,"&lt;="&amp;B411),$A$14:$A$53,0)),$B$14)</f>
        <v/>
      </c>
      <c r="D411" s="47">
        <f>IFERROR(IF(H410&lt;=0,0,ABS(PMT(C411/12,16,-H410))),0)</f>
        <v/>
      </c>
      <c r="E411" s="47">
        <f>IF(H410&lt;=0,0,H410*C411/12)</f>
        <v/>
      </c>
      <c r="F411" s="47">
        <f>IF(D411=0,0,D411-E411)</f>
        <v/>
      </c>
      <c r="G411" s="49" t="n"/>
      <c r="H411" s="75">
        <f>MAX(H410-F411-IFERROR(G411,0),0)</f>
        <v/>
      </c>
      <c r="I411" s="46" t="n"/>
      <c r="J411" s="116" t="n"/>
    </row>
    <row r="412" ht="18" customHeight="1">
      <c r="A412" s="32" t="n">
        <v>346</v>
      </c>
      <c r="B412" s="31">
        <f>DATE(YEAR($C$6),MONTH($C$6)+A412,MIN(30,DAY(EOMONTH(DATE(YEAR($C$6),MONTH($C$6)+A412,1),0))))</f>
        <v/>
      </c>
      <c r="C412" s="114">
        <f>IFERROR(INDEX($B$14:$B$53,MATCH(MAXIFS($A$14:$A$53,$A$14:$A$53,"&lt;="&amp;B412),$A$14:$A$53,0)),$B$14)</f>
        <v/>
      </c>
      <c r="D412" s="49">
        <f>IFERROR(IF(H411&lt;=0,0,ABS(PMT(C412/12,15,-H411))),0)</f>
        <v/>
      </c>
      <c r="E412" s="49">
        <f>IF(H411&lt;=0,0,H411*C412/12)</f>
        <v/>
      </c>
      <c r="F412" s="49">
        <f>IF(D412=0,0,D412-E412)</f>
        <v/>
      </c>
      <c r="G412" s="49" t="n"/>
      <c r="H412" s="125">
        <f>MAX(H411-F412-IFERROR(G412,0),0)</f>
        <v/>
      </c>
      <c r="I412" s="32" t="n"/>
      <c r="J412" s="101" t="n"/>
    </row>
    <row r="413" ht="18" customHeight="1">
      <c r="A413" s="46" t="n">
        <v>347</v>
      </c>
      <c r="B413" s="124">
        <f>DATE(YEAR($C$6),MONTH($C$6)+A413,MIN(30,DAY(EOMONTH(DATE(YEAR($C$6),MONTH($C$6)+A413,1),0))))</f>
        <v/>
      </c>
      <c r="C413" s="115">
        <f>IFERROR(INDEX($B$14:$B$53,MATCH(MAXIFS($A$14:$A$53,$A$14:$A$53,"&lt;="&amp;B413),$A$14:$A$53,0)),$B$14)</f>
        <v/>
      </c>
      <c r="D413" s="47">
        <f>IFERROR(IF(H412&lt;=0,0,ABS(PMT(C413/12,14,-H412))),0)</f>
        <v/>
      </c>
      <c r="E413" s="47">
        <f>IF(H412&lt;=0,0,H412*C413/12)</f>
        <v/>
      </c>
      <c r="F413" s="47">
        <f>IF(D413=0,0,D413-E413)</f>
        <v/>
      </c>
      <c r="G413" s="49" t="n"/>
      <c r="H413" s="75">
        <f>MAX(H412-F413-IFERROR(G413,0),0)</f>
        <v/>
      </c>
      <c r="I413" s="46" t="n"/>
      <c r="J413" s="116" t="n"/>
    </row>
    <row r="414" ht="18" customHeight="1">
      <c r="A414" s="32" t="n">
        <v>348</v>
      </c>
      <c r="B414" s="31">
        <f>DATE(YEAR($C$6),MONTH($C$6)+A414,MIN(30,DAY(EOMONTH(DATE(YEAR($C$6),MONTH($C$6)+A414,1),0))))</f>
        <v/>
      </c>
      <c r="C414" s="114">
        <f>IFERROR(INDEX($B$14:$B$53,MATCH(MAXIFS($A$14:$A$53,$A$14:$A$53,"&lt;="&amp;B414),$A$14:$A$53,0)),$B$14)</f>
        <v/>
      </c>
      <c r="D414" s="49">
        <f>IFERROR(IF(H413&lt;=0,0,ABS(PMT(C414/12,13,-H413))),0)</f>
        <v/>
      </c>
      <c r="E414" s="49">
        <f>IF(H413&lt;=0,0,H413*C414/12)</f>
        <v/>
      </c>
      <c r="F414" s="49">
        <f>IF(D414=0,0,D414-E414)</f>
        <v/>
      </c>
      <c r="G414" s="49" t="n"/>
      <c r="H414" s="125">
        <f>MAX(H413-F414-IFERROR(G414,0),0)</f>
        <v/>
      </c>
      <c r="I414" s="32" t="n"/>
      <c r="J414" s="101" t="n"/>
    </row>
    <row r="415" ht="18" customHeight="1">
      <c r="A415" s="46" t="n">
        <v>349</v>
      </c>
      <c r="B415" s="124">
        <f>DATE(YEAR($C$6),MONTH($C$6)+A415,MIN(30,DAY(EOMONTH(DATE(YEAR($C$6),MONTH($C$6)+A415,1),0))))</f>
        <v/>
      </c>
      <c r="C415" s="115">
        <f>IFERROR(INDEX($B$14:$B$53,MATCH(MAXIFS($A$14:$A$53,$A$14:$A$53,"&lt;="&amp;B415),$A$14:$A$53,0)),$B$14)</f>
        <v/>
      </c>
      <c r="D415" s="47">
        <f>IFERROR(IF(H414&lt;=0,0,ABS(PMT(C415/12,12,-H414))),0)</f>
        <v/>
      </c>
      <c r="E415" s="47">
        <f>IF(H414&lt;=0,0,H414*C415/12)</f>
        <v/>
      </c>
      <c r="F415" s="47">
        <f>IF(D415=0,0,D415-E415)</f>
        <v/>
      </c>
      <c r="G415" s="49" t="n"/>
      <c r="H415" s="75">
        <f>MAX(H414-F415-IFERROR(G415,0),0)</f>
        <v/>
      </c>
      <c r="I415" s="46" t="n"/>
      <c r="J415" s="116" t="n"/>
    </row>
    <row r="416" ht="18" customHeight="1">
      <c r="A416" s="32" t="n">
        <v>350</v>
      </c>
      <c r="B416" s="31">
        <f>DATE(YEAR($C$6),MONTH($C$6)+A416,MIN(30,DAY(EOMONTH(DATE(YEAR($C$6),MONTH($C$6)+A416,1),0))))</f>
        <v/>
      </c>
      <c r="C416" s="114">
        <f>IFERROR(INDEX($B$14:$B$53,MATCH(MAXIFS($A$14:$A$53,$A$14:$A$53,"&lt;="&amp;B416),$A$14:$A$53,0)),$B$14)</f>
        <v/>
      </c>
      <c r="D416" s="49">
        <f>IFERROR(IF(H415&lt;=0,0,ABS(PMT(C416/12,11,-H415))),0)</f>
        <v/>
      </c>
      <c r="E416" s="49">
        <f>IF(H415&lt;=0,0,H415*C416/12)</f>
        <v/>
      </c>
      <c r="F416" s="49">
        <f>IF(D416=0,0,D416-E416)</f>
        <v/>
      </c>
      <c r="G416" s="49" t="n"/>
      <c r="H416" s="125">
        <f>MAX(H415-F416-IFERROR(G416,0),0)</f>
        <v/>
      </c>
      <c r="I416" s="32" t="n"/>
      <c r="J416" s="101" t="n"/>
    </row>
    <row r="417" ht="18" customHeight="1">
      <c r="A417" s="46" t="n">
        <v>351</v>
      </c>
      <c r="B417" s="124">
        <f>DATE(YEAR($C$6),MONTH($C$6)+A417,MIN(30,DAY(EOMONTH(DATE(YEAR($C$6),MONTH($C$6)+A417,1),0))))</f>
        <v/>
      </c>
      <c r="C417" s="115">
        <f>IFERROR(INDEX($B$14:$B$53,MATCH(MAXIFS($A$14:$A$53,$A$14:$A$53,"&lt;="&amp;B417),$A$14:$A$53,0)),$B$14)</f>
        <v/>
      </c>
      <c r="D417" s="47">
        <f>IFERROR(IF(H416&lt;=0,0,ABS(PMT(C417/12,10,-H416))),0)</f>
        <v/>
      </c>
      <c r="E417" s="47">
        <f>IF(H416&lt;=0,0,H416*C417/12)</f>
        <v/>
      </c>
      <c r="F417" s="47">
        <f>IF(D417=0,0,D417-E417)</f>
        <v/>
      </c>
      <c r="G417" s="49" t="n"/>
      <c r="H417" s="75">
        <f>MAX(H416-F417-IFERROR(G417,0),0)</f>
        <v/>
      </c>
      <c r="I417" s="46" t="n"/>
      <c r="J417" s="116" t="n"/>
    </row>
    <row r="418" ht="18" customHeight="1">
      <c r="A418" s="32" t="n">
        <v>352</v>
      </c>
      <c r="B418" s="31">
        <f>DATE(YEAR($C$6),MONTH($C$6)+A418,MIN(30,DAY(EOMONTH(DATE(YEAR($C$6),MONTH($C$6)+A418,1),0))))</f>
        <v/>
      </c>
      <c r="C418" s="114">
        <f>IFERROR(INDEX($B$14:$B$53,MATCH(MAXIFS($A$14:$A$53,$A$14:$A$53,"&lt;="&amp;B418),$A$14:$A$53,0)),$B$14)</f>
        <v/>
      </c>
      <c r="D418" s="49">
        <f>IFERROR(IF(H417&lt;=0,0,ABS(PMT(C418/12,9,-H417))),0)</f>
        <v/>
      </c>
      <c r="E418" s="49">
        <f>IF(H417&lt;=0,0,H417*C418/12)</f>
        <v/>
      </c>
      <c r="F418" s="49">
        <f>IF(D418=0,0,D418-E418)</f>
        <v/>
      </c>
      <c r="G418" s="49" t="n"/>
      <c r="H418" s="125">
        <f>MAX(H417-F418-IFERROR(G418,0),0)</f>
        <v/>
      </c>
      <c r="I418" s="32" t="n"/>
      <c r="J418" s="101" t="n"/>
    </row>
    <row r="419" ht="18" customHeight="1">
      <c r="A419" s="46" t="n">
        <v>353</v>
      </c>
      <c r="B419" s="124">
        <f>DATE(YEAR($C$6),MONTH($C$6)+A419,MIN(30,DAY(EOMONTH(DATE(YEAR($C$6),MONTH($C$6)+A419,1),0))))</f>
        <v/>
      </c>
      <c r="C419" s="115">
        <f>IFERROR(INDEX($B$14:$B$53,MATCH(MAXIFS($A$14:$A$53,$A$14:$A$53,"&lt;="&amp;B419),$A$14:$A$53,0)),$B$14)</f>
        <v/>
      </c>
      <c r="D419" s="47">
        <f>IFERROR(IF(H418&lt;=0,0,ABS(PMT(C419/12,8,-H418))),0)</f>
        <v/>
      </c>
      <c r="E419" s="47">
        <f>IF(H418&lt;=0,0,H418*C419/12)</f>
        <v/>
      </c>
      <c r="F419" s="47">
        <f>IF(D419=0,0,D419-E419)</f>
        <v/>
      </c>
      <c r="G419" s="49" t="n"/>
      <c r="H419" s="75">
        <f>MAX(H418-F419-IFERROR(G419,0),0)</f>
        <v/>
      </c>
      <c r="I419" s="46" t="n"/>
      <c r="J419" s="116" t="n"/>
    </row>
    <row r="420" ht="18" customHeight="1">
      <c r="A420" s="32" t="n">
        <v>354</v>
      </c>
      <c r="B420" s="31">
        <f>DATE(YEAR($C$6),MONTH($C$6)+A420,MIN(30,DAY(EOMONTH(DATE(YEAR($C$6),MONTH($C$6)+A420,1),0))))</f>
        <v/>
      </c>
      <c r="C420" s="114">
        <f>IFERROR(INDEX($B$14:$B$53,MATCH(MAXIFS($A$14:$A$53,$A$14:$A$53,"&lt;="&amp;B420),$A$14:$A$53,0)),$B$14)</f>
        <v/>
      </c>
      <c r="D420" s="49">
        <f>IFERROR(IF(H419&lt;=0,0,ABS(PMT(C420/12,7,-H419))),0)</f>
        <v/>
      </c>
      <c r="E420" s="49">
        <f>IF(H419&lt;=0,0,H419*C420/12)</f>
        <v/>
      </c>
      <c r="F420" s="49">
        <f>IF(D420=0,0,D420-E420)</f>
        <v/>
      </c>
      <c r="G420" s="49" t="n"/>
      <c r="H420" s="125">
        <f>MAX(H419-F420-IFERROR(G420,0),0)</f>
        <v/>
      </c>
      <c r="I420" s="32" t="n"/>
      <c r="J420" s="101" t="n"/>
    </row>
    <row r="421" ht="18" customHeight="1">
      <c r="A421" s="46" t="n">
        <v>355</v>
      </c>
      <c r="B421" s="124">
        <f>DATE(YEAR($C$6),MONTH($C$6)+A421,MIN(30,DAY(EOMONTH(DATE(YEAR($C$6),MONTH($C$6)+A421,1),0))))</f>
        <v/>
      </c>
      <c r="C421" s="115">
        <f>IFERROR(INDEX($B$14:$B$53,MATCH(MAXIFS($A$14:$A$53,$A$14:$A$53,"&lt;="&amp;B421),$A$14:$A$53,0)),$B$14)</f>
        <v/>
      </c>
      <c r="D421" s="47">
        <f>IFERROR(IF(H420&lt;=0,0,ABS(PMT(C421/12,6,-H420))),0)</f>
        <v/>
      </c>
      <c r="E421" s="47">
        <f>IF(H420&lt;=0,0,H420*C421/12)</f>
        <v/>
      </c>
      <c r="F421" s="47">
        <f>IF(D421=0,0,D421-E421)</f>
        <v/>
      </c>
      <c r="G421" s="49" t="n"/>
      <c r="H421" s="75">
        <f>MAX(H420-F421-IFERROR(G421,0),0)</f>
        <v/>
      </c>
      <c r="I421" s="46" t="n"/>
      <c r="J421" s="116" t="n"/>
    </row>
    <row r="422" ht="18" customHeight="1">
      <c r="A422" s="32" t="n">
        <v>356</v>
      </c>
      <c r="B422" s="31">
        <f>DATE(YEAR($C$6),MONTH($C$6)+A422,MIN(30,DAY(EOMONTH(DATE(YEAR($C$6),MONTH($C$6)+A422,1),0))))</f>
        <v/>
      </c>
      <c r="C422" s="114">
        <f>IFERROR(INDEX($B$14:$B$53,MATCH(MAXIFS($A$14:$A$53,$A$14:$A$53,"&lt;="&amp;B422),$A$14:$A$53,0)),$B$14)</f>
        <v/>
      </c>
      <c r="D422" s="49">
        <f>IFERROR(IF(H421&lt;=0,0,ABS(PMT(C422/12,5,-H421))),0)</f>
        <v/>
      </c>
      <c r="E422" s="49">
        <f>IF(H421&lt;=0,0,H421*C422/12)</f>
        <v/>
      </c>
      <c r="F422" s="49">
        <f>IF(D422=0,0,D422-E422)</f>
        <v/>
      </c>
      <c r="G422" s="49" t="n"/>
      <c r="H422" s="125">
        <f>MAX(H421-F422-IFERROR(G422,0),0)</f>
        <v/>
      </c>
      <c r="I422" s="32" t="n"/>
      <c r="J422" s="101" t="n"/>
    </row>
    <row r="423" ht="18" customHeight="1">
      <c r="A423" s="46" t="n">
        <v>357</v>
      </c>
      <c r="B423" s="124">
        <f>DATE(YEAR($C$6),MONTH($C$6)+A423,MIN(30,DAY(EOMONTH(DATE(YEAR($C$6),MONTH($C$6)+A423,1),0))))</f>
        <v/>
      </c>
      <c r="C423" s="115">
        <f>IFERROR(INDEX($B$14:$B$53,MATCH(MAXIFS($A$14:$A$53,$A$14:$A$53,"&lt;="&amp;B423),$A$14:$A$53,0)),$B$14)</f>
        <v/>
      </c>
      <c r="D423" s="47">
        <f>IFERROR(IF(H422&lt;=0,0,ABS(PMT(C423/12,4,-H422))),0)</f>
        <v/>
      </c>
      <c r="E423" s="47">
        <f>IF(H422&lt;=0,0,H422*C423/12)</f>
        <v/>
      </c>
      <c r="F423" s="47">
        <f>IF(D423=0,0,D423-E423)</f>
        <v/>
      </c>
      <c r="G423" s="49" t="n"/>
      <c r="H423" s="75">
        <f>MAX(H422-F423-IFERROR(G423,0),0)</f>
        <v/>
      </c>
      <c r="I423" s="46" t="n"/>
      <c r="J423" s="116" t="n"/>
    </row>
    <row r="424" ht="18" customHeight="1">
      <c r="A424" s="32" t="n">
        <v>358</v>
      </c>
      <c r="B424" s="31">
        <f>DATE(YEAR($C$6),MONTH($C$6)+A424,MIN(30,DAY(EOMONTH(DATE(YEAR($C$6),MONTH($C$6)+A424,1),0))))</f>
        <v/>
      </c>
      <c r="C424" s="114">
        <f>IFERROR(INDEX($B$14:$B$53,MATCH(MAXIFS($A$14:$A$53,$A$14:$A$53,"&lt;="&amp;B424),$A$14:$A$53,0)),$B$14)</f>
        <v/>
      </c>
      <c r="D424" s="49">
        <f>IFERROR(IF(H423&lt;=0,0,ABS(PMT(C424/12,3,-H423))),0)</f>
        <v/>
      </c>
      <c r="E424" s="49">
        <f>IF(H423&lt;=0,0,H423*C424/12)</f>
        <v/>
      </c>
      <c r="F424" s="49">
        <f>IF(D424=0,0,D424-E424)</f>
        <v/>
      </c>
      <c r="G424" s="49" t="n"/>
      <c r="H424" s="125">
        <f>MAX(H423-F424-IFERROR(G424,0),0)</f>
        <v/>
      </c>
      <c r="I424" s="32" t="n"/>
      <c r="J424" s="101" t="n"/>
    </row>
    <row r="425" ht="18" customHeight="1">
      <c r="A425" s="46" t="n">
        <v>359</v>
      </c>
      <c r="B425" s="124">
        <f>DATE(YEAR($C$6),MONTH($C$6)+A425,MIN(30,DAY(EOMONTH(DATE(YEAR($C$6),MONTH($C$6)+A425,1),0))))</f>
        <v/>
      </c>
      <c r="C425" s="115">
        <f>IFERROR(INDEX($B$14:$B$53,MATCH(MAXIFS($A$14:$A$53,$A$14:$A$53,"&lt;="&amp;B425),$A$14:$A$53,0)),$B$14)</f>
        <v/>
      </c>
      <c r="D425" s="47">
        <f>IFERROR(IF(H424&lt;=0,0,ABS(PMT(C425/12,2,-H424))),0)</f>
        <v/>
      </c>
      <c r="E425" s="47">
        <f>IF(H424&lt;=0,0,H424*C425/12)</f>
        <v/>
      </c>
      <c r="F425" s="47">
        <f>IF(D425=0,0,D425-E425)</f>
        <v/>
      </c>
      <c r="G425" s="49" t="n"/>
      <c r="H425" s="75">
        <f>MAX(H424-F425-IFERROR(G425,0),0)</f>
        <v/>
      </c>
      <c r="I425" s="46" t="n"/>
      <c r="J425" s="116" t="n"/>
    </row>
    <row r="426" ht="18" customHeight="1">
      <c r="A426" s="32" t="n">
        <v>360</v>
      </c>
      <c r="B426" s="31">
        <f>DATE(YEAR($C$6),MONTH($C$6)+A426,MIN(30,DAY(EOMONTH(DATE(YEAR($C$6),MONTH($C$6)+A426,1),0))))</f>
        <v/>
      </c>
      <c r="C426" s="114">
        <f>IFERROR(INDEX($B$14:$B$53,MATCH(MAXIFS($A$14:$A$53,$A$14:$A$53,"&lt;="&amp;B426),$A$14:$A$53,0)),$B$14)</f>
        <v/>
      </c>
      <c r="D426" s="49">
        <f>IFERROR(IF(H425&lt;=0,0,ABS(PMT(C426/12,1,-H425))),0)</f>
        <v/>
      </c>
      <c r="E426" s="49">
        <f>IF(H425&lt;=0,0,H425*C426/12)</f>
        <v/>
      </c>
      <c r="F426" s="49">
        <f>IF(D426=0,0,D426-E426)</f>
        <v/>
      </c>
      <c r="G426" s="49" t="n"/>
      <c r="H426" s="125">
        <f>MAX(H425-F426-IFERROR(G426,0),0)</f>
        <v/>
      </c>
      <c r="I426" s="32" t="n"/>
      <c r="J426" s="101" t="n"/>
    </row>
  </sheetData>
  <mergeCells count="81">
    <mergeCell ref="C6:D6"/>
    <mergeCell ref="C33:J33"/>
    <mergeCell ref="C42:J42"/>
    <mergeCell ref="E9:J9"/>
    <mergeCell ref="C35:J35"/>
    <mergeCell ref="A63:J63"/>
    <mergeCell ref="A7:B7"/>
    <mergeCell ref="C20:J20"/>
    <mergeCell ref="C25:J25"/>
    <mergeCell ref="C46:J46"/>
    <mergeCell ref="C52:J52"/>
    <mergeCell ref="G57:J57"/>
    <mergeCell ref="C39:J39"/>
    <mergeCell ref="C48:J48"/>
    <mergeCell ref="C32:J32"/>
    <mergeCell ref="C38:J38"/>
    <mergeCell ref="A55:J55"/>
    <mergeCell ref="E8:J8"/>
    <mergeCell ref="A12:J12"/>
    <mergeCell ref="C13:J13"/>
    <mergeCell ref="A9:B9"/>
    <mergeCell ref="G58:J58"/>
    <mergeCell ref="A59:B59"/>
    <mergeCell ref="C15:J15"/>
    <mergeCell ref="C5:D5"/>
    <mergeCell ref="C24:J24"/>
    <mergeCell ref="A4:J4"/>
    <mergeCell ref="C26:J26"/>
    <mergeCell ref="C16:J16"/>
    <mergeCell ref="C50:J50"/>
    <mergeCell ref="C60:D60"/>
    <mergeCell ref="C36:J36"/>
    <mergeCell ref="A8:B8"/>
    <mergeCell ref="C8:D8"/>
    <mergeCell ref="C57:D57"/>
    <mergeCell ref="C28:J28"/>
    <mergeCell ref="C37:J37"/>
    <mergeCell ref="A2:J2"/>
    <mergeCell ref="E58:F58"/>
    <mergeCell ref="C18:J18"/>
    <mergeCell ref="C30:J30"/>
    <mergeCell ref="C58:D58"/>
    <mergeCell ref="C14:J14"/>
    <mergeCell ref="G60:J60"/>
    <mergeCell ref="G59:J59"/>
    <mergeCell ref="C41:J41"/>
    <mergeCell ref="A64:J64"/>
    <mergeCell ref="C59:D59"/>
    <mergeCell ref="E59:F59"/>
    <mergeCell ref="C43:J43"/>
    <mergeCell ref="A57:B57"/>
    <mergeCell ref="A5:B5"/>
    <mergeCell ref="C27:J27"/>
    <mergeCell ref="E57:F57"/>
    <mergeCell ref="C17:J17"/>
    <mergeCell ref="C7:D7"/>
    <mergeCell ref="A56:J56"/>
    <mergeCell ref="E5:J5"/>
    <mergeCell ref="C19:J19"/>
    <mergeCell ref="C53:J53"/>
    <mergeCell ref="C34:J34"/>
    <mergeCell ref="A60:B60"/>
    <mergeCell ref="E6:J6"/>
    <mergeCell ref="C45:J45"/>
    <mergeCell ref="A6:B6"/>
    <mergeCell ref="C29:J29"/>
    <mergeCell ref="C47:J47"/>
    <mergeCell ref="C44:J44"/>
    <mergeCell ref="C22:J22"/>
    <mergeCell ref="C9:D9"/>
    <mergeCell ref="E60:F60"/>
    <mergeCell ref="C31:J31"/>
    <mergeCell ref="C40:J40"/>
    <mergeCell ref="A11:J11"/>
    <mergeCell ref="E7:J7"/>
    <mergeCell ref="A1:J1"/>
    <mergeCell ref="C21:J21"/>
    <mergeCell ref="C51:J51"/>
    <mergeCell ref="C23:J23"/>
    <mergeCell ref="A58:B58"/>
    <mergeCell ref="C49:J49"/>
  </mergeCells>
  <conditionalFormatting sqref="A67:J426">
    <cfRule type="expression" priority="1" dxfId="3">
      <formula>=$I67="O"</formula>
    </cfRule>
    <cfRule type="expression" priority="2" dxfId="0">
      <formula>=AND(B67&lt;TODAY(),$I67&lt;&gt;"O")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2026-04-15T20:33:56Z</dcterms:created>
  <dcterms:modified xsi:type="dcterms:W3CDTF">2026-04-15T20:33:57Z</dcterms:modified>
</cp:coreProperties>
</file>